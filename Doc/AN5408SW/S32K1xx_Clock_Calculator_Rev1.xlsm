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24" yWindow="-24" windowWidth="13488" windowHeight="7536" activeTab="3"/>
  </bookViews>
  <sheets>
    <sheet name="Tree" sheetId="6" r:id="rId1"/>
    <sheet name="Device Select" sheetId="22" r:id="rId2"/>
    <sheet name="Oscillator Source Control" sheetId="11" r:id="rId3"/>
    <sheet name="Power Mode Control" sheetId="12" r:id="rId4"/>
    <sheet name="Module Domains" sheetId="14" r:id="rId5"/>
    <sheet name="RTC Clocking" sheetId="17" r:id="rId6"/>
    <sheet name="SAI Clocking" sheetId="18" r:id="rId7"/>
    <sheet name="QSPI Clocking" sheetId="19" r:id="rId8"/>
    <sheet name="ENET Clocking" sheetId="20" r:id="rId9"/>
    <sheet name="CAN Clocking" sheetId="21" r:id="rId10"/>
    <sheet name="SPLL" sheetId="13" r:id="rId11"/>
    <sheet name="spll_clk" sheetId="15" r:id="rId12"/>
    <sheet name="Summary" sheetId="16" r:id="rId13"/>
    <sheet name="Limits" sheetId="2" r:id="rId14"/>
  </sheets>
  <definedNames>
    <definedName name="All_Enabled">Limits!$H$3:$H$8</definedName>
    <definedName name="CLKOUT_S32K11x" localSheetId="0">Limits!$F$45:$F$52</definedName>
    <definedName name="CLKOUT_S32K14x" localSheetId="0">Limits!$E$45:$E$57</definedName>
    <definedName name="E0_0">Limits!$A$122:$A$123</definedName>
    <definedName name="E0_1">Limits!$A$122:$A$124</definedName>
    <definedName name="E0_10">Limits!$A$122:$A$133</definedName>
    <definedName name="E0_11">Limits!$A$122:$A$134</definedName>
    <definedName name="E0_12">Limits!$A$122:$A$135</definedName>
    <definedName name="E0_13">Limits!$A$122:$A$136</definedName>
    <definedName name="E0_14">Limits!$A$122:$A$137</definedName>
    <definedName name="E0_15">Limits!$A$122:$A$138</definedName>
    <definedName name="E0_16">Limits!$A$122:$A$139</definedName>
    <definedName name="E0_17">Limits!$A$122:$A$140</definedName>
    <definedName name="E0_18">Limits!$A$122:$A$141</definedName>
    <definedName name="E0_19">Limits!$A$122:$A$142</definedName>
    <definedName name="E0_2">Limits!$A$122:$A$125</definedName>
    <definedName name="E0_20">Limits!$A$122:$A$143</definedName>
    <definedName name="E0_21">Limits!$A$122:$A$144</definedName>
    <definedName name="E0_22">Limits!$A$122:$A$145</definedName>
    <definedName name="E0_23">Limits!$A$122:$A$146</definedName>
    <definedName name="E0_24">Limits!$A$122:$A$147</definedName>
    <definedName name="E0_25">Limits!$A$122:$A$148</definedName>
    <definedName name="E0_26">Limits!$A$122:$A$149</definedName>
    <definedName name="E0_27">Limits!$A$122:$A$150</definedName>
    <definedName name="E0_28">Limits!$A$122:$A$151</definedName>
    <definedName name="E0_29">Limits!$A$122:$A$152</definedName>
    <definedName name="E0_3">Limits!$A$122:$A$126</definedName>
    <definedName name="E0_30">Limits!$A$122:$A$153</definedName>
    <definedName name="E0_31">Limits!$A$122:$A$153</definedName>
    <definedName name="E0_4">Limits!$A$122:$A$127</definedName>
    <definedName name="E0_5">Limits!$A$122:$A$128</definedName>
    <definedName name="E0_6">Limits!$A$122:$A$129</definedName>
    <definedName name="E0_7">Limits!$A$122:$A$130</definedName>
    <definedName name="E0_8">Limits!$A$122:$A$131</definedName>
    <definedName name="E0_9">Limits!$A$122:$A$132</definedName>
    <definedName name="E1_0">Limits!$A$122:$A$124</definedName>
    <definedName name="E1_1">Limits!$A$122:$A$125</definedName>
    <definedName name="E1_10">Limits!$A$122:$A$134</definedName>
    <definedName name="E1_11">Limits!$A$122:$A$135</definedName>
    <definedName name="E1_12">Limits!$A$122:$A$136</definedName>
    <definedName name="E1_13">Limits!$A$122:$A$137</definedName>
    <definedName name="E1_14">Limits!$A$122:$A$138</definedName>
    <definedName name="E1_15">Limits!$A$122:$A$139</definedName>
    <definedName name="E1_16">Limits!$A$122:$A$140</definedName>
    <definedName name="E1_17">Limits!$A$122:$A$141</definedName>
    <definedName name="E1_18">Limits!$A$122:$A$142</definedName>
    <definedName name="E1_19">Limits!$A$122:$A$143</definedName>
    <definedName name="E1_2">Limits!$A$122:$A$126</definedName>
    <definedName name="E1_20">Limits!$A$122:$A$144</definedName>
    <definedName name="E1_21">Limits!$A$122:$A$145</definedName>
    <definedName name="E1_22">Limits!$A$122:$A$146</definedName>
    <definedName name="E1_23">Limits!$A$122:$A$147</definedName>
    <definedName name="E1_24">Limits!$A$122:$A$148</definedName>
    <definedName name="E1_25">Limits!$A$122:$A$149</definedName>
    <definedName name="E1_26">Limits!$A$122:$A$150</definedName>
    <definedName name="E1_27">Limits!$A$122:$A$151</definedName>
    <definedName name="E1_28">Limits!$A$122:$A$152</definedName>
    <definedName name="E1_29">Limits!$A$122:$A$153</definedName>
    <definedName name="E1_3">Limits!$A$122:$A$127</definedName>
    <definedName name="E1_30">Limits!$A$122:$A$153</definedName>
    <definedName name="E1_31">Limits!$A$122:$A$153</definedName>
    <definedName name="E1_4">Limits!$A$122:$A$128</definedName>
    <definedName name="E1_5">Limits!$A$122:$A$129</definedName>
    <definedName name="E1_6">Limits!$A$122:$A$130</definedName>
    <definedName name="E1_7">Limits!$A$122:$A$131</definedName>
    <definedName name="E1_8">Limits!$A$122:$A$132</definedName>
    <definedName name="E1_9">Limits!$A$122:$A$133</definedName>
    <definedName name="E10_0">Limits!$A$131:$A$133</definedName>
    <definedName name="E10_1">Limits!$A$130:$A$134</definedName>
    <definedName name="E10_10">Limits!$A$122:$A$143</definedName>
    <definedName name="E10_11">Limits!$A$122:$A$144</definedName>
    <definedName name="E10_12">Limits!$A$122:$A$145</definedName>
    <definedName name="E10_13">Limits!$A$122:$A$146</definedName>
    <definedName name="E10_14">Limits!$A$122:$A$147</definedName>
    <definedName name="E10_15">Limits!$A$122:$A$148</definedName>
    <definedName name="E10_16">Limits!$A$122:$A$149</definedName>
    <definedName name="E10_17">Limits!$A$122:$A$150</definedName>
    <definedName name="E10_18">Limits!$A$122:$A$151</definedName>
    <definedName name="E10_19">Limits!$A$122:$A$152</definedName>
    <definedName name="E10_2">Limits!$A$129:$A$135</definedName>
    <definedName name="E10_20">Limits!$A$122:$A$153</definedName>
    <definedName name="E10_21">Limits!$A$122:$A$153</definedName>
    <definedName name="E10_22">Limits!$A$122:$A$153</definedName>
    <definedName name="E10_23">Limits!$A$122:$A$153</definedName>
    <definedName name="E10_24">Limits!$A$122:$A$153</definedName>
    <definedName name="E10_25">Limits!$A$122:$A$153</definedName>
    <definedName name="E10_26">Limits!$A$122:$A$153</definedName>
    <definedName name="E10_27">Limits!$A$122:$A$153</definedName>
    <definedName name="E10_28">Limits!$A$122:$A$153</definedName>
    <definedName name="E10_29">Limits!$A$122:$A$153</definedName>
    <definedName name="E10_3">Limits!$A$128:$A$136</definedName>
    <definedName name="E10_30">Limits!$A$122:$A$153</definedName>
    <definedName name="E10_31">Limits!$A$122:$A$153</definedName>
    <definedName name="E10_4">Limits!$A$127:$A$137</definedName>
    <definedName name="E10_5">Limits!$A$126:$A$138</definedName>
    <definedName name="E10_6">Limits!$A$125:$A$139</definedName>
    <definedName name="E10_7">Limits!$A$124:$A$140</definedName>
    <definedName name="E10_8">Limits!$A$123:$A$141</definedName>
    <definedName name="E10_9">Limits!$A$122:$A$142</definedName>
    <definedName name="E11_0">Limits!$A$132:$A$134</definedName>
    <definedName name="E11_1">Limits!$A$131:$A$135</definedName>
    <definedName name="E11_10">Limits!$A$122:$A$144</definedName>
    <definedName name="E11_11">Limits!$A$122:$A$145</definedName>
    <definedName name="E11_12">Limits!$A$122:$A$146</definedName>
    <definedName name="E11_13">Limits!$A$122:$A$147</definedName>
    <definedName name="E11_14">Limits!$A$122:$A$148</definedName>
    <definedName name="E11_15">Limits!$A$122:$A$149</definedName>
    <definedName name="E11_16">Limits!$A$122:$A$150</definedName>
    <definedName name="E11_17">Limits!$A$122:$A$151</definedName>
    <definedName name="E11_18">Limits!$A$122:$A$152</definedName>
    <definedName name="E11_19">Limits!$A$122:$A$153</definedName>
    <definedName name="E11_2">Limits!$A$130:$A$136</definedName>
    <definedName name="E11_20">Limits!$A$122:$A$153</definedName>
    <definedName name="E11_21">Limits!$A$122:$A$153</definedName>
    <definedName name="E11_22">Limits!$A$122:$A$153</definedName>
    <definedName name="E11_23">Limits!$A$122:$A$153</definedName>
    <definedName name="E11_24">Limits!$A$122:$A$153</definedName>
    <definedName name="E11_25">Limits!$A$122:$A$153</definedName>
    <definedName name="E11_26">Limits!$A$122:$A$153</definedName>
    <definedName name="E11_27">Limits!$A$122:$A$153</definedName>
    <definedName name="E11_28">Limits!$A$122:$A$153</definedName>
    <definedName name="E11_29">Limits!$A$122:$A$153</definedName>
    <definedName name="E11_3">Limits!$A$129:$A$137</definedName>
    <definedName name="E11_30">Limits!$A$122:$A$153</definedName>
    <definedName name="E11_31">Limits!$A$122:$A$153</definedName>
    <definedName name="E11_4">Limits!$A$128:$A$138</definedName>
    <definedName name="E11_5">Limits!$A$127:$A$139</definedName>
    <definedName name="E11_6">Limits!$A$126:$A$140</definedName>
    <definedName name="E11_7">Limits!$A$125:$A$141</definedName>
    <definedName name="E11_8">Limits!$A$124:$A$142</definedName>
    <definedName name="E11_9">Limits!$A$123:$A$143</definedName>
    <definedName name="E12_0">Limits!$A$133:$A$135</definedName>
    <definedName name="E12_1">Limits!$A$132:$A$136</definedName>
    <definedName name="E12_10">Limits!$A$123:$A$145</definedName>
    <definedName name="E12_11">Limits!$A$122:$A$146</definedName>
    <definedName name="E12_12">Limits!$A$122:$A$147</definedName>
    <definedName name="E12_13">Limits!$A$122:$A$148</definedName>
    <definedName name="E12_14">Limits!$A$122:$A$149</definedName>
    <definedName name="E12_15">Limits!$A$122:$A$150</definedName>
    <definedName name="E12_16">Limits!$A$122:$A$151</definedName>
    <definedName name="E12_17">Limits!$A$122:$A$152</definedName>
    <definedName name="E12_18">Limits!$A$122:$A$153</definedName>
    <definedName name="E12_19">Limits!$A$122:$A$153</definedName>
    <definedName name="E12_2">Limits!$A$131:$A$137</definedName>
    <definedName name="E12_20">Limits!$A$122:$A$153</definedName>
    <definedName name="E12_21">Limits!$A$122:$A$153</definedName>
    <definedName name="E12_22">Limits!$A$122:$A$153</definedName>
    <definedName name="E12_23">Limits!$A$122:$A$153</definedName>
    <definedName name="E12_24">Limits!$A$122:$A$153</definedName>
    <definedName name="E12_25">Limits!$A$122:$A$153</definedName>
    <definedName name="E12_26">Limits!$A$122:$A$153</definedName>
    <definedName name="E12_27">Limits!$A$122:$A$153</definedName>
    <definedName name="E12_28">Limits!$A$122:$A$153</definedName>
    <definedName name="E12_29">Limits!$A$122:$A$153</definedName>
    <definedName name="E12_3">Limits!$A$130:$A$138</definedName>
    <definedName name="E12_30">Limits!$A$122:$A$153</definedName>
    <definedName name="E12_31">Limits!$A$122:$A$153</definedName>
    <definedName name="E12_4">Limits!$A$129:$A$139</definedName>
    <definedName name="E12_5">Limits!$A$128:$A$140</definedName>
    <definedName name="E12_6">Limits!$A$127:$A$141</definedName>
    <definedName name="E12_7">Limits!$A$126:$A$142</definedName>
    <definedName name="E12_8">Limits!$A$125:$A$143</definedName>
    <definedName name="E12_9">Limits!$A$124:$A$144</definedName>
    <definedName name="E13_0">Limits!$A$134:$A$136</definedName>
    <definedName name="E13_1">Limits!$A$133:$A$137</definedName>
    <definedName name="E13_10">Limits!$A$124:$A$146</definedName>
    <definedName name="E13_11">Limits!$A$123:$A$147</definedName>
    <definedName name="E13_12">Limits!$A$122:$A$148</definedName>
    <definedName name="E13_13">Limits!$A$122:$A$149</definedName>
    <definedName name="E13_14">Limits!$A$122:$A$150</definedName>
    <definedName name="E13_15">Limits!$A$122:$A$151</definedName>
    <definedName name="E13_16">Limits!$A$122:$A$152</definedName>
    <definedName name="E13_17">Limits!$A$122:$A$153</definedName>
    <definedName name="E13_18">Limits!$A$122:$A$153</definedName>
    <definedName name="E13_19">Limits!$A$122:$A$153</definedName>
    <definedName name="E13_2">Limits!$A$132:$A$138</definedName>
    <definedName name="E13_20">Limits!$A$122:$A$153</definedName>
    <definedName name="E13_21">Limits!$A$122:$A$153</definedName>
    <definedName name="E13_22">Limits!$A$122:$A$153</definedName>
    <definedName name="E13_23">Limits!$A$122:$A$153</definedName>
    <definedName name="E13_24">Limits!$A$122:$A$153</definedName>
    <definedName name="E13_25">Limits!$A$122:$A$153</definedName>
    <definedName name="E13_26">Limits!$A$122:$A$153</definedName>
    <definedName name="E13_27">Limits!$A$122:$A$153</definedName>
    <definedName name="E13_28">Limits!$A$122:$A$153</definedName>
    <definedName name="E13_29">Limits!$A$122:$A$153</definedName>
    <definedName name="E13_3">Limits!$A$131:$A$139</definedName>
    <definedName name="E13_30">Limits!$A$122:$A$153</definedName>
    <definedName name="E13_31">Limits!$A$122:$A$153</definedName>
    <definedName name="E13_4">Limits!$A$130:$A$140</definedName>
    <definedName name="E13_5">Limits!$A$129:$A$141</definedName>
    <definedName name="E13_6">Limits!$A$128:$A$142</definedName>
    <definedName name="E13_7">Limits!$A$127:$A$143</definedName>
    <definedName name="E13_8">Limits!$A$126:$A$144</definedName>
    <definedName name="E13_9">Limits!$A$125:$A$145</definedName>
    <definedName name="E14_0">Limits!$A$135:$A$137</definedName>
    <definedName name="E14_1">Limits!$A$134:$A$138</definedName>
    <definedName name="E14_10">Limits!$A$125:$A$147</definedName>
    <definedName name="E14_11">Limits!$A$124:$A$148</definedName>
    <definedName name="E14_12">Limits!$A$123:$A$149</definedName>
    <definedName name="E14_13">Limits!$A$122:$A$150</definedName>
    <definedName name="E14_14">Limits!$A$122:$A$151</definedName>
    <definedName name="E14_15">Limits!$A$122:$A$152</definedName>
    <definedName name="E14_16">Limits!$A$122:$A$153</definedName>
    <definedName name="E14_17">Limits!$A$122:$A$153</definedName>
    <definedName name="E14_18">Limits!$A$122:$A$153</definedName>
    <definedName name="E14_19">Limits!$A$122:$A$153</definedName>
    <definedName name="E14_2">Limits!$A$133:$A$139</definedName>
    <definedName name="E14_20">Limits!$A$122:$A$153</definedName>
    <definedName name="E14_21">Limits!$A$122:$A$153</definedName>
    <definedName name="E14_22">Limits!$A$122:$A$153</definedName>
    <definedName name="E14_23">Limits!$A$122:$A$153</definedName>
    <definedName name="E14_24">Limits!$A$122:$A$153</definedName>
    <definedName name="E14_25">Limits!$A$122:$A$153</definedName>
    <definedName name="E14_26">Limits!$A$122:$A$153</definedName>
    <definedName name="E14_27">Limits!$A$122:$A$153</definedName>
    <definedName name="E14_28">Limits!$A$122:$A$153</definedName>
    <definedName name="E14_29">Limits!$A$122:$A$153</definedName>
    <definedName name="E14_3">Limits!$A$132:$A$140</definedName>
    <definedName name="E14_30">Limits!$A$122:$A$153</definedName>
    <definedName name="E14_31">Limits!$A$122:$A$153</definedName>
    <definedName name="E14_4">Limits!$A$131:$A$141</definedName>
    <definedName name="E14_5">Limits!$A$130:$A$142</definedName>
    <definedName name="E14_6">Limits!$A$129:$A$143</definedName>
    <definedName name="E14_7">Limits!$A$128:$A$144</definedName>
    <definedName name="E14_8">Limits!$A$127:$A$145</definedName>
    <definedName name="E14_9">Limits!$A$126:$A$146</definedName>
    <definedName name="E15_0">Limits!$A$136:$A$138</definedName>
    <definedName name="E15_1">Limits!$A$135:$A$139</definedName>
    <definedName name="E15_10">Limits!$A$126:$A$148</definedName>
    <definedName name="E15_11">Limits!$A$125:$A$149</definedName>
    <definedName name="E15_12">Limits!$A$124:$A$150</definedName>
    <definedName name="E15_13">Limits!$A$123:$A$151</definedName>
    <definedName name="E15_14">Limits!$A$122:$A$152</definedName>
    <definedName name="E15_15">Limits!$A$122:$A$153</definedName>
    <definedName name="E15_16">Limits!$A$122:$A$153</definedName>
    <definedName name="E15_17">Limits!$A$122:$A$153</definedName>
    <definedName name="E15_18">Limits!$A$122:$A$153</definedName>
    <definedName name="E15_19">Limits!$A$122:$A$153</definedName>
    <definedName name="E15_2">Limits!$A$134:$A$140</definedName>
    <definedName name="E15_20">Limits!$A$122:$A$153</definedName>
    <definedName name="E15_21">Limits!$A$122:$A$153</definedName>
    <definedName name="E15_22">Limits!$A$122:$A$153</definedName>
    <definedName name="E15_23">Limits!$A$122:$A$153</definedName>
    <definedName name="E15_24">Limits!$A$122:$A$153</definedName>
    <definedName name="E15_25">Limits!$A$122:$A$153</definedName>
    <definedName name="E15_26">Limits!$A$122:$A$153</definedName>
    <definedName name="E15_27">Limits!$A$122:$A$153</definedName>
    <definedName name="E15_28">Limits!$A$122:$A$153</definedName>
    <definedName name="E15_29">Limits!$A$122:$A$153</definedName>
    <definedName name="E15_3">Limits!$A$133:$A$141</definedName>
    <definedName name="E15_30">Limits!$A$122:$A$153</definedName>
    <definedName name="E15_31">Limits!$A$122:$A$153</definedName>
    <definedName name="E15_4">Limits!$A$132:$A$142</definedName>
    <definedName name="E15_5">Limits!$A$131:$A$143</definedName>
    <definedName name="E15_6">Limits!$A$130:$A$144</definedName>
    <definedName name="E15_7">Limits!$A$129:$A$145</definedName>
    <definedName name="E15_8">Limits!$A$128:$A$146</definedName>
    <definedName name="E15_9">Limits!$A$127:$A$147</definedName>
    <definedName name="E16_0">Limits!$A$137:$A$139</definedName>
    <definedName name="E16_1">Limits!$A$136:$A$140</definedName>
    <definedName name="E16_10">Limits!$A$127:$A$149</definedName>
    <definedName name="E16_11">Limits!$A$126:$A$150</definedName>
    <definedName name="E16_12">Limits!$A$125:$A$151</definedName>
    <definedName name="E16_13">Limits!$A$124:$A$152</definedName>
    <definedName name="E16_14">Limits!$A$123:$A$153</definedName>
    <definedName name="E16_15">Limits!$A$122:$A$153</definedName>
    <definedName name="E16_16">Limits!$A$122:$A$153</definedName>
    <definedName name="E16_17">Limits!$A$122:$A$153</definedName>
    <definedName name="E16_18">Limits!$A$122:$A$153</definedName>
    <definedName name="E16_19">Limits!$A$122:$A$153</definedName>
    <definedName name="E16_2">Limits!$A$135:$A$141</definedName>
    <definedName name="E16_20">Limits!$A$122:$A$153</definedName>
    <definedName name="E16_21">Limits!$A$122:$A$153</definedName>
    <definedName name="E16_22">Limits!$A$122:$A$153</definedName>
    <definedName name="E16_23">Limits!$A$122:$A$153</definedName>
    <definedName name="E16_24">Limits!$A$122:$A$153</definedName>
    <definedName name="E16_25">Limits!$A$122:$A$153</definedName>
    <definedName name="E16_26">Limits!$A$122:$A$153</definedName>
    <definedName name="E16_27">Limits!$A$122:$A$153</definedName>
    <definedName name="E16_28">Limits!$A$122:$A$153</definedName>
    <definedName name="E16_29">Limits!$A$122:$A$153</definedName>
    <definedName name="E16_3">Limits!$A$134:$A$142</definedName>
    <definedName name="E16_30">Limits!$A$122:$A$153</definedName>
    <definedName name="E16_31">Limits!$A$122:$A$153</definedName>
    <definedName name="E16_4">Limits!$A$133:$A$143</definedName>
    <definedName name="E16_5">Limits!$A$132:$A$144</definedName>
    <definedName name="E16_6">Limits!$A$131:$A$145</definedName>
    <definedName name="E16_7">Limits!$A$130:$A$146</definedName>
    <definedName name="E16_8">Limits!$A$129:$A$147</definedName>
    <definedName name="E16_9">Limits!$A$128:$A$148</definedName>
    <definedName name="E17_0">Limits!$A$138:$A$140</definedName>
    <definedName name="E17_1">Limits!$A$137:$A$141</definedName>
    <definedName name="E17_10">Limits!$A$128:$A$150</definedName>
    <definedName name="E17_11">Limits!$A$127:$A$151</definedName>
    <definedName name="E17_12">Limits!$A$126:$A$152</definedName>
    <definedName name="E17_13">Limits!$A$125:$A$153</definedName>
    <definedName name="E17_14">Limits!$A$124:$A$153</definedName>
    <definedName name="E17_15">Limits!$A$123:$A$153</definedName>
    <definedName name="E17_16">Limits!$A$122:$A$153</definedName>
    <definedName name="E17_17">Limits!$A$122:$A$153</definedName>
    <definedName name="E17_18">Limits!$A$122:$A$153</definedName>
    <definedName name="E17_19">Limits!$A$122:$A$153</definedName>
    <definedName name="E17_2">Limits!$A$136:$A$142</definedName>
    <definedName name="E17_20">Limits!$A$122:$A$153</definedName>
    <definedName name="E17_21">Limits!$A$122:$A$153</definedName>
    <definedName name="E17_22">Limits!$A$122:$A$153</definedName>
    <definedName name="E17_23">Limits!$A$122:$A$153</definedName>
    <definedName name="E17_24">Limits!$A$122:$A$153</definedName>
    <definedName name="E17_25">Limits!$A$122:$A$153</definedName>
    <definedName name="E17_26">Limits!$A$122:$A$153</definedName>
    <definedName name="E17_27">Limits!$A$122:$A$153</definedName>
    <definedName name="E17_28">Limits!$A$122:$A$153</definedName>
    <definedName name="E17_29">Limits!$A$122:$A$153</definedName>
    <definedName name="E17_3">Limits!$A$135:$A$143</definedName>
    <definedName name="E17_30">Limits!$A$122:$A$153</definedName>
    <definedName name="E17_31">Limits!$A$122:$A$153</definedName>
    <definedName name="E17_4">Limits!$A$134:$A$144</definedName>
    <definedName name="E17_5">Limits!$A$133:$A$145</definedName>
    <definedName name="E17_6">Limits!$A$132:$A$146</definedName>
    <definedName name="E17_7">Limits!$A$131:$A$147</definedName>
    <definedName name="E17_8">Limits!$A$130:$A$148</definedName>
    <definedName name="E17_9">Limits!$A$129:$A$149</definedName>
    <definedName name="E18_0">Limits!$A$139:$A$141</definedName>
    <definedName name="E18_1">Limits!$A$138:$A$142</definedName>
    <definedName name="E18_10">Limits!$A$129:$A$151</definedName>
    <definedName name="E18_11">Limits!$A$128:$A$152</definedName>
    <definedName name="E18_12">Limits!$A$127:$A$153</definedName>
    <definedName name="E18_13">Limits!$A$126:$A$153</definedName>
    <definedName name="E18_14">Limits!$A$125:$A$153</definedName>
    <definedName name="E18_15">Limits!$A$124:$A$153</definedName>
    <definedName name="E18_16">Limits!$A$123:$A$153</definedName>
    <definedName name="E18_17">Limits!$A$122:$A$153</definedName>
    <definedName name="E18_18">Limits!$A$122:$A$153</definedName>
    <definedName name="E18_19">Limits!$A$122:$A$153</definedName>
    <definedName name="E18_2">Limits!$A$137:$A$143</definedName>
    <definedName name="E18_20">Limits!$A$122:$A$153</definedName>
    <definedName name="E18_21">Limits!$A$122:$A$153</definedName>
    <definedName name="E18_22">Limits!$A$122:$A$153</definedName>
    <definedName name="E18_23">Limits!$A$122:$A$153</definedName>
    <definedName name="E18_24">Limits!$A$122:$A$153</definedName>
    <definedName name="E18_25">Limits!$A$122:$A$153</definedName>
    <definedName name="E18_26">Limits!$A$122:$A$153</definedName>
    <definedName name="E18_27">Limits!$A$122:$A$153</definedName>
    <definedName name="E18_28">Limits!$A$122:$A$153</definedName>
    <definedName name="E18_29">Limits!$A$122:$A$153</definedName>
    <definedName name="E18_3">Limits!$A$136:$A$144</definedName>
    <definedName name="E18_30">Limits!$A$122:$A$153</definedName>
    <definedName name="E18_31">Limits!$A$122:$A$153</definedName>
    <definedName name="E18_4">Limits!$A$135:$A$145</definedName>
    <definedName name="E18_5">Limits!$A$134:$A$146</definedName>
    <definedName name="E18_6">Limits!$A$133:$A$147</definedName>
    <definedName name="E18_7">Limits!$A$132:$A$148</definedName>
    <definedName name="E18_8">Limits!$A$131:$A$149</definedName>
    <definedName name="E18_9">Limits!$A$130:$A$150</definedName>
    <definedName name="E19_0">Limits!$A$140:$A$142</definedName>
    <definedName name="E19_1">Limits!$A$139:$A$143</definedName>
    <definedName name="E19_10">Limits!$A$130:$A$152</definedName>
    <definedName name="E19_11">Limits!$A$129:$A$153</definedName>
    <definedName name="E19_12">Limits!$A$128:$A$153</definedName>
    <definedName name="E19_13">Limits!$A$127:$A$153</definedName>
    <definedName name="E19_14">Limits!$A$126:$A$153</definedName>
    <definedName name="E19_15">Limits!$A$125:$A$153</definedName>
    <definedName name="E19_16">Limits!$A$124:$A$153</definedName>
    <definedName name="E19_17">Limits!$A$123:$A$153</definedName>
    <definedName name="E19_18">Limits!$A$122:$A$153</definedName>
    <definedName name="E19_19">Limits!$A$122:$A$153</definedName>
    <definedName name="E19_2">Limits!$A$138:$A$144</definedName>
    <definedName name="E19_20">Limits!$A$122:$A$153</definedName>
    <definedName name="E19_21">Limits!$A$122:$A$153</definedName>
    <definedName name="E19_22">Limits!$A$122:$A$153</definedName>
    <definedName name="E19_23">Limits!$A$122:$A$153</definedName>
    <definedName name="E19_24">Limits!$A$122:$A$153</definedName>
    <definedName name="E19_25">Limits!$A$122:$A$153</definedName>
    <definedName name="E19_26">Limits!$A$122:$A$153</definedName>
    <definedName name="E19_27">Limits!$A$122:$A$153</definedName>
    <definedName name="E19_28">Limits!$A$122:$A$153</definedName>
    <definedName name="E19_29">Limits!$A$122:$A$153</definedName>
    <definedName name="E19_3">Limits!$A$137:$A$145</definedName>
    <definedName name="E19_30">Limits!$A$122:$A$153</definedName>
    <definedName name="E19_31">Limits!$A$122:$A$153</definedName>
    <definedName name="E19_4">Limits!$A$136:$A$146</definedName>
    <definedName name="E19_5">Limits!$A$135:$A$147</definedName>
    <definedName name="E19_6">Limits!$A$134:$A$148</definedName>
    <definedName name="E19_7">Limits!$A$133:$A$149</definedName>
    <definedName name="E19_8">Limits!$A$132:$A$150</definedName>
    <definedName name="E19_9">Limits!$A$131:$A$151</definedName>
    <definedName name="E2_0">Limits!$A$123:$A$125</definedName>
    <definedName name="E2_1">Limits!$A$122:$A$126</definedName>
    <definedName name="E2_10">Limits!$A$122:$A$135</definedName>
    <definedName name="E2_11">Limits!$A$122:$A$136</definedName>
    <definedName name="E2_12">Limits!$A$122:$A$137</definedName>
    <definedName name="E2_13">Limits!$A$122:$A$138</definedName>
    <definedName name="E2_14">Limits!$A$122:$A$139</definedName>
    <definedName name="E2_15">Limits!$A$122:$A$140</definedName>
    <definedName name="E2_16">Limits!$A$122:$A$141</definedName>
    <definedName name="E2_17">Limits!$A$122:$A$142</definedName>
    <definedName name="E2_18">Limits!$A$122:$A$143</definedName>
    <definedName name="E2_19">Limits!$A$122:$A$144</definedName>
    <definedName name="E2_2">Limits!$A$122:$A$127</definedName>
    <definedName name="E2_20">Limits!$A$122:$A$145</definedName>
    <definedName name="E2_21">Limits!$A$122:$A$146</definedName>
    <definedName name="E2_22">Limits!$A$122:$A$147</definedName>
    <definedName name="E2_23">Limits!$A$122:$A$148</definedName>
    <definedName name="E2_24">Limits!$A$122:$A$149</definedName>
    <definedName name="E2_25">Limits!$A$122:$A$150</definedName>
    <definedName name="E2_26">Limits!$A$122:$A$151</definedName>
    <definedName name="E2_27">Limits!$A$122:$A$152</definedName>
    <definedName name="E2_28">Limits!$A$122:$A$153</definedName>
    <definedName name="E2_29">Limits!$A$122:$A$153</definedName>
    <definedName name="E2_3">Limits!$A$122:$A$128</definedName>
    <definedName name="E2_30">Limits!$A$122:$A$153</definedName>
    <definedName name="E2_31">Limits!$A$122:$A$153</definedName>
    <definedName name="E2_4">Limits!$A$122:$A$129</definedName>
    <definedName name="E2_5">Limits!$A$122:$A$130</definedName>
    <definedName name="E2_6">Limits!$A$122:$A$131</definedName>
    <definedName name="E2_7">Limits!$A$122:$A$132</definedName>
    <definedName name="E2_8">Limits!$A$122:$A$133</definedName>
    <definedName name="E2_9">Limits!$A$122:$A$134</definedName>
    <definedName name="E20_0">Limits!$A$141:$A$143</definedName>
    <definedName name="E20_1">Limits!$A$140:$A$144</definedName>
    <definedName name="E20_10">Limits!$A$131:$A$153</definedName>
    <definedName name="E20_11">Limits!$A$130:$A$153</definedName>
    <definedName name="E20_12">Limits!$A$129:$A$153</definedName>
    <definedName name="E20_13">Limits!$A$128:$A$153</definedName>
    <definedName name="E20_14">Limits!$A$127:$A$153</definedName>
    <definedName name="E20_15">Limits!$A$126:$A$153</definedName>
    <definedName name="E20_16">Limits!$A$125:$A$153</definedName>
    <definedName name="E20_17">Limits!$A$124:$A$153</definedName>
    <definedName name="E20_18">Limits!$A$123:$A$153</definedName>
    <definedName name="E20_19">Limits!$A$122:$A$153</definedName>
    <definedName name="E20_2">Limits!$A$139:$A$145</definedName>
    <definedName name="E20_20">Limits!$A$122:$A$153</definedName>
    <definedName name="E20_21">Limits!$A$122:$A$153</definedName>
    <definedName name="E20_22">Limits!$A$122:$A$153</definedName>
    <definedName name="E20_23">Limits!$A$122:$A$153</definedName>
    <definedName name="E20_24">Limits!$A$122:$A$153</definedName>
    <definedName name="E20_25">Limits!$A$122:$A$153</definedName>
    <definedName name="E20_26">Limits!$A$122:$A$153</definedName>
    <definedName name="E20_27">Limits!$A$122:$A$153</definedName>
    <definedName name="E20_28">Limits!$A$122:$A$153</definedName>
    <definedName name="E20_29">Limits!$A$122:$A$153</definedName>
    <definedName name="E20_3">Limits!$A$138:$A$146</definedName>
    <definedName name="E20_30">Limits!$A$122:$A$153</definedName>
    <definedName name="E20_31">Limits!$A$122:$A$153</definedName>
    <definedName name="E20_4">Limits!$A$137:$A$147</definedName>
    <definedName name="E20_5">Limits!$A$136:$A$148</definedName>
    <definedName name="E20_6">Limits!$A$135:$A$149</definedName>
    <definedName name="E20_7">Limits!$A$134:$A$150</definedName>
    <definedName name="E20_8">Limits!$A$133:$A$151</definedName>
    <definedName name="E20_9">Limits!$A$132:$A$152</definedName>
    <definedName name="E21_0">Limits!$A$142:$A$144</definedName>
    <definedName name="E21_1">Limits!$A$141:$A$145</definedName>
    <definedName name="E21_10">Limits!$A$132:$A$153</definedName>
    <definedName name="E21_11">Limits!$A$131:$A$153</definedName>
    <definedName name="E21_12">Limits!$A$130:$A$153</definedName>
    <definedName name="E21_13">Limits!$A$129:$A$153</definedName>
    <definedName name="E21_14">Limits!$A$128:$A$153</definedName>
    <definedName name="E21_15">Limits!$A$127:$A$153</definedName>
    <definedName name="E21_16">Limits!$A$126:$A$153</definedName>
    <definedName name="E21_17">Limits!$A$125:$A$153</definedName>
    <definedName name="E21_18">Limits!$A$124:$A$153</definedName>
    <definedName name="E21_19">Limits!$A$123:$A$153</definedName>
    <definedName name="E21_2">Limits!$A$140:$A$146</definedName>
    <definedName name="E21_20">Limits!$A$122:$A$153</definedName>
    <definedName name="E21_21">Limits!$A$122:$A$153</definedName>
    <definedName name="E21_22">Limits!$A$122:$A$153</definedName>
    <definedName name="E21_23">Limits!$A$122:$A$153</definedName>
    <definedName name="E21_24">Limits!$A$122:$A$153</definedName>
    <definedName name="E21_25">Limits!$A$122:$A$153</definedName>
    <definedName name="E21_26">Limits!$A$122:$A$153</definedName>
    <definedName name="E21_27">Limits!$A$122:$A$153</definedName>
    <definedName name="E21_28">Limits!$A$122:$A$153</definedName>
    <definedName name="E21_29">Limits!$A$122:$A$153</definedName>
    <definedName name="E21_3">Limits!$A$139:$A$147</definedName>
    <definedName name="E21_30">Limits!$A$122:$A$153</definedName>
    <definedName name="E21_31">Limits!$A$122:$A$153</definedName>
    <definedName name="E21_4">Limits!$A$138:$A$148</definedName>
    <definedName name="E21_5">Limits!$A$137:$A$149</definedName>
    <definedName name="E21_6">Limits!$A$136:$A$150</definedName>
    <definedName name="E21_7">Limits!$A$135:$A$151</definedName>
    <definedName name="E21_8">Limits!$A$134:$A$152</definedName>
    <definedName name="E21_9">Limits!$A$133:$A$153</definedName>
    <definedName name="E22_0">Limits!$A$143:$A$145</definedName>
    <definedName name="E22_1">Limits!$A$142:$A$146</definedName>
    <definedName name="E22_10">Limits!$A$133:$A$153</definedName>
    <definedName name="E22_11">Limits!$A$132:$A$153</definedName>
    <definedName name="E22_12">Limits!$A$131:$A$153</definedName>
    <definedName name="E22_13">Limits!$A$130:$A$153</definedName>
    <definedName name="E22_14">Limits!$A$129:$A$153</definedName>
    <definedName name="E22_15">Limits!$A$128:$A$153</definedName>
    <definedName name="E22_16">Limits!$A$127:$A$153</definedName>
    <definedName name="E22_17">Limits!$A$126:$A$153</definedName>
    <definedName name="E22_18">Limits!$A$125:$A$153</definedName>
    <definedName name="E22_19">Limits!$A$124:$A$153</definedName>
    <definedName name="E22_2">Limits!$A$141:$A$147</definedName>
    <definedName name="E22_20">Limits!$A$123:$A$153</definedName>
    <definedName name="E22_21">Limits!$A$122:$A$153</definedName>
    <definedName name="E22_22">Limits!$A$122:$A$153</definedName>
    <definedName name="E22_23">Limits!$A$122:$A$153</definedName>
    <definedName name="E22_24">Limits!$A$122:$A$153</definedName>
    <definedName name="E22_25">Limits!$A$122:$A$153</definedName>
    <definedName name="E22_26">Limits!$A$122:$A$153</definedName>
    <definedName name="E22_27">Limits!$A$122:$A$153</definedName>
    <definedName name="E22_28">Limits!$A$122:$A$153</definedName>
    <definedName name="E22_29">Limits!$A$122:$A$153</definedName>
    <definedName name="E22_3">Limits!$A$140:$A$148</definedName>
    <definedName name="E22_30">Limits!$A$122:$A$153</definedName>
    <definedName name="E22_31">Limits!$A$122:$A$153</definedName>
    <definedName name="E22_4">Limits!$A$139:$A$149</definedName>
    <definedName name="E22_5">Limits!$A$138:$A$150</definedName>
    <definedName name="E22_6">Limits!$A$137:$A$151</definedName>
    <definedName name="E22_7">Limits!$A$136:$A$152</definedName>
    <definedName name="E22_8">Limits!$A$135:$A$153</definedName>
    <definedName name="E22_9">Limits!$A$134:$A$153</definedName>
    <definedName name="E23_0">Limits!$A$144:$A$146</definedName>
    <definedName name="E23_1">Limits!$A$143:$A$147</definedName>
    <definedName name="E23_10">Limits!$A$134:$A$153</definedName>
    <definedName name="E23_11">Limits!$A$133:$A$153</definedName>
    <definedName name="E23_12">Limits!$A$132:$A$153</definedName>
    <definedName name="E23_13">Limits!$A$131:$A$153</definedName>
    <definedName name="E23_14">Limits!$A$130:$A$153</definedName>
    <definedName name="E23_15">Limits!$A$129:$A$153</definedName>
    <definedName name="E23_16">Limits!$A$128:$A$153</definedName>
    <definedName name="E23_17">Limits!$A$127:$A$153</definedName>
    <definedName name="E23_18">Limits!$A$126:$A$153</definedName>
    <definedName name="E23_19">Limits!$A$125:$A$153</definedName>
    <definedName name="E23_2">Limits!$A$142:$A$148</definedName>
    <definedName name="E23_20">Limits!$A$124:$A$153</definedName>
    <definedName name="E23_21">Limits!$A$123:$A$153</definedName>
    <definedName name="E23_22">Limits!$A$122:$A$153</definedName>
    <definedName name="E23_23">Limits!$A$122:$A$153</definedName>
    <definedName name="E23_24">Limits!$A$122:$A$153</definedName>
    <definedName name="E23_25">Limits!$A$122:$A$153</definedName>
    <definedName name="E23_26">Limits!$A$122:$A$153</definedName>
    <definedName name="E23_27">Limits!$A$122:$A$153</definedName>
    <definedName name="E23_28">Limits!$A$122:$A$153</definedName>
    <definedName name="E23_29">Limits!$A$122:$A$153</definedName>
    <definedName name="E23_3">Limits!$A$141:$A$149</definedName>
    <definedName name="E23_30">Limits!$A$122:$A$153</definedName>
    <definedName name="E23_31">Limits!$A$122:$A$153</definedName>
    <definedName name="E23_4">Limits!$A$140:$A$150</definedName>
    <definedName name="E23_5">Limits!$A$139:$A$151</definedName>
    <definedName name="E23_6">Limits!$A$138:$A$152</definedName>
    <definedName name="E23_7">Limits!$A$137:$A$153</definedName>
    <definedName name="E23_8">Limits!$A$136:$A$153</definedName>
    <definedName name="E23_9">Limits!$A$135:$A$153</definedName>
    <definedName name="E24_0">Limits!$A$145:$A$147</definedName>
    <definedName name="E24_1">Limits!$A$144:$A$148</definedName>
    <definedName name="E24_10">Limits!$A$135:$A$153</definedName>
    <definedName name="E24_11">Limits!$A$134:$A$153</definedName>
    <definedName name="E24_12">Limits!$A$133:$A$153</definedName>
    <definedName name="E24_13">Limits!$A$132:$A$153</definedName>
    <definedName name="E24_14">Limits!$A$131:$A$153</definedName>
    <definedName name="E24_15">Limits!$A$130:$A$153</definedName>
    <definedName name="E24_16">Limits!$A$129:$A$153</definedName>
    <definedName name="E24_17">Limits!$A$128:$A$153</definedName>
    <definedName name="E24_18">Limits!$A$127:$A$153</definedName>
    <definedName name="E24_19">Limits!$A$126:$A$153</definedName>
    <definedName name="E24_2">Limits!$A$143:$A$149</definedName>
    <definedName name="E24_20">Limits!$A$125:$A$153</definedName>
    <definedName name="E24_21">Limits!$A$124:$A$153</definedName>
    <definedName name="E24_22">Limits!$A$123:$A$153</definedName>
    <definedName name="E24_23">Limits!$A$122:$A$153</definedName>
    <definedName name="E24_24">Limits!$A$122:$A$153</definedName>
    <definedName name="E24_25">Limits!$A$122:$A$153</definedName>
    <definedName name="E24_26">Limits!$A$122:$A$153</definedName>
    <definedName name="E24_27">Limits!$A$122:$A$153</definedName>
    <definedName name="E24_28">Limits!$A$122:$A$153</definedName>
    <definedName name="E24_29">Limits!$A$122:$A$153</definedName>
    <definedName name="E24_3">Limits!$A$142:$A$150</definedName>
    <definedName name="E24_30">Limits!$A$122:$A$153</definedName>
    <definedName name="E24_31">Limits!$A$122:$A$153</definedName>
    <definedName name="E24_4">Limits!$A$141:$A$151</definedName>
    <definedName name="E24_5">Limits!$A$140:$A$152</definedName>
    <definedName name="E24_6">Limits!$A$139:$A$153</definedName>
    <definedName name="E24_7">Limits!$A$138:$A$153</definedName>
    <definedName name="E24_8">Limits!$A$137:$A$153</definedName>
    <definedName name="E24_9">Limits!$A$136:$A$153</definedName>
    <definedName name="E25_0">Limits!$A$146:$A$148</definedName>
    <definedName name="E25_1">Limits!$A$145:$A$149</definedName>
    <definedName name="E25_10">Limits!$A$136:$A$153</definedName>
    <definedName name="E25_11">Limits!$A$135:$A$153</definedName>
    <definedName name="E25_12">Limits!$A$134:$A$153</definedName>
    <definedName name="E25_13">Limits!$A$133:$A$153</definedName>
    <definedName name="E25_14">Limits!$A$132:$A$153</definedName>
    <definedName name="E25_15">Limits!$A$131:$A$153</definedName>
    <definedName name="E25_16">Limits!$A$130:$A$153</definedName>
    <definedName name="E25_17">Limits!$A$129:$A$153</definedName>
    <definedName name="E25_18">Limits!$A$128:$A$153</definedName>
    <definedName name="E25_19">Limits!$A$127:$A$153</definedName>
    <definedName name="E25_2">Limits!$A$144:$A$150</definedName>
    <definedName name="E25_20">Limits!$A$126:$A$153</definedName>
    <definedName name="E25_21">Limits!$A$125:$A$153</definedName>
    <definedName name="E25_22">Limits!$A$124:$A$153</definedName>
    <definedName name="E25_23">Limits!$A$123:$A$153</definedName>
    <definedName name="E25_24">Limits!$A$122:$A$153</definedName>
    <definedName name="E25_25">Limits!$A$122:$A$153</definedName>
    <definedName name="E25_26">Limits!$A$122:$A$153</definedName>
    <definedName name="E25_27">Limits!$A$122:$A$153</definedName>
    <definedName name="E25_28">Limits!$A$122:$A$153</definedName>
    <definedName name="E25_29">Limits!$A$122:$A$153</definedName>
    <definedName name="E25_3">Limits!$A$143:$A$151</definedName>
    <definedName name="E25_30">Limits!$A$122:$A$153</definedName>
    <definedName name="E25_31">Limits!$A$122:$A$153</definedName>
    <definedName name="E25_4">Limits!$A$142:$A$152</definedName>
    <definedName name="E25_5">Limits!$A$141:$A$153</definedName>
    <definedName name="E25_6">Limits!$A$140:$A$153</definedName>
    <definedName name="E25_7">Limits!$A$139:$A$153</definedName>
    <definedName name="E25_8">Limits!$A$138:$A$153</definedName>
    <definedName name="E25_9">Limits!$A$137:$A$153</definedName>
    <definedName name="E26_0">Limits!$A$147:$A$149</definedName>
    <definedName name="E26_1">Limits!$A$146:$A$150</definedName>
    <definedName name="E26_10">Limits!$A$137:$A$153</definedName>
    <definedName name="E26_11">Limits!$A$136:$A$153</definedName>
    <definedName name="E26_12">Limits!$A$135:$A$153</definedName>
    <definedName name="E26_13">Limits!$A$134:$A$153</definedName>
    <definedName name="E26_14">Limits!$A$133:$A$153</definedName>
    <definedName name="E26_15">Limits!$A$132:$A$153</definedName>
    <definedName name="E26_16">Limits!$A$131:$A$153</definedName>
    <definedName name="E26_17">Limits!$A$130:$A$153</definedName>
    <definedName name="E26_18">Limits!$A$129:$A$153</definedName>
    <definedName name="E26_19">Limits!$A$128:$A$153</definedName>
    <definedName name="E26_2">Limits!$A$145:$A$151</definedName>
    <definedName name="E26_20">Limits!$A$127:$A$153</definedName>
    <definedName name="E26_21">Limits!$A$126:$A$153</definedName>
    <definedName name="E26_22">Limits!$A$125:$A$153</definedName>
    <definedName name="E26_23">Limits!$A$124:$A$153</definedName>
    <definedName name="E26_24">Limits!$A$123:$A$153</definedName>
    <definedName name="E26_25">Limits!$A$122:$A$153</definedName>
    <definedName name="E26_26">Limits!$A$122:$A$153</definedName>
    <definedName name="E26_27">Limits!$A$122:$A$153</definedName>
    <definedName name="E26_28">Limits!$A$122:$A$153</definedName>
    <definedName name="E26_29">Limits!$A$122:$A$153</definedName>
    <definedName name="E26_3">Limits!$A$144:$A$152</definedName>
    <definedName name="E26_30">Limits!$A$122:$A$153</definedName>
    <definedName name="E26_31">Limits!$A$122:$A$153</definedName>
    <definedName name="E26_4">Limits!$A$143:$A$153</definedName>
    <definedName name="E26_5">Limits!$A$142:$A$153</definedName>
    <definedName name="E26_6">Limits!$A$141:$A$153</definedName>
    <definedName name="E26_7">Limits!$A$140:$A$153</definedName>
    <definedName name="E26_8">Limits!$A$139:$A$153</definedName>
    <definedName name="E26_9">Limits!$A$138:$A$153</definedName>
    <definedName name="E27_0">Limits!$A$148:$A$150</definedName>
    <definedName name="E27_1">Limits!$A$147:$A$151</definedName>
    <definedName name="E27_10">Limits!$A$138:$A$153</definedName>
    <definedName name="E27_11">Limits!$A$137:$A$153</definedName>
    <definedName name="E27_12">Limits!$A$136:$A$153</definedName>
    <definedName name="E27_13">Limits!$A$135:$A$153</definedName>
    <definedName name="E27_14">Limits!$A$134:$A$153</definedName>
    <definedName name="E27_15">Limits!$A$133:$A$153</definedName>
    <definedName name="E27_16">Limits!$A$132:$A$153</definedName>
    <definedName name="E27_17">Limits!$A$131:$A$153</definedName>
    <definedName name="E27_18">Limits!$A$130:$A$153</definedName>
    <definedName name="E27_19">Limits!$A$129:$A$153</definedName>
    <definedName name="E27_2">Limits!$A$146:$A$152</definedName>
    <definedName name="E27_20">Limits!$A$128:$A$153</definedName>
    <definedName name="E27_21">Limits!$A$127:$A$153</definedName>
    <definedName name="E27_22">Limits!$A$126:$A$153</definedName>
    <definedName name="E27_23">Limits!$A$125:$A$153</definedName>
    <definedName name="E27_24">Limits!$A$124:$A$153</definedName>
    <definedName name="E27_25">Limits!$A$123:$A$153</definedName>
    <definedName name="E27_26">Limits!$A$122:$A$153</definedName>
    <definedName name="E27_27">Limits!$A$122:$A$153</definedName>
    <definedName name="E27_28">Limits!$A$122:$A$153</definedName>
    <definedName name="E27_29">Limits!$A$122:$A$153</definedName>
    <definedName name="E27_3">Limits!$A$145:$A$153</definedName>
    <definedName name="E27_30">Limits!$A$122:$A$153</definedName>
    <definedName name="E27_31">Limits!$A$122:$A$153</definedName>
    <definedName name="E27_4">Limits!$A$144:$A$153</definedName>
    <definedName name="E27_5">Limits!$A$143:$A$153</definedName>
    <definedName name="E27_6">Limits!$A$142:$A$153</definedName>
    <definedName name="E27_7">Limits!$A$141:$A$153</definedName>
    <definedName name="E27_8">Limits!$A$140:$A$153</definedName>
    <definedName name="E27_9">Limits!$A$139:$A$153</definedName>
    <definedName name="E28_0">Limits!$A$149:$A$151</definedName>
    <definedName name="E28_1">Limits!$A$148:$A$152</definedName>
    <definedName name="E28_10">Limits!$A$139:$A$153</definedName>
    <definedName name="E28_11">Limits!$A$138:$A$153</definedName>
    <definedName name="E28_12">Limits!$A$137:$A$153</definedName>
    <definedName name="E28_13">Limits!$A$136:$A$153</definedName>
    <definedName name="E28_14">Limits!$A$135:$A$153</definedName>
    <definedName name="E28_15">Limits!$A$134:$A$153</definedName>
    <definedName name="E28_16">Limits!$A$133:$A$153</definedName>
    <definedName name="E28_17">Limits!$A$132:$A$153</definedName>
    <definedName name="E28_18">Limits!$A$131:$A$153</definedName>
    <definedName name="E28_19">Limits!$A$130:$A$153</definedName>
    <definedName name="E28_2">Limits!$A$147:$A$153</definedName>
    <definedName name="E28_20">Limits!$A$129:$A$153</definedName>
    <definedName name="E28_21">Limits!$A$128:$A$153</definedName>
    <definedName name="E28_22">Limits!$A$127:$A$153</definedName>
    <definedName name="E28_23">Limits!$A$126:$A$153</definedName>
    <definedName name="E28_24">Limits!$A$125:$A$153</definedName>
    <definedName name="E28_25">Limits!$A$124:$A$153</definedName>
    <definedName name="E28_26">Limits!$A$123:$A$153</definedName>
    <definedName name="E28_27">Limits!$A$122:$A$153</definedName>
    <definedName name="E28_28">Limits!$A$122:$A$153</definedName>
    <definedName name="E28_29">Limits!$A$122:$A$153</definedName>
    <definedName name="E28_3">Limits!$A$146:$A$153</definedName>
    <definedName name="E28_30">Limits!$A$122:$A$153</definedName>
    <definedName name="E28_31">Limits!$A$122:$A$153</definedName>
    <definedName name="E28_4">Limits!$A$145:$A$153</definedName>
    <definedName name="E28_5">Limits!$A$144:$A$153</definedName>
    <definedName name="E28_6">Limits!$A$143:$A$153</definedName>
    <definedName name="E28_7">Limits!$A$142:$A$153</definedName>
    <definedName name="E28_8">Limits!$A$141:$A$153</definedName>
    <definedName name="E28_9">Limits!$A$140:$A$153</definedName>
    <definedName name="E29_0">Limits!$A$150:$A$152</definedName>
    <definedName name="E29_1">Limits!$A$149:$A$153</definedName>
    <definedName name="E29_10">Limits!$A$140:$A$153</definedName>
    <definedName name="E29_11">Limits!$A$139:$A$153</definedName>
    <definedName name="E29_12">Limits!$A$138:$A$153</definedName>
    <definedName name="E29_13">Limits!$A$137:$A$153</definedName>
    <definedName name="E29_14">Limits!$A$136:$A$153</definedName>
    <definedName name="E29_15">Limits!$A$135:$A$153</definedName>
    <definedName name="E29_16">Limits!$A$134:$A$153</definedName>
    <definedName name="E29_17">Limits!$A$133:$A$153</definedName>
    <definedName name="E29_18">Limits!$A$132:$A$153</definedName>
    <definedName name="E29_19">Limits!$A$131:$A$153</definedName>
    <definedName name="E29_2">Limits!$A$148:$A$153</definedName>
    <definedName name="E29_20">Limits!$A$130:$A$153</definedName>
    <definedName name="E29_21">Limits!$A$129:$A$153</definedName>
    <definedName name="E29_22">Limits!$A$128:$A$153</definedName>
    <definedName name="E29_23">Limits!$A$127:$A$153</definedName>
    <definedName name="E29_24">Limits!$A$126:$A$153</definedName>
    <definedName name="E29_25">Limits!$A$125:$A$153</definedName>
    <definedName name="E29_26">Limits!$A$124:$A$153</definedName>
    <definedName name="E29_27">Limits!$A$123:$A$153</definedName>
    <definedName name="E29_28">Limits!$A$122:$A$153</definedName>
    <definedName name="E29_29">Limits!$A$122:$A$153</definedName>
    <definedName name="E29_3">Limits!$A$147:$A$153</definedName>
    <definedName name="E29_30">Limits!$A$122:$A$153</definedName>
    <definedName name="E29_31">Limits!$A$122:$A$153</definedName>
    <definedName name="E29_4">Limits!$A$146:$A$153</definedName>
    <definedName name="E29_5">Limits!$A$145:$A$153</definedName>
    <definedName name="E29_6">Limits!$A$144:$A$153</definedName>
    <definedName name="E29_7">Limits!$A$143:$A$153</definedName>
    <definedName name="E29_8">Limits!$A$142:$A$153</definedName>
    <definedName name="E29_9">Limits!$A$141:$A$153</definedName>
    <definedName name="E3_0">Limits!$A$124:$A$126</definedName>
    <definedName name="E3_1">Limits!$A$123:$A$127</definedName>
    <definedName name="E3_10">Limits!$A$122:$A$136</definedName>
    <definedName name="E3_11">Limits!$A$122:$A$137</definedName>
    <definedName name="E3_12">Limits!$A$122:$A$138</definedName>
    <definedName name="E3_13">Limits!$A$122:$A$139</definedName>
    <definedName name="E3_14">Limits!$A$122:$A$140</definedName>
    <definedName name="E3_15">Limits!$A$122:$A$141</definedName>
    <definedName name="E3_16">Limits!$A$122:$A$142</definedName>
    <definedName name="E3_17">Limits!$A$122:$A$143</definedName>
    <definedName name="E3_18">Limits!$A$122:$A$144</definedName>
    <definedName name="E3_19">Limits!$A$122:$A$145</definedName>
    <definedName name="E3_2">Limits!$A$122:$A$128</definedName>
    <definedName name="E3_20">Limits!$A$122:$A$146</definedName>
    <definedName name="E3_21">Limits!$A$122:$A$147</definedName>
    <definedName name="E3_22">Limits!$A$122:$A$148</definedName>
    <definedName name="E3_23">Limits!$A$122:$A$149</definedName>
    <definedName name="E3_24">Limits!$A$122:$A$150</definedName>
    <definedName name="E3_25">Limits!$A$122:$A$151</definedName>
    <definedName name="E3_26">Limits!$A$122:$A$152</definedName>
    <definedName name="E3_27">Limits!$A$122:$A$153</definedName>
    <definedName name="E3_28">Limits!$A$122:$A$153</definedName>
    <definedName name="E3_29">Limits!$A$122:$A$153</definedName>
    <definedName name="E3_3">Limits!$A$122:$A$129</definedName>
    <definedName name="E3_30">Limits!$A$122:$A$153</definedName>
    <definedName name="E3_31">Limits!$A$122:$A$153</definedName>
    <definedName name="E3_4">Limits!$A$122:$A$130</definedName>
    <definedName name="E3_5">Limits!$A$122:$A$131</definedName>
    <definedName name="E3_6">Limits!$A$122:$A$132</definedName>
    <definedName name="E3_7">Limits!$A$122:$A$133</definedName>
    <definedName name="E3_8">Limits!$A$122:$A$134</definedName>
    <definedName name="E3_9">Limits!$A$122:$A$135</definedName>
    <definedName name="E30_0">Limits!$A$151:$A$153</definedName>
    <definedName name="E30_1">Limits!$A$150:$A$153</definedName>
    <definedName name="E30_10">Limits!$A$141:$A$153</definedName>
    <definedName name="E30_11">Limits!$A$140:$A$153</definedName>
    <definedName name="E30_12">Limits!$A$139:$A$153</definedName>
    <definedName name="E30_13">Limits!$A$138:$A$153</definedName>
    <definedName name="E30_14">Limits!$A$137:$A$153</definedName>
    <definedName name="E30_15">Limits!$A$136:$A$153</definedName>
    <definedName name="E30_16">Limits!$A$135:$A$153</definedName>
    <definedName name="E30_17">Limits!$A$134:$A$153</definedName>
    <definedName name="E30_18">Limits!$A$133:$A$153</definedName>
    <definedName name="E30_19">Limits!$A$132:$A$153</definedName>
    <definedName name="E30_2">Limits!$A$149:$A$153</definedName>
    <definedName name="E30_20">Limits!$A$131:$A$153</definedName>
    <definedName name="E30_21">Limits!$A$130:$A$153</definedName>
    <definedName name="E30_22">Limits!$A$129:$A$153</definedName>
    <definedName name="E30_23">Limits!$A$128:$A$153</definedName>
    <definedName name="E30_24">Limits!$A$127:$A$153</definedName>
    <definedName name="E30_25">Limits!$A$126:$A$153</definedName>
    <definedName name="E30_26">Limits!$A$125:$A$153</definedName>
    <definedName name="E30_27">Limits!$A$124:$A$153</definedName>
    <definedName name="E30_28">Limits!$A$123:$A$153</definedName>
    <definedName name="E30_29">Limits!$A$122:$A$153</definedName>
    <definedName name="E30_3">Limits!$A$148:$A$153</definedName>
    <definedName name="E30_30">Limits!$A$122:$A$153</definedName>
    <definedName name="E30_31">Limits!$A$122:$A$153</definedName>
    <definedName name="E30_4">Limits!$A$147:$A$153</definedName>
    <definedName name="E30_5">Limits!$A$146:$A$153</definedName>
    <definedName name="E30_6">Limits!$A$145:$A$153</definedName>
    <definedName name="E30_7">Limits!$A$144:$A$153</definedName>
    <definedName name="E30_8">Limits!$A$143:$A$153</definedName>
    <definedName name="E30_9">Limits!$A$142:$A$153</definedName>
    <definedName name="E31_0">Limits!$A$152:$A$153</definedName>
    <definedName name="E31_1">Limits!$A$151:$A$153</definedName>
    <definedName name="E31_10">Limits!$A$142:$A$153</definedName>
    <definedName name="E31_11">Limits!$A$141:$A$153</definedName>
    <definedName name="E31_12">Limits!$A$140:$A$153</definedName>
    <definedName name="E31_13">Limits!$A$139:$A$153</definedName>
    <definedName name="E31_14">Limits!$A$138:$A$153</definedName>
    <definedName name="E31_15">Limits!$A$137:$A$153</definedName>
    <definedName name="E31_16">Limits!$A$136:$A$153</definedName>
    <definedName name="E31_17">Limits!$A$135:$A$153</definedName>
    <definedName name="E31_18">Limits!$A$134:$A$153</definedName>
    <definedName name="E31_19">Limits!$A$133:$A$153</definedName>
    <definedName name="E31_2">Limits!$A$150:$A$153</definedName>
    <definedName name="E31_20">Limits!$A$132:$A$153</definedName>
    <definedName name="E31_21">Limits!$A$131:$A$153</definedName>
    <definedName name="E31_22">Limits!$A$130:$A$153</definedName>
    <definedName name="E31_23">Limits!$A$129:$A$153</definedName>
    <definedName name="E31_24">Limits!$A$128:$A$153</definedName>
    <definedName name="E31_25">Limits!$A$127:$A$153</definedName>
    <definedName name="E31_26">Limits!$A$126:$A$153</definedName>
    <definedName name="E31_27">Limits!$A$125:$A$153</definedName>
    <definedName name="E31_28">Limits!$A$124:$A$153</definedName>
    <definedName name="E31_29">Limits!$A$123:$A$153</definedName>
    <definedName name="E31_3">Limits!$A$149:$A$153</definedName>
    <definedName name="E31_30">Limits!$A$122:$A$153</definedName>
    <definedName name="E31_31">Limits!$A$122:$A$153</definedName>
    <definedName name="E31_4">Limits!$A$148:$A$153</definedName>
    <definedName name="E31_5">Limits!$A$147:$A$153</definedName>
    <definedName name="E31_6">Limits!$A$146:$A$153</definedName>
    <definedName name="E31_7">Limits!$A$145:$A$153</definedName>
    <definedName name="E31_8">Limits!$A$144:$A$153</definedName>
    <definedName name="E31_9">Limits!$A$143:$A$153</definedName>
    <definedName name="E4_0">Limits!$A$125:$A$127</definedName>
    <definedName name="E4_1">Limits!$A$124:$A$128</definedName>
    <definedName name="E4_10">Limits!$A$122:$A$137</definedName>
    <definedName name="E4_11">Limits!$A$122:$A$138</definedName>
    <definedName name="E4_12">Limits!$A$122:$A$139</definedName>
    <definedName name="E4_13">Limits!$A$122:$A$140</definedName>
    <definedName name="E4_14">Limits!$A$122:$A$141</definedName>
    <definedName name="E4_15">Limits!$A$122:$A$142</definedName>
    <definedName name="E4_16">Limits!$A$122:$A$143</definedName>
    <definedName name="E4_17">Limits!$A$122:$A$144</definedName>
    <definedName name="E4_18">Limits!$A$122:$A$145</definedName>
    <definedName name="E4_19">Limits!$A$122:$A$146</definedName>
    <definedName name="E4_2">Limits!$A$123:$A$129</definedName>
    <definedName name="E4_20">Limits!$A$122:$A$147</definedName>
    <definedName name="E4_21">Limits!$A$122:$A$148</definedName>
    <definedName name="E4_22">Limits!$A$122:$A$149</definedName>
    <definedName name="E4_23">Limits!$A$122:$A$150</definedName>
    <definedName name="E4_24">Limits!$A$122:$A$151</definedName>
    <definedName name="E4_25">Limits!$A$122:$A$152</definedName>
    <definedName name="E4_26">Limits!$A$122:$A$153</definedName>
    <definedName name="E4_27">Limits!$A$122:$A$153</definedName>
    <definedName name="E4_28">Limits!$A$122:$A$153</definedName>
    <definedName name="E4_29">Limits!$A$122:$A$153</definedName>
    <definedName name="E4_3">Limits!$A$122:$A$130</definedName>
    <definedName name="E4_30">Limits!$A$122:$A$153</definedName>
    <definedName name="E4_31">Limits!$A$122:$A$153</definedName>
    <definedName name="E4_4">Limits!$A$122:$A$131</definedName>
    <definedName name="E4_5">Limits!$A$122:$A$132</definedName>
    <definedName name="E4_6">Limits!$A$122:$A$133</definedName>
    <definedName name="E4_7">Limits!$A$122:$A$134</definedName>
    <definedName name="E4_8">Limits!$A$122:$A$135</definedName>
    <definedName name="E4_9">Limits!$A$122:$A$136</definedName>
    <definedName name="E5_0">Limits!$A$126:$A$128</definedName>
    <definedName name="E5_1">Limits!$A$125:$A$129</definedName>
    <definedName name="E5_10">Limits!$A$122:$A$138</definedName>
    <definedName name="E5_11">Limits!$A$122:$A$139</definedName>
    <definedName name="E5_12">Limits!$A$122:$A$140</definedName>
    <definedName name="E5_13">Limits!$A$122:$A$141</definedName>
    <definedName name="E5_14">Limits!$A$122:$A$142</definedName>
    <definedName name="E5_15">Limits!$A$122:$A$143</definedName>
    <definedName name="E5_16">Limits!$A$122:$A$144</definedName>
    <definedName name="E5_17">Limits!$A$122:$A$145</definedName>
    <definedName name="E5_18">Limits!$A$122:$A$146</definedName>
    <definedName name="E5_19">Limits!$A$122:$A$147</definedName>
    <definedName name="E5_2">Limits!$A$124:$A$130</definedName>
    <definedName name="E5_20">Limits!$A$122:$A$148</definedName>
    <definedName name="E5_21">Limits!$A$122:$A$149</definedName>
    <definedName name="E5_22">Limits!$A$122:$A$150</definedName>
    <definedName name="E5_23">Limits!$A$122:$A$151</definedName>
    <definedName name="E5_24">Limits!$A$122:$A$152</definedName>
    <definedName name="E5_25">Limits!$A$122:$A$153</definedName>
    <definedName name="E5_26">Limits!$A$122:$A$153</definedName>
    <definedName name="E5_27">Limits!$A$122:$A$153</definedName>
    <definedName name="E5_28">Limits!$A$122:$A$153</definedName>
    <definedName name="E5_29">Limits!$A$122:$A$153</definedName>
    <definedName name="E5_3">Limits!$A$123:$A$131</definedName>
    <definedName name="E5_30">Limits!$A$122:$A$153</definedName>
    <definedName name="E5_31">Limits!$A$122:$A$153</definedName>
    <definedName name="E5_4">Limits!$A$122:$A$132</definedName>
    <definedName name="E5_5">Limits!$A$122:$A$133</definedName>
    <definedName name="E5_6">Limits!$A$122:$A$134</definedName>
    <definedName name="E5_7">Limits!$A$122:$A$135</definedName>
    <definedName name="E5_8">Limits!$A$122:$A$136</definedName>
    <definedName name="E5_9">Limits!$A$122:$A$137</definedName>
    <definedName name="E6_0">Limits!$A$127:$A$129</definedName>
    <definedName name="E6_1">Limits!$A$126:$A$130</definedName>
    <definedName name="E6_10">Limits!$A$122:$A$139</definedName>
    <definedName name="E6_11">Limits!$A$122:$A$140</definedName>
    <definedName name="E6_12">Limits!$A$122:$A$141</definedName>
    <definedName name="E6_13">Limits!$A$122:$A$142</definedName>
    <definedName name="E6_14">Limits!$A$122:$A$143</definedName>
    <definedName name="E6_15">Limits!$A$122:$A$144</definedName>
    <definedName name="E6_16">Limits!$A$122:$A$145</definedName>
    <definedName name="E6_17">Limits!$A$122:$A$146</definedName>
    <definedName name="E6_18">Limits!$A$122:$A$147</definedName>
    <definedName name="E6_19">Limits!$A$122:$A$148</definedName>
    <definedName name="E6_2">Limits!$A$125:$A$131</definedName>
    <definedName name="E6_20">Limits!$A$122:$A$149</definedName>
    <definedName name="E6_21">Limits!$A$122:$A$150</definedName>
    <definedName name="E6_22">Limits!$A$122:$A$151</definedName>
    <definedName name="E6_23">Limits!$A$122:$A$152</definedName>
    <definedName name="E6_24">Limits!$A$122:$A$153</definedName>
    <definedName name="E6_25">Limits!$A$122:$A$153</definedName>
    <definedName name="E6_26">Limits!$A$122:$A$153</definedName>
    <definedName name="E6_27">Limits!$A$122:$A$153</definedName>
    <definedName name="E6_28">Limits!$A$122:$A$153</definedName>
    <definedName name="E6_29">Limits!$A$122:$A$153</definedName>
    <definedName name="E6_3">Limits!$A$124:$A$132</definedName>
    <definedName name="E6_30">Limits!$A$122:$A$153</definedName>
    <definedName name="E6_31">Limits!$A$122:$A$153</definedName>
    <definedName name="E6_4">Limits!$A$123:$A$133</definedName>
    <definedName name="E6_5">Limits!$A$122:$A$134</definedName>
    <definedName name="E6_6">Limits!$A$122:$A$135</definedName>
    <definedName name="E6_7">Limits!$A$122:$A$136</definedName>
    <definedName name="E6_8">Limits!$A$122:$A$137</definedName>
    <definedName name="E6_9">Limits!$A$122:$A$138</definedName>
    <definedName name="E7_0">Limits!$A$128:$A$130</definedName>
    <definedName name="E7_1">Limits!$A$127:$A$131</definedName>
    <definedName name="E7_10">Limits!$A$122:$A$140</definedName>
    <definedName name="E7_11">Limits!$A$122:$A$141</definedName>
    <definedName name="E7_12">Limits!$A$122:$A$142</definedName>
    <definedName name="E7_13">Limits!$A$122:$A$143</definedName>
    <definedName name="E7_14">Limits!$A$122:$A$144</definedName>
    <definedName name="E7_15">Limits!$A$122:$A$145</definedName>
    <definedName name="E7_16">Limits!$A$122:$A$146</definedName>
    <definedName name="E7_17">Limits!$A$122:$A$147</definedName>
    <definedName name="E7_18">Limits!$A$122:$A$148</definedName>
    <definedName name="E7_19">Limits!$A$122:$A$149</definedName>
    <definedName name="E7_2">Limits!$A$126:$A$132</definedName>
    <definedName name="E7_20">Limits!$A$122:$A$150</definedName>
    <definedName name="E7_21">Limits!$A$122:$A$151</definedName>
    <definedName name="E7_22">Limits!$A$122:$A$152</definedName>
    <definedName name="E7_23">Limits!$A$122:$A$153</definedName>
    <definedName name="E7_24">Limits!$A$122:$A$153</definedName>
    <definedName name="E7_25">Limits!$A$122:$A$153</definedName>
    <definedName name="E7_26">Limits!$A$122:$A$153</definedName>
    <definedName name="E7_27">Limits!$A$122:$A$153</definedName>
    <definedName name="E7_28">Limits!$A$122:$A$153</definedName>
    <definedName name="E7_29">Limits!$A$122:$A$153</definedName>
    <definedName name="E7_3">Limits!$A$125:$A$133</definedName>
    <definedName name="E7_30">Limits!$A$122:$A$153</definedName>
    <definedName name="E7_31">Limits!$A$122:$A$153</definedName>
    <definedName name="E7_4">Limits!$A$124:$A$134</definedName>
    <definedName name="E7_5">Limits!$A$123:$A$135</definedName>
    <definedName name="E7_6">Limits!$A$122:$A$136</definedName>
    <definedName name="E7_7">Limits!$A$122:$A$137</definedName>
    <definedName name="E7_8">Limits!$A$122:$A$138</definedName>
    <definedName name="E7_9">Limits!$A$122:$A$139</definedName>
    <definedName name="E8_0">Limits!$A$129:$A$131</definedName>
    <definedName name="E8_1">Limits!$A$128:$A$132</definedName>
    <definedName name="E8_10">Limits!$A$122:$A$141</definedName>
    <definedName name="E8_11">Limits!$A$122:$A$142</definedName>
    <definedName name="E8_12">Limits!$A$122:$A$143</definedName>
    <definedName name="E8_13">Limits!$A$122:$A$144</definedName>
    <definedName name="E8_14">Limits!$A$122:$A$145</definedName>
    <definedName name="E8_15">Limits!$A$122:$A$146</definedName>
    <definedName name="E8_16">Limits!$A$122:$A$147</definedName>
    <definedName name="E8_17">Limits!$A$122:$A$148</definedName>
    <definedName name="E8_18">Limits!$A$122:$A$149</definedName>
    <definedName name="E8_19">Limits!$A$122:$A$150</definedName>
    <definedName name="E8_2">Limits!$A$127:$A$133</definedName>
    <definedName name="E8_20">Limits!$A$122:$A$151</definedName>
    <definedName name="E8_21">Limits!$A$122:$A$152</definedName>
    <definedName name="E8_22">Limits!$A$122:$A$153</definedName>
    <definedName name="E8_23">Limits!$A$122:$A$153</definedName>
    <definedName name="E8_24">Limits!$A$122:$A$153</definedName>
    <definedName name="E8_25">Limits!$A$122:$A$153</definedName>
    <definedName name="E8_26">Limits!$A$122:$A$153</definedName>
    <definedName name="E8_27">Limits!$A$122:$A$153</definedName>
    <definedName name="E8_28">Limits!$A$122:$A$153</definedName>
    <definedName name="E8_29">Limits!$A$122:$A$153</definedName>
    <definedName name="E8_3">Limits!$A$126:$A$134</definedName>
    <definedName name="E8_30">Limits!$A$122:$A$153</definedName>
    <definedName name="E8_31">Limits!$A$122:$A$153</definedName>
    <definedName name="E8_4">Limits!$A$125:$A$135</definedName>
    <definedName name="E8_5">Limits!$A$124:$A$136</definedName>
    <definedName name="E8_6">Limits!$A$123:$A$137</definedName>
    <definedName name="E8_7">Limits!$A$122:$A$138</definedName>
    <definedName name="E8_8">Limits!$A$122:$A$139</definedName>
    <definedName name="E8_9">Limits!$A$122:$A$140</definedName>
    <definedName name="E9_0">Limits!$A$130:$A$132</definedName>
    <definedName name="E9_1">Limits!$A$129:$A$133</definedName>
    <definedName name="E9_10">Limits!$A$122:$A$142</definedName>
    <definedName name="E9_11">Limits!$A$122:$A$143</definedName>
    <definedName name="E9_12">Limits!$A$122:$A$144</definedName>
    <definedName name="E9_13">Limits!$A$122:$A$145</definedName>
    <definedName name="E9_14">Limits!$A$122:$A$146</definedName>
    <definedName name="E9_15">Limits!$A$122:$A$147</definedName>
    <definedName name="E9_16">Limits!$A$122:$A$148</definedName>
    <definedName name="E9_17">Limits!$A$122:$A$149</definedName>
    <definedName name="E9_18">Limits!$A$122:$A$150</definedName>
    <definedName name="E9_19">Limits!$A$122:$A$151</definedName>
    <definedName name="E9_2">Limits!$A$128:$A$134</definedName>
    <definedName name="E9_20">Limits!$A$122:$A$152</definedName>
    <definedName name="E9_21">Limits!$A$122:$A$153</definedName>
    <definedName name="E9_22">Limits!$A$122:$A$153</definedName>
    <definedName name="E9_23">Limits!$A$122:$A$153</definedName>
    <definedName name="E9_24">Limits!$A$122:$A$153</definedName>
    <definedName name="E9_25">Limits!$A$122:$A$153</definedName>
    <definedName name="E9_26">Limits!$A$122:$A$153</definedName>
    <definedName name="E9_27">Limits!$A$122:$A$153</definedName>
    <definedName name="E9_28">Limits!$A$122:$A$153</definedName>
    <definedName name="E9_29">Limits!$A$122:$A$153</definedName>
    <definedName name="E9_3">Limits!$A$127:$A$135</definedName>
    <definedName name="E9_30">Limits!$A$122:$A$153</definedName>
    <definedName name="E9_31">Limits!$A$122:$A$153</definedName>
    <definedName name="E9_4">Limits!$A$126:$A$136</definedName>
    <definedName name="E9_5">Limits!$A$125:$A$137</definedName>
    <definedName name="E9_6">Limits!$A$124:$A$138</definedName>
    <definedName name="E9_7">Limits!$A$123:$A$139</definedName>
    <definedName name="E9_8">Limits!$A$122:$A$140</definedName>
    <definedName name="E9_9">Limits!$A$122:$A$141</definedName>
    <definedName name="EP0_31">Limits!$A$156:$A$188</definedName>
    <definedName name="EP1_30">Limits!$A$156:$A$188</definedName>
    <definedName name="EP1_31">Limits!$A$156:$A$189</definedName>
    <definedName name="EP10_21">Limits!$A$156:$A$188</definedName>
    <definedName name="EP10_22">Limits!$A$156:$A$189</definedName>
    <definedName name="EP10_23">Limits!$A$156:$A$190</definedName>
    <definedName name="EP10_24">Limits!$A$156:$A$191</definedName>
    <definedName name="EP10_25">Limits!$A$156:$A$192</definedName>
    <definedName name="EP10_26">Limits!$A$156:$A$193</definedName>
    <definedName name="EP10_27">Limits!$A$156:$A$194</definedName>
    <definedName name="EP10_28">Limits!$A$156:$A$195</definedName>
    <definedName name="EP10_29">Limits!$A$156:$A$196</definedName>
    <definedName name="EP10_30">Limits!$A$156:$A$197</definedName>
    <definedName name="EP10_31">Limits!$A$156:$A$198</definedName>
    <definedName name="EP11_20">Limits!$A$156:$A$188</definedName>
    <definedName name="EP11_21">Limits!$A$156:$A$189</definedName>
    <definedName name="EP11_22">Limits!$A$156:$A$190</definedName>
    <definedName name="EP11_23">Limits!$A$156:$A$191</definedName>
    <definedName name="EP11_24">Limits!$A$156:$A$192</definedName>
    <definedName name="EP11_25">Limits!$A$156:$A$193</definedName>
    <definedName name="EP11_26">Limits!$A$156:$A$194</definedName>
    <definedName name="EP11_27">Limits!$A$156:$A$195</definedName>
    <definedName name="EP11_28">Limits!$A$156:$A$196</definedName>
    <definedName name="EP11_29">Limits!$A$156:$A$197</definedName>
    <definedName name="EP11_30">Limits!$A$156:$A$198</definedName>
    <definedName name="EP11_31">Limits!$A$156:$A$199</definedName>
    <definedName name="EP12_19">Limits!$A$156:$A$188</definedName>
    <definedName name="EP12_20">Limits!$A$156:$A$189</definedName>
    <definedName name="EP12_21">Limits!$A$156:$A$190</definedName>
    <definedName name="EP12_22">Limits!$A$156:$A$191</definedName>
    <definedName name="EP12_23">Limits!$A$156:$A$192</definedName>
    <definedName name="EP12_24">Limits!$A$156:$A$193</definedName>
    <definedName name="EP12_25">Limits!$A$156:$A$194</definedName>
    <definedName name="EP12_26">Limits!$A$156:$A$195</definedName>
    <definedName name="EP12_27">Limits!$A$156:$A$196</definedName>
    <definedName name="EP12_28">Limits!$A$156:$A$197</definedName>
    <definedName name="EP12_29">Limits!$A$156:$A$198</definedName>
    <definedName name="EP12_30">Limits!$A$156:$A$199</definedName>
    <definedName name="EP12_31">Limits!$A$156:$A$200</definedName>
    <definedName name="EP13_18">Limits!$A$156:$A$188</definedName>
    <definedName name="EP13_19">Limits!$A$156:$A$189</definedName>
    <definedName name="EP13_20">Limits!$A$156:$A$190</definedName>
    <definedName name="EP13_21">Limits!$A$156:$A$191</definedName>
    <definedName name="EP13_22">Limits!$A$156:$A$192</definedName>
    <definedName name="EP13_23">Limits!$A$156:$A$193</definedName>
    <definedName name="EP13_24">Limits!$A$156:$A$194</definedName>
    <definedName name="EP13_25">Limits!$A$156:$A$195</definedName>
    <definedName name="EP13_26">Limits!$A$156:$A$196</definedName>
    <definedName name="EP13_27">Limits!$A$156:$A$197</definedName>
    <definedName name="EP13_28">Limits!$A$156:$A$198</definedName>
    <definedName name="EP13_29">Limits!$A$156:$A$199</definedName>
    <definedName name="EP13_30">Limits!$A$156:$A$200</definedName>
    <definedName name="EP13_31">Limits!$A$156:$A$201</definedName>
    <definedName name="EP14_17">Limits!$A$156:$A$188</definedName>
    <definedName name="EP14_18">Limits!$A$156:$A$189</definedName>
    <definedName name="EP14_19">Limits!$A$156:$A$190</definedName>
    <definedName name="EP14_20">Limits!$A$156:$A$191</definedName>
    <definedName name="EP14_21">Limits!$A$156:$A$192</definedName>
    <definedName name="EP14_22">Limits!$A$156:$A$193</definedName>
    <definedName name="EP14_23">Limits!$A$156:$A$194</definedName>
    <definedName name="EP14_24">Limits!$A$156:$A$195</definedName>
    <definedName name="EP14_25">Limits!$A$156:$A$196</definedName>
    <definedName name="EP14_26">Limits!$A$156:$A$197</definedName>
    <definedName name="EP14_27">Limits!$A$156:$A$198</definedName>
    <definedName name="EP14_28">Limits!$A$156:$A$199</definedName>
    <definedName name="EP14_29">Limits!$A$156:$A$200</definedName>
    <definedName name="EP14_30">Limits!$A$156:$A$201</definedName>
    <definedName name="EP14_31">Limits!$A$156:$A$202</definedName>
    <definedName name="EP15_16">Limits!$A$156:$A$188</definedName>
    <definedName name="EP15_17">Limits!$A$156:$A$189</definedName>
    <definedName name="EP15_18">Limits!$A$156:$A$190</definedName>
    <definedName name="EP15_19">Limits!$A$156:$A$191</definedName>
    <definedName name="EP15_20">Limits!$A$156:$A$192</definedName>
    <definedName name="EP15_21">Limits!$A$156:$A$193</definedName>
    <definedName name="EP15_22">Limits!$A$156:$A$194</definedName>
    <definedName name="EP15_23">Limits!$A$156:$A$195</definedName>
    <definedName name="EP15_24">Limits!$A$156:$A$196</definedName>
    <definedName name="EP15_25">Limits!$A$156:$A$197</definedName>
    <definedName name="EP15_26">Limits!$A$156:$A$198</definedName>
    <definedName name="EP15_27">Limits!$A$156:$A$199</definedName>
    <definedName name="EP15_28">Limits!$A$156:$A$200</definedName>
    <definedName name="EP15_29">Limits!$A$156:$A$201</definedName>
    <definedName name="EP15_30">Limits!$A$156:$A$202</definedName>
    <definedName name="EP15_31">Limits!$A$156:$A$203</definedName>
    <definedName name="EP16_15">Limits!$A$156:$A$188</definedName>
    <definedName name="EP16_16">Limits!$A$156:$A$189</definedName>
    <definedName name="EP16_17">Limits!$A$156:$A$190</definedName>
    <definedName name="EP16_18">Limits!$A$156:$A$191</definedName>
    <definedName name="EP16_19">Limits!$A$156:$A$192</definedName>
    <definedName name="EP16_20">Limits!$A$156:$A$193</definedName>
    <definedName name="EP16_21">Limits!$A$156:$A$194</definedName>
    <definedName name="EP16_22">Limits!$A$156:$A$195</definedName>
    <definedName name="EP16_23">Limits!$A$156:$A$196</definedName>
    <definedName name="EP16_24">Limits!$A$156:$A$197</definedName>
    <definedName name="EP16_25">Limits!$A$156:$A$198</definedName>
    <definedName name="EP16_26">Limits!$A$156:$A$199</definedName>
    <definedName name="EP16_27">Limits!$A$156:$A$200</definedName>
    <definedName name="EP16_28">Limits!$A$156:$A$201</definedName>
    <definedName name="EP16_29">Limits!$A$156:$A$202</definedName>
    <definedName name="EP16_30">Limits!$A$156:$A$203</definedName>
    <definedName name="EP16_31">Limits!$A$156:$A$204</definedName>
    <definedName name="EP17_14">Limits!$A$158:$A$188</definedName>
    <definedName name="EP17_15">Limits!$A$157:$A$189</definedName>
    <definedName name="EP17_16">Limits!$A$156:$A$190</definedName>
    <definedName name="EP17_17">Limits!$A$156:$A$191</definedName>
    <definedName name="EP17_18">Limits!$A$156:$A$192</definedName>
    <definedName name="EP17_19">Limits!$A$156:$A$193</definedName>
    <definedName name="EP17_20">Limits!$A$156:$A$194</definedName>
    <definedName name="EP17_21">Limits!$A$156:$A$195</definedName>
    <definedName name="EP17_22">Limits!$A$156:$A$196</definedName>
    <definedName name="EP17_23">Limits!$A$156:$A$197</definedName>
    <definedName name="EP17_24">Limits!$A$156:$A$198</definedName>
    <definedName name="EP17_25">Limits!$A$156:$A$199</definedName>
    <definedName name="EP17_26">Limits!$A$156:$A$200</definedName>
    <definedName name="EP17_27">Limits!$A$156:$A$201</definedName>
    <definedName name="EP17_28">Limits!$A$156:$A$202</definedName>
    <definedName name="EP17_29">Limits!$A$156:$A$203</definedName>
    <definedName name="EP17_30">Limits!$A$156:$A$204</definedName>
    <definedName name="EP17_31">Limits!$A$156:$A$205</definedName>
    <definedName name="EP18_13">Limits!$A$160:$A$188</definedName>
    <definedName name="EP18_14">Limits!$A$159:$A$189</definedName>
    <definedName name="EP18_15">Limits!$A$158:$A$190</definedName>
    <definedName name="EP18_16">Limits!$A$157:$A$191</definedName>
    <definedName name="EP18_17">Limits!$A$156:$A$192</definedName>
    <definedName name="EP18_18">Limits!$A$156:$A$193</definedName>
    <definedName name="EP18_19">Limits!$A$156:$A$194</definedName>
    <definedName name="EP18_20">Limits!$A$156:$A$195</definedName>
    <definedName name="EP18_21">Limits!$A$156:$A$196</definedName>
    <definedName name="EP18_22">Limits!$A$156:$A$197</definedName>
    <definedName name="EP18_23">Limits!$A$156:$A$198</definedName>
    <definedName name="EP18_24">Limits!$A$156:$A$199</definedName>
    <definedName name="EP18_25">Limits!$A$156:$A$200</definedName>
    <definedName name="EP18_26">Limits!$A$156:$A$201</definedName>
    <definedName name="EP18_27">Limits!$A$156:$A$202</definedName>
    <definedName name="EP18_28">Limits!$A$156:$A$203</definedName>
    <definedName name="EP18_29">Limits!$A$156:$A$204</definedName>
    <definedName name="EP18_30">Limits!$A$156:$A$205</definedName>
    <definedName name="EP18_31">Limits!$A$156:$A$206</definedName>
    <definedName name="EP19_12">Limits!$A$162:$A$188</definedName>
    <definedName name="EP19_13">Limits!$A$161:$A$189</definedName>
    <definedName name="EP19_14">Limits!$A$160:$A$190</definedName>
    <definedName name="EP19_15">Limits!$A$159:$A$191</definedName>
    <definedName name="EP19_16">Limits!$A$158:$A$192</definedName>
    <definedName name="EP19_17">Limits!$A$157:$A$193</definedName>
    <definedName name="EP19_18">Limits!$A$156:$A$194</definedName>
    <definedName name="EP19_19">Limits!$A$156:$A$195</definedName>
    <definedName name="EP19_20">Limits!$A$156:$A$196</definedName>
    <definedName name="EP19_21">Limits!$A$156:$A$197</definedName>
    <definedName name="EP19_22">Limits!$A$156:$A$198</definedName>
    <definedName name="EP19_23">Limits!$A$156:$A$199</definedName>
    <definedName name="EP19_24">Limits!$A$156:$A$200</definedName>
    <definedName name="EP19_25">Limits!$A$156:$A$201</definedName>
    <definedName name="EP19_26">Limits!$A$156:$A$202</definedName>
    <definedName name="EP19_27">Limits!$A$156:$A$203</definedName>
    <definedName name="EP19_28">Limits!$A$156:$A$204</definedName>
    <definedName name="EP19_29">Limits!$A$156:$A$205</definedName>
    <definedName name="EP19_30">Limits!$A$156:$A$206</definedName>
    <definedName name="EP19_31">Limits!$A$156:$A$207</definedName>
    <definedName name="EP2_29">Limits!$A$156:$A$188</definedName>
    <definedName name="EP2_30">Limits!$A$156:$A$189</definedName>
    <definedName name="EP2_31">Limits!$A$156:$A$190</definedName>
    <definedName name="EP20_11">Limits!$A$164:$A$188</definedName>
    <definedName name="EP20_12">Limits!$A$163:$A$189</definedName>
    <definedName name="EP20_13">Limits!$A$162:$A$190</definedName>
    <definedName name="EP20_14">Limits!$A$161:$A$191</definedName>
    <definedName name="EP20_15">Limits!$A$160:$A$192</definedName>
    <definedName name="EP20_16">Limits!$A$159:$A$193</definedName>
    <definedName name="EP20_17">Limits!$A$158:$A$194</definedName>
    <definedName name="EP20_18">Limits!$A$157:$A$195</definedName>
    <definedName name="EP20_19">Limits!$A$156:$A$196</definedName>
    <definedName name="EP20_20">Limits!$A$156:$A$197</definedName>
    <definedName name="EP20_21">Limits!$A$156:$A$198</definedName>
    <definedName name="EP20_22">Limits!$A$156:$A$199</definedName>
    <definedName name="EP20_23">Limits!$A$156:$A$200</definedName>
    <definedName name="EP20_24">Limits!$A$156:$A$201</definedName>
    <definedName name="EP20_25">Limits!$A$156:$A$202</definedName>
    <definedName name="EP20_26">Limits!$A$156:$A$203</definedName>
    <definedName name="EP20_27">Limits!$A$156:$A$204</definedName>
    <definedName name="EP20_28">Limits!$A$156:$A$205</definedName>
    <definedName name="EP20_29">Limits!$A$156:$A$206</definedName>
    <definedName name="EP20_30">Limits!$A$156:$A$207</definedName>
    <definedName name="EP20_31">Limits!$A$156:$A$208</definedName>
    <definedName name="EP21_10">Limits!$A$166:$A$188</definedName>
    <definedName name="EP21_11">Limits!$A$165:$A$189</definedName>
    <definedName name="EP21_12">Limits!$A$164:$A$190</definedName>
    <definedName name="EP21_13">Limits!$A$163:$A$191</definedName>
    <definedName name="EP21_14">Limits!$A$162:$A$192</definedName>
    <definedName name="EP21_15">Limits!$A$161:$A$193</definedName>
    <definedName name="EP21_16">Limits!$A$160:$A$194</definedName>
    <definedName name="EP21_17">Limits!$A$159:$A$195</definedName>
    <definedName name="EP21_18">Limits!$A$158:$A$196</definedName>
    <definedName name="EP21_19">Limits!$A$157:$A$197</definedName>
    <definedName name="EP21_20">Limits!$A$156:$A$198</definedName>
    <definedName name="EP21_21">Limits!$A$156:$A$199</definedName>
    <definedName name="EP21_22">Limits!$A$156:$A$200</definedName>
    <definedName name="EP21_23">Limits!$A$156:$A$201</definedName>
    <definedName name="EP21_24">Limits!$A$156:$A$202</definedName>
    <definedName name="EP21_25">Limits!$A$156:$A$203</definedName>
    <definedName name="EP21_26">Limits!$A$156:$A$204</definedName>
    <definedName name="EP21_27">Limits!$A$156:$A$205</definedName>
    <definedName name="EP21_28">Limits!$A$156:$A$206</definedName>
    <definedName name="EP21_29">Limits!$A$156:$A$207</definedName>
    <definedName name="EP21_30">Limits!$A$156:$A$208</definedName>
    <definedName name="EP21_31">Limits!$A$156:$A$209</definedName>
    <definedName name="EP22_10">Limits!$A$167:$A$189</definedName>
    <definedName name="EP22_11">Limits!$A$166:$A$190</definedName>
    <definedName name="EP22_12">Limits!$A$165:$A$191</definedName>
    <definedName name="EP22_13">Limits!$A$164:$A$192</definedName>
    <definedName name="EP22_14">Limits!$A$163:$A$193</definedName>
    <definedName name="EP22_15">Limits!$A$162:$A$194</definedName>
    <definedName name="EP22_16">Limits!$A$161:$A$195</definedName>
    <definedName name="EP22_17">Limits!$A$160:$A$196</definedName>
    <definedName name="EP22_18">Limits!$A$159:$A$197</definedName>
    <definedName name="EP22_19">Limits!$A$158:$A$198</definedName>
    <definedName name="EP22_20">Limits!$A$157:$A$199</definedName>
    <definedName name="EP22_21">Limits!$A$156:$A$200</definedName>
    <definedName name="EP22_22">Limits!$A$156:$A$201</definedName>
    <definedName name="EP22_23">Limits!$A$156:$A$202</definedName>
    <definedName name="EP22_24">Limits!$A$156:$A$203</definedName>
    <definedName name="EP22_25">Limits!$A$156:$A$204</definedName>
    <definedName name="EP22_26">Limits!$A$156:$A$205</definedName>
    <definedName name="EP22_27">Limits!$A$156:$A$206</definedName>
    <definedName name="EP22_28">Limits!$A$156:$A$207</definedName>
    <definedName name="EP22_29">Limits!$A$156:$A$208</definedName>
    <definedName name="EP22_30">Limits!$A$156:$A$209</definedName>
    <definedName name="EP22_31">Limits!$A$156:$A$210</definedName>
    <definedName name="EP22_9">Limits!$A$168:$A$188</definedName>
    <definedName name="EP23_10">Limits!$A$168:$A$190</definedName>
    <definedName name="EP23_11">Limits!$A$167:$A$191</definedName>
    <definedName name="EP23_12">Limits!$A$166:$A$192</definedName>
    <definedName name="EP23_13">Limits!$A$165:$A$193</definedName>
    <definedName name="EP23_14">Limits!$A$164:$A$194</definedName>
    <definedName name="EP23_15">Limits!$A$163:$A$195</definedName>
    <definedName name="EP23_16">Limits!$A$162:$A$196</definedName>
    <definedName name="EP23_17">Limits!$A$161:$A$197</definedName>
    <definedName name="EP23_18">Limits!$A$160:$A$198</definedName>
    <definedName name="EP23_19">Limits!$A$159:$A$199</definedName>
    <definedName name="EP23_20">Limits!$A$158:$A$200</definedName>
    <definedName name="EP23_21">Limits!$A$157:$A$201</definedName>
    <definedName name="EP23_22">Limits!$A$156:$A$202</definedName>
    <definedName name="EP23_23">Limits!$A$156:$A$203</definedName>
    <definedName name="EP23_24">Limits!$A$156:$A$204</definedName>
    <definedName name="EP23_25">Limits!$A$156:$A$205</definedName>
    <definedName name="EP23_26">Limits!$A$156:$A$206</definedName>
    <definedName name="EP23_27">Limits!$A$156:$A$207</definedName>
    <definedName name="EP23_28">Limits!$A$156:$A$208</definedName>
    <definedName name="EP23_29">Limits!$A$156:$A$209</definedName>
    <definedName name="EP23_30">Limits!$A$156:$A$210</definedName>
    <definedName name="EP23_31">Limits!$A$156:$A$211</definedName>
    <definedName name="EP23_8">Limits!$A$170:$A$188</definedName>
    <definedName name="EP23_9">Limits!$A$169:$A$189</definedName>
    <definedName name="EP24_10">Limits!$A$169:$A$191</definedName>
    <definedName name="EP24_11">Limits!$A$168:$A$192</definedName>
    <definedName name="EP24_12">Limits!$A$167:$A$193</definedName>
    <definedName name="EP24_13">Limits!$A$166:$A$194</definedName>
    <definedName name="EP24_14">Limits!$A$165:$A$195</definedName>
    <definedName name="EP24_15">Limits!$A$164:$A$196</definedName>
    <definedName name="EP24_16">Limits!$A$163:$A$197</definedName>
    <definedName name="EP24_17">Limits!$A$162:$A$198</definedName>
    <definedName name="EP24_18">Limits!$A$161:$A$199</definedName>
    <definedName name="EP24_19">Limits!$A$160:$A$200</definedName>
    <definedName name="EP24_20">Limits!$A$159:$A$201</definedName>
    <definedName name="EP24_21">Limits!$A$158:$A$202</definedName>
    <definedName name="EP24_22">Limits!$A$157:$A$203</definedName>
    <definedName name="EP24_23">Limits!$A$156:$A$204</definedName>
    <definedName name="EP24_24">Limits!$A$156:$A$205</definedName>
    <definedName name="EP24_25">Limits!$A$156:$A$206</definedName>
    <definedName name="EP24_26">Limits!$A$156:$A$207</definedName>
    <definedName name="EP24_27">Limits!$A$156:$A$208</definedName>
    <definedName name="EP24_28">Limits!$A$156:$A$209</definedName>
    <definedName name="EP24_29">Limits!$A$156:$A$210</definedName>
    <definedName name="EP24_30">Limits!$A$156:$A$211</definedName>
    <definedName name="EP24_31">Limits!$A$156:$A$212</definedName>
    <definedName name="EP24_7">Limits!$A$172:$A$188</definedName>
    <definedName name="EP24_8">Limits!$A$171:$A$189</definedName>
    <definedName name="EP24_9">Limits!$A$170:$A$190</definedName>
    <definedName name="EP25_10">Limits!$A$170:$A$192</definedName>
    <definedName name="EP25_11">Limits!$A$169:$A$193</definedName>
    <definedName name="EP25_12">Limits!$A$168:$A$194</definedName>
    <definedName name="EP25_13">Limits!$A$167:$A$195</definedName>
    <definedName name="EP25_14">Limits!$A$166:$A$196</definedName>
    <definedName name="EP25_15">Limits!$A$165:$A$197</definedName>
    <definedName name="EP25_16">Limits!$A$164:$A$198</definedName>
    <definedName name="EP25_17">Limits!$A$163:$A$199</definedName>
    <definedName name="EP25_18">Limits!$A$162:$A$200</definedName>
    <definedName name="EP25_19">Limits!$A$161:$A$201</definedName>
    <definedName name="EP25_20">Limits!$A$160:$A$202</definedName>
    <definedName name="EP25_21">Limits!$A$159:$A$203</definedName>
    <definedName name="EP25_22">Limits!$A$158:$A$203</definedName>
    <definedName name="EP25_23">Limits!$A$157:$A$205</definedName>
    <definedName name="EP25_24">Limits!$A$156:$A$206</definedName>
    <definedName name="EP25_25">Limits!$A$156:$A$207</definedName>
    <definedName name="EP25_26">Limits!$A$156:$A$208</definedName>
    <definedName name="EP25_27">Limits!$A$156:$A$209</definedName>
    <definedName name="EP25_28">Limits!$A$156:$A$210</definedName>
    <definedName name="EP25_29">Limits!$A$156:$A$211</definedName>
    <definedName name="EP25_30">Limits!$A$156:$A$212</definedName>
    <definedName name="EP25_31">Limits!$A$156:$A$213</definedName>
    <definedName name="EP25_6">Limits!$A$174:$A$188</definedName>
    <definedName name="EP25_7">Limits!$A$173:$A$189</definedName>
    <definedName name="EP25_8">Limits!$A$172:$A$190</definedName>
    <definedName name="EP25_9">Limits!$A$171:$A$191</definedName>
    <definedName name="EP26_10">Limits!$A$171:$A$193</definedName>
    <definedName name="EP26_11">Limits!$A$170:$A$194</definedName>
    <definedName name="EP26_12">Limits!$A$169:$A$195</definedName>
    <definedName name="EP26_13">Limits!$A$168:$A$196</definedName>
    <definedName name="EP26_14">Limits!$A$167:$A$197</definedName>
    <definedName name="EP26_15">Limits!$A$166:$A$198</definedName>
    <definedName name="EP26_16">Limits!$A$165:$A$199</definedName>
    <definedName name="EP26_17">Limits!$A$164:$A$200</definedName>
    <definedName name="EP26_18">Limits!$A$163:$A$201</definedName>
    <definedName name="EP26_19">Limits!$A$162:$A$202</definedName>
    <definedName name="EP26_20">Limits!$A$161:$A$203</definedName>
    <definedName name="EP26_21">Limits!$A$160:$A$204</definedName>
    <definedName name="EP26_22">Limits!$A$159:$A$205</definedName>
    <definedName name="EP26_23">Limits!$A$158:$A$206</definedName>
    <definedName name="EP26_24">Limits!$A$157:$A$207</definedName>
    <definedName name="EP26_25">Limits!$A$156:$A$208</definedName>
    <definedName name="EP26_26">Limits!$A$156:$A$209</definedName>
    <definedName name="EP26_27">Limits!$A$156:$A$210</definedName>
    <definedName name="EP26_28">Limits!$A$156:$A$211</definedName>
    <definedName name="EP26_29">Limits!$A$156:$A$212</definedName>
    <definedName name="EP26_30">Limits!$A$156:$A$213</definedName>
    <definedName name="EP26_31">Limits!$A$156:$A$214</definedName>
    <definedName name="EP26_5">Limits!$A$176:$A$188</definedName>
    <definedName name="EP26_6">Limits!$A$175:$A$189</definedName>
    <definedName name="EP26_7">Limits!$A$174:$A$190</definedName>
    <definedName name="EP26_8">Limits!$A$173:$A$191</definedName>
    <definedName name="EP26_9">Limits!$A$172:$A$192</definedName>
    <definedName name="EP27_10">Limits!$A$172:$A$194</definedName>
    <definedName name="EP27_11">Limits!$A$171:$A$195</definedName>
    <definedName name="EP27_12">Limits!$A$170:$A$196</definedName>
    <definedName name="EP27_13">Limits!$A$169:$A$197</definedName>
    <definedName name="EP27_14">Limits!$A$168:$A$198</definedName>
    <definedName name="EP27_15">Limits!$A$167:$A$199</definedName>
    <definedName name="EP27_16">Limits!$A$166:$A$200</definedName>
    <definedName name="EP27_17">Limits!$A$165:$A$201</definedName>
    <definedName name="EP27_18">Limits!$A$164:$A$202</definedName>
    <definedName name="EP27_19">Limits!$A$163:$A$203</definedName>
    <definedName name="EP27_20">Limits!$A$162:$A$204</definedName>
    <definedName name="EP27_21">Limits!$A$161:$A$205</definedName>
    <definedName name="EP27_22">Limits!$A$160:$A$206</definedName>
    <definedName name="EP27_23">Limits!$A$159:$A$207</definedName>
    <definedName name="EP27_24">Limits!$A$158:$A$208</definedName>
    <definedName name="EP27_25">Limits!$A$157:$A$209</definedName>
    <definedName name="EP27_26">Limits!$A$156:$A$210</definedName>
    <definedName name="EP27_27">Limits!$A$156:$A$211</definedName>
    <definedName name="EP27_28">Limits!$A$156:$A$212</definedName>
    <definedName name="EP27_29">Limits!$A$156:$A$213</definedName>
    <definedName name="EP27_30">Limits!$A$156:$A$214</definedName>
    <definedName name="EP27_31">Limits!$A$156:$A$215</definedName>
    <definedName name="EP27_4">Limits!$A$178:$A$188</definedName>
    <definedName name="EP27_5">Limits!$A$177:$A$189</definedName>
    <definedName name="EP27_6">Limits!$A$176:$A$190</definedName>
    <definedName name="EP27_7">Limits!$A$175:$A$191</definedName>
    <definedName name="EP27_8">Limits!$A$174:$A$192</definedName>
    <definedName name="EP27_9">Limits!$A$173:$A$193</definedName>
    <definedName name="EP28_10">Limits!$A$173:$A$195</definedName>
    <definedName name="EP28_11">Limits!$A$172:$A$196</definedName>
    <definedName name="EP28_12">Limits!$A$171:$A$197</definedName>
    <definedName name="EP28_13">Limits!$A$170:$A$198</definedName>
    <definedName name="EP28_14">Limits!$A$169:$A$199</definedName>
    <definedName name="EP28_15">Limits!$A$168:$A$200</definedName>
    <definedName name="EP28_16">Limits!$A$167:$A$201</definedName>
    <definedName name="EP28_17">Limits!$A$166:$A$202</definedName>
    <definedName name="EP28_18">Limits!$A$165:$A$203</definedName>
    <definedName name="EP28_19">Limits!$A$164:$A$204</definedName>
    <definedName name="EP28_20">Limits!$A$163:$A$205</definedName>
    <definedName name="EP28_21">Limits!$A$162:$A$206</definedName>
    <definedName name="EP28_22">Limits!$A$161:$A$207</definedName>
    <definedName name="EP28_23">Limits!$A$160:$A$208</definedName>
    <definedName name="EP28_24">Limits!$A$159:$A$209</definedName>
    <definedName name="EP28_25">Limits!$A$158:$A$210</definedName>
    <definedName name="EP28_26">Limits!$A$157:$A$211</definedName>
    <definedName name="EP28_27">Limits!$A$156:$A$212</definedName>
    <definedName name="EP28_28">Limits!$A$156:$A$213</definedName>
    <definedName name="EP28_29">Limits!$A$156:$A$214</definedName>
    <definedName name="EP28_3">Limits!$A$180:$A$188</definedName>
    <definedName name="EP28_30">Limits!$A$156:$A$215</definedName>
    <definedName name="EP28_31">Limits!$A$156:$A$216</definedName>
    <definedName name="EP28_4">Limits!$A$179:$A$189</definedName>
    <definedName name="EP28_5">Limits!$A$178:$A$190</definedName>
    <definedName name="EP28_6">Limits!$A$177:$A$191</definedName>
    <definedName name="EP28_7">Limits!$A$176:$A$192</definedName>
    <definedName name="EP28_8">Limits!$A$175:$A$193</definedName>
    <definedName name="EP28_9">Limits!$A$174:$A$194</definedName>
    <definedName name="EP29_10">Limits!$A$174:$A$196</definedName>
    <definedName name="EP29_11">Limits!$A$173:$A$197</definedName>
    <definedName name="EP29_12">Limits!$A$172:$A$198</definedName>
    <definedName name="EP29_13">Limits!$A$171:$A$199</definedName>
    <definedName name="EP29_14">Limits!$A$170:$A$200</definedName>
    <definedName name="EP29_15">Limits!$A$169:$A$201</definedName>
    <definedName name="EP29_16">Limits!$A$168:$A$202</definedName>
    <definedName name="EP29_17">Limits!$A$167:$A$203</definedName>
    <definedName name="EP29_18">Limits!$A$166:$A$204</definedName>
    <definedName name="EP29_19">Limits!$A$165:$A$205</definedName>
    <definedName name="EP29_2">Limits!$A$182:$A$188</definedName>
    <definedName name="EP29_20">Limits!$A$164:$A$206</definedName>
    <definedName name="EP29_21">Limits!$A$163:$A$207</definedName>
    <definedName name="EP29_22">Limits!$A$162:$A$208</definedName>
    <definedName name="EP29_23">Limits!$A$161:$A$209</definedName>
    <definedName name="EP29_24">Limits!$A$160:$A$210</definedName>
    <definedName name="EP29_25">Limits!$A$159:$A$211</definedName>
    <definedName name="EP29_26">Limits!$A$158:$A$212</definedName>
    <definedName name="EP29_27">Limits!$A$157:$A$213</definedName>
    <definedName name="EP29_28">Limits!$A$156:$A$214</definedName>
    <definedName name="EP29_29">Limits!$A$156:$A$215</definedName>
    <definedName name="EP29_3">Limits!$A$181:$A$189</definedName>
    <definedName name="EP29_30">Limits!$A$156:$A$216</definedName>
    <definedName name="EP29_31">Limits!$A$156:$A$217</definedName>
    <definedName name="EP29_4">Limits!$A$180:$A$190</definedName>
    <definedName name="EP29_5">Limits!$A$179:$A$191</definedName>
    <definedName name="EP29_6">Limits!$A$178:$A$192</definedName>
    <definedName name="EP29_7">Limits!$A$177:$A$193</definedName>
    <definedName name="EP29_8">Limits!$A$176:$A$194</definedName>
    <definedName name="EP29_9">Limits!$A$175:$A$195</definedName>
    <definedName name="EP3_28">Limits!$A$156:$A$188</definedName>
    <definedName name="EP3_29">Limits!$A$156:$A$189</definedName>
    <definedName name="EP3_30">Limits!$A$156:$A$190</definedName>
    <definedName name="EP3_31">Limits!$A$156:$A$191</definedName>
    <definedName name="EP30_1">Limits!$A$184:$A$188</definedName>
    <definedName name="EP30_10">Limits!$A$175:$A$197</definedName>
    <definedName name="EP30_11">Limits!$A$174:$A$198</definedName>
    <definedName name="EP30_12">Limits!$A$173:$A$199</definedName>
    <definedName name="EP30_13">Limits!$A$172:$A$200</definedName>
    <definedName name="EP30_14">Limits!$A$171:$A$201</definedName>
    <definedName name="EP30_15">Limits!$A$170:$A$202</definedName>
    <definedName name="EP30_16">Limits!$A$169:$A$203</definedName>
    <definedName name="EP30_17">Limits!$A$168:$A$204</definedName>
    <definedName name="EP30_18">Limits!$A$167:$A$205</definedName>
    <definedName name="EP30_19">Limits!$A$166:$A$206</definedName>
    <definedName name="EP30_2">Limits!$A$183:$A$189</definedName>
    <definedName name="EP30_20">Limits!$A$165:$A$207</definedName>
    <definedName name="EP30_21">Limits!$A$164:$A$208</definedName>
    <definedName name="EP30_22">Limits!$A$163:$A$209</definedName>
    <definedName name="EP30_23">Limits!$A$162:$A$210</definedName>
    <definedName name="EP30_24">Limits!$A$161:$A$211</definedName>
    <definedName name="EP30_25">Limits!$A$160:$A$212</definedName>
    <definedName name="EP30_26">Limits!$A$159:$A$213</definedName>
    <definedName name="EP30_27">Limits!$A$158:$A$214</definedName>
    <definedName name="EP30_28">Limits!$A$157:$A$215</definedName>
    <definedName name="EP30_29">Limits!$A$156:$A$216</definedName>
    <definedName name="EP30_3">Limits!$A$182:$A$190</definedName>
    <definedName name="EP30_30">Limits!$A$156:$A$217</definedName>
    <definedName name="EP30_31">Limits!$A$156:$A$218</definedName>
    <definedName name="EP30_4">Limits!$A$181:$A$191</definedName>
    <definedName name="EP30_5">Limits!$A$180:$A$192</definedName>
    <definedName name="EP30_6">Limits!$A$179:$A$193</definedName>
    <definedName name="EP30_7">Limits!$A$178:$A$194</definedName>
    <definedName name="EP30_8">Limits!$A$177:$A$195</definedName>
    <definedName name="EP30_9">Limits!$A$176:$A$196</definedName>
    <definedName name="EP31_0">Limits!$A$186:$A$188</definedName>
    <definedName name="EP31_1">Limits!$A$185:$A$189</definedName>
    <definedName name="EP31_10">Limits!$A$176:$A$198</definedName>
    <definedName name="EP31_11">Limits!$A$175:$A$199</definedName>
    <definedName name="EP31_12">Limits!$A$174:$A$200</definedName>
    <definedName name="EP31_13">Limits!$A$173:$A$201</definedName>
    <definedName name="EP31_14">Limits!$A$172:$A$202</definedName>
    <definedName name="EP31_15">Limits!$A$171:$A$203</definedName>
    <definedName name="EP31_16">Limits!$A$170:$A$204</definedName>
    <definedName name="EP31_17">Limits!$A$169:$A$205</definedName>
    <definedName name="EP31_18">Limits!$A$168:$A$206</definedName>
    <definedName name="EP31_19">Limits!$A$167:$A$207</definedName>
    <definedName name="EP31_2">Limits!$A$184:$A$190</definedName>
    <definedName name="EP31_20">Limits!$A$166:$A$208</definedName>
    <definedName name="EP31_21">Limits!$A$165:$A$209</definedName>
    <definedName name="EP31_22">Limits!$A$164:$A$210</definedName>
    <definedName name="EP31_23">Limits!$A$163:$A$211</definedName>
    <definedName name="EP31_24">Limits!$A$162:$A$212</definedName>
    <definedName name="EP31_25">Limits!$A$161:$A$213</definedName>
    <definedName name="EP31_26">Limits!$A$160:$A$214</definedName>
    <definedName name="EP31_27">Limits!$A$159:$A$215</definedName>
    <definedName name="EP31_28">Limits!$A$158:$A$216</definedName>
    <definedName name="EP31_29">Limits!$A$157:$A$217</definedName>
    <definedName name="EP31_3">Limits!$A$183:$A$191</definedName>
    <definedName name="EP31_30">Limits!$A$156:$A$218</definedName>
    <definedName name="EP31_31">Limits!$A$156:$A$219</definedName>
    <definedName name="EP31_4">Limits!$A$182:$A$192</definedName>
    <definedName name="EP31_5">Limits!$A$181:$A$193</definedName>
    <definedName name="EP31_6">Limits!$A$180:$A$194</definedName>
    <definedName name="EP31_7">Limits!$A$179:$A$195</definedName>
    <definedName name="EP31_8">Limits!$A$178:$A$196</definedName>
    <definedName name="EP31_9">Limits!$A$177:$A$197</definedName>
    <definedName name="EP32_0">Limits!$A$187:$A$189</definedName>
    <definedName name="EP32_1">Limits!$A$186:$A$190</definedName>
    <definedName name="EP32_10">Limits!$A$177:$A$199</definedName>
    <definedName name="EP32_11">Limits!$A$176:$A$200</definedName>
    <definedName name="EP32_12">Limits!$A$175:$A$201</definedName>
    <definedName name="EP32_13">Limits!$A$174:$A$202</definedName>
    <definedName name="EP32_14">Limits!$A$173:$A$203</definedName>
    <definedName name="EP32_15">Limits!$A$172:$A$204</definedName>
    <definedName name="EP32_16">Limits!$A$171:$A$205</definedName>
    <definedName name="EP32_17">Limits!$A$170:$A$206</definedName>
    <definedName name="EP32_18">Limits!$A$169:$A$207</definedName>
    <definedName name="EP32_19">Limits!$A$168:$A$208</definedName>
    <definedName name="EP32_2">Limits!$A$185:$A$191</definedName>
    <definedName name="EP32_20">Limits!$A$167:$A$209</definedName>
    <definedName name="EP32_21">Limits!$A$166:$A$210</definedName>
    <definedName name="EP32_22">Limits!$A$165:$A$211</definedName>
    <definedName name="EP32_23">Limits!$A$164:$A$212</definedName>
    <definedName name="EP32_24">Limits!$A$163:$A$213</definedName>
    <definedName name="EP32_25">Limits!$A$162:$A$214</definedName>
    <definedName name="EP32_26">Limits!$A$161:$A$215</definedName>
    <definedName name="EP32_27">Limits!$A$160:$A$216</definedName>
    <definedName name="EP32_28">Limits!$A$159:$A$217</definedName>
    <definedName name="EP32_29">Limits!$A$158:$A$218</definedName>
    <definedName name="EP32_3">Limits!$A$184:$A$192</definedName>
    <definedName name="EP32_30">Limits!$A$157:$A$219</definedName>
    <definedName name="EP32_31">Limits!$A$156:$A$219</definedName>
    <definedName name="EP32_4">Limits!$A$183:$A$193</definedName>
    <definedName name="EP32_5">Limits!$A$182:$A$194</definedName>
    <definedName name="EP32_6">Limits!$A$181:$A$195</definedName>
    <definedName name="EP32_7">Limits!$A$180:$A$196</definedName>
    <definedName name="EP32_8">Limits!$A$179:$A$197</definedName>
    <definedName name="EP32_9">Limits!$A$178:$A$198</definedName>
    <definedName name="EP33_0">Limits!$A$188:$A$190</definedName>
    <definedName name="EP33_1">Limits!$A$187:$A$191</definedName>
    <definedName name="EP33_10">Limits!$A$178:$A$200</definedName>
    <definedName name="EP33_11">Limits!$A$177:$A$201</definedName>
    <definedName name="EP33_12">Limits!$A$176:$A$202</definedName>
    <definedName name="EP33_13">Limits!$A$175:$A$203</definedName>
    <definedName name="EP33_14">Limits!$A$174:$A$204</definedName>
    <definedName name="EP33_15">Limits!$A$173:$A$205</definedName>
    <definedName name="EP33_16">Limits!$A$172:$A$206</definedName>
    <definedName name="EP33_17">Limits!$A$171:$A$207</definedName>
    <definedName name="EP33_18">Limits!$A$170:$A$208</definedName>
    <definedName name="EP33_19">Limits!$A$169:$A$209</definedName>
    <definedName name="EP33_2">Limits!$A$186:$A$192</definedName>
    <definedName name="EP33_20">Limits!$A$168:$A$210</definedName>
    <definedName name="EP33_21">Limits!$A$167:$A$211</definedName>
    <definedName name="EP33_22">Limits!$A$166:$A$212</definedName>
    <definedName name="EP33_23">Limits!$A$165:$A$213</definedName>
    <definedName name="EP33_24">Limits!$A$164:$A$214</definedName>
    <definedName name="EP33_25">Limits!$A$163:$A$215</definedName>
    <definedName name="EP33_26">Limits!$A$162:$A$216</definedName>
    <definedName name="EP33_27">Limits!$A$161:$A$217</definedName>
    <definedName name="EP33_28">Limits!$A$160:$A$218</definedName>
    <definedName name="EP33_29">Limits!$A$159:$A$219</definedName>
    <definedName name="EP33_3">Limits!$A$185:$A$193</definedName>
    <definedName name="EP33_30">Limits!$A$158:$A$219</definedName>
    <definedName name="EP33_31">Limits!$A$157:$A$219</definedName>
    <definedName name="EP33_4">Limits!$A$184:$A$194</definedName>
    <definedName name="EP33_5">Limits!$A$183:$A$195</definedName>
    <definedName name="EP33_6">Limits!$A$182:$A$196</definedName>
    <definedName name="EP33_7">Limits!$A$181:$A$197</definedName>
    <definedName name="EP33_8">Limits!$A$180:$A$198</definedName>
    <definedName name="EP33_9">Limits!$A$179:$A$199</definedName>
    <definedName name="EP34_0">Limits!$A$189:$A$191</definedName>
    <definedName name="EP34_1">Limits!$A$188:$A$192</definedName>
    <definedName name="EP34_10">Limits!$A$179:$A$201</definedName>
    <definedName name="EP34_11">Limits!$A$178:$A$202</definedName>
    <definedName name="EP34_12">Limits!$A$177:$A$203</definedName>
    <definedName name="EP34_13">Limits!$A$176:$A$204</definedName>
    <definedName name="EP34_14">Limits!$A$175:$A$205</definedName>
    <definedName name="EP34_15">Limits!$A$174:$A$206</definedName>
    <definedName name="EP34_16">Limits!$A$173:$A$207</definedName>
    <definedName name="EP34_17">Limits!$A$172:$A$208</definedName>
    <definedName name="EP34_18">Limits!$A$171:$A$209</definedName>
    <definedName name="EP34_19">Limits!$A$170:$A$210</definedName>
    <definedName name="EP34_2">Limits!$A$187:$A$193</definedName>
    <definedName name="EP34_20">Limits!$A$169:$A$211</definedName>
    <definedName name="EP34_21">Limits!$A$168:$A$212</definedName>
    <definedName name="EP34_22">Limits!$A$167:$A$213</definedName>
    <definedName name="EP34_23">Limits!$A$166:$A$214</definedName>
    <definedName name="EP34_24">Limits!$A$165:$A$215</definedName>
    <definedName name="EP34_25">Limits!$A$164:$A$216</definedName>
    <definedName name="EP34_26">Limits!$A$163:$A$217</definedName>
    <definedName name="EP34_27">Limits!$A$162:$A$218</definedName>
    <definedName name="EP34_28">Limits!$A$161:$A$219</definedName>
    <definedName name="EP34_29">Limits!$A$160:$A$219</definedName>
    <definedName name="EP34_3">Limits!$A$186:$A$194</definedName>
    <definedName name="EP34_30">Limits!$A$159:$A$219</definedName>
    <definedName name="EP34_31">Limits!$A$158:$A$219</definedName>
    <definedName name="EP34_4">Limits!$A$185:$A$195</definedName>
    <definedName name="EP34_5">Limits!$A$184:$A$196</definedName>
    <definedName name="EP34_6">Limits!$A$183:$A$197</definedName>
    <definedName name="EP34_7">Limits!$A$182:$A$198</definedName>
    <definedName name="EP34_8">Limits!$A$181:$A$199</definedName>
    <definedName name="EP34_9">Limits!$A$180:$A$200</definedName>
    <definedName name="EP35_0">Limits!$A$190:$A$192</definedName>
    <definedName name="EP35_1">Limits!$A$189:$A$193</definedName>
    <definedName name="EP35_10">Limits!$A$180:$A$202</definedName>
    <definedName name="EP35_11">Limits!$A$179:$A$203</definedName>
    <definedName name="EP35_12">Limits!$A$178:$A$204</definedName>
    <definedName name="EP35_13">Limits!$A$177:$A$205</definedName>
    <definedName name="EP35_14">Limits!$A$176:$A$206</definedName>
    <definedName name="EP35_15">Limits!$A$175:$A$207</definedName>
    <definedName name="EP35_16">Limits!$A$174:$A$208</definedName>
    <definedName name="EP35_17">Limits!$A$173:$A$209</definedName>
    <definedName name="EP35_18">Limits!$A$172:$A$210</definedName>
    <definedName name="EP35_19">Limits!$A$171:$A$211</definedName>
    <definedName name="EP35_2">Limits!$A$188:$A$194</definedName>
    <definedName name="EP35_20">Limits!$A$170:$A$212</definedName>
    <definedName name="EP35_21">Limits!$A$169:$A$213</definedName>
    <definedName name="EP35_22">Limits!$A$168:$A$214</definedName>
    <definedName name="EP35_23">Limits!$A$167:$A$215</definedName>
    <definedName name="EP35_24">Limits!$A$166:$A$216</definedName>
    <definedName name="EP35_25">Limits!$A$165:$A$217</definedName>
    <definedName name="EP35_26">Limits!$A$164:$A$218</definedName>
    <definedName name="EP35_27">Limits!$A$163:$A$219</definedName>
    <definedName name="EP35_28">Limits!$A$162:$A$219</definedName>
    <definedName name="EP35_29">Limits!$A$161:$A$219</definedName>
    <definedName name="EP35_3">Limits!$A$187:$A$195</definedName>
    <definedName name="EP35_30">Limits!$A$160:$A$219</definedName>
    <definedName name="EP35_31">Limits!$A$159:$A$219</definedName>
    <definedName name="EP35_4">Limits!$A$186:$A$196</definedName>
    <definedName name="EP35_5">Limits!$A$185:$A$197</definedName>
    <definedName name="EP35_6">Limits!$A$184:$A$198</definedName>
    <definedName name="EP35_7">Limits!$A$183:$A$199</definedName>
    <definedName name="EP35_8">Limits!$A$182:$A$200</definedName>
    <definedName name="EP35_9">Limits!$A$181:$A$201</definedName>
    <definedName name="EP36_0">Limits!$A$191:$A$193</definedName>
    <definedName name="EP36_1">Limits!$A$190:$A$194</definedName>
    <definedName name="EP36_10">Limits!$A$181:$A$203</definedName>
    <definedName name="EP36_11">Limits!$A$180:$A$204</definedName>
    <definedName name="EP36_12">Limits!$A$179:$A$205</definedName>
    <definedName name="EP36_13">Limits!$A$178:$A$206</definedName>
    <definedName name="EP36_14">Limits!$A$177:$A$207</definedName>
    <definedName name="EP36_15">Limits!$A$176:$A$208</definedName>
    <definedName name="EP36_16">Limits!$A$175:$A$209</definedName>
    <definedName name="EP36_17">Limits!$A$174:$A$210</definedName>
    <definedName name="EP36_18">Limits!$A$173:$A$211</definedName>
    <definedName name="EP36_19">Limits!$A$172:$A$212</definedName>
    <definedName name="EP36_2">Limits!$A$189:$A$195</definedName>
    <definedName name="EP36_20">Limits!$A$171:$A$213</definedName>
    <definedName name="EP36_21">Limits!$A$170:$A$214</definedName>
    <definedName name="EP36_22">Limits!$A$169:$A$215</definedName>
    <definedName name="EP36_23">Limits!$A$168:$A$216</definedName>
    <definedName name="EP36_24">Limits!$A$167:$A$217</definedName>
    <definedName name="EP36_25">Limits!$A$166:$A$218</definedName>
    <definedName name="EP36_26">Limits!$A$165:$A$219</definedName>
    <definedName name="EP36_27">Limits!$A$164:$A$219</definedName>
    <definedName name="EP36_28">Limits!$A$163:$A$219</definedName>
    <definedName name="EP36_29">Limits!$A$162:$A$219</definedName>
    <definedName name="EP36_3">Limits!$A$188:$A$196</definedName>
    <definedName name="EP36_30">Limits!$A$161:$A$219</definedName>
    <definedName name="EP36_31">Limits!$A$160:$A$219</definedName>
    <definedName name="EP36_4">Limits!$A$187:$A$197</definedName>
    <definedName name="EP36_5">Limits!$A$186:$A$198</definedName>
    <definedName name="EP36_6">Limits!$A$185:$A$199</definedName>
    <definedName name="EP36_7">Limits!$A$184:$A$200</definedName>
    <definedName name="EP36_8">Limits!$A$183:$A$201</definedName>
    <definedName name="EP36_9">Limits!$A$182:$A$202</definedName>
    <definedName name="EP37_0">Limits!$A$192:$A$194</definedName>
    <definedName name="EP37_1">Limits!$A$191:$A$195</definedName>
    <definedName name="EP37_10">Limits!$A$182:$A$204</definedName>
    <definedName name="EP37_11">Limits!$A$181:$A$205</definedName>
    <definedName name="EP37_12">Limits!$A$180:$A$206</definedName>
    <definedName name="EP37_13">Limits!$A$179:$A$207</definedName>
    <definedName name="EP37_14">Limits!$A$178:$A$208</definedName>
    <definedName name="EP37_15">Limits!$A$177:$A$209</definedName>
    <definedName name="EP37_16">Limits!$A$176:$A$210</definedName>
    <definedName name="EP37_17">Limits!$A$175:$A$211</definedName>
    <definedName name="EP37_18">Limits!$A$174:$A$212</definedName>
    <definedName name="EP37_19">Limits!$A$173:$A$213</definedName>
    <definedName name="EP37_2">Limits!$A$190:$A$196</definedName>
    <definedName name="EP37_20">Limits!$A$172:$A$214</definedName>
    <definedName name="EP37_21">Limits!$A$171:$A$215</definedName>
    <definedName name="EP37_22">Limits!$A$170:$A$216</definedName>
    <definedName name="EP37_23">Limits!$A$169:$A$217</definedName>
    <definedName name="EP37_24">Limits!$A$168:$A$218</definedName>
    <definedName name="EP37_25">Limits!$A$167:$A$219</definedName>
    <definedName name="EP37_26">Limits!$A$166:$A$219</definedName>
    <definedName name="EP37_27">Limits!$A$165:$A$219</definedName>
    <definedName name="EP37_28">Limits!$A$164:$A$219</definedName>
    <definedName name="EP37_29">Limits!$A$163:$A$219</definedName>
    <definedName name="EP37_3">Limits!$A$189:$A$197</definedName>
    <definedName name="EP37_30">Limits!$A$162:$A$219</definedName>
    <definedName name="EP37_31">Limits!$A$161:$A$219</definedName>
    <definedName name="EP37_4">Limits!$A$188:$A$198</definedName>
    <definedName name="EP37_5">Limits!$A$187:$A$199</definedName>
    <definedName name="EP37_6">Limits!$A$186:$A$200</definedName>
    <definedName name="EP37_7">Limits!$A$185:$A$201</definedName>
    <definedName name="EP37_8">Limits!$A$184:$A$202</definedName>
    <definedName name="EP37_9">Limits!$A$183:$A$203</definedName>
    <definedName name="EP38_0">Limits!$A$193:$A$195</definedName>
    <definedName name="EP38_1">Limits!$A$192:$A$196</definedName>
    <definedName name="EP38_10">Limits!$A$183:$A$205</definedName>
    <definedName name="EP38_11">Limits!$A$182:$A$206</definedName>
    <definedName name="EP38_12">Limits!$A$181:$A$207</definedName>
    <definedName name="EP38_13">Limits!$A$180:$A$208</definedName>
    <definedName name="EP38_14">Limits!$A$179:$A$209</definedName>
    <definedName name="EP38_15">Limits!$A$178:$A$210</definedName>
    <definedName name="EP38_16">Limits!$A$177:$A$211</definedName>
    <definedName name="EP38_17">Limits!$A$176:$A$212</definedName>
    <definedName name="EP38_18">Limits!$A$175:$A$213</definedName>
    <definedName name="EP38_19">Limits!$A$174:$A$214</definedName>
    <definedName name="EP38_2">Limits!$A$191:$A$197</definedName>
    <definedName name="EP38_20">Limits!$A$173:$A$215</definedName>
    <definedName name="EP38_21">Limits!$A$172:$A$216</definedName>
    <definedName name="EP38_22">Limits!$A$171:$A$217</definedName>
    <definedName name="EP38_23">Limits!$A$170:$A$218</definedName>
    <definedName name="EP38_24">Limits!$A$169:$A$219</definedName>
    <definedName name="EP38_25">Limits!$A$168:$A$219</definedName>
    <definedName name="EP38_26">Limits!$A$167:$A$219</definedName>
    <definedName name="EP38_27">Limits!$A$166:$A$219</definedName>
    <definedName name="EP38_28">Limits!$A$165:$A$219</definedName>
    <definedName name="EP38_29">Limits!$A$164:$A$219</definedName>
    <definedName name="EP38_3">Limits!$A$190:$A$198</definedName>
    <definedName name="EP38_30">Limits!$A$163:$A$219</definedName>
    <definedName name="EP38_31">Limits!$A$162:$A$219</definedName>
    <definedName name="EP38_4">Limits!$A$189:$A$199</definedName>
    <definedName name="EP38_5">Limits!$A$188:$A$200</definedName>
    <definedName name="EP38_6">Limits!$A$187:$A$201</definedName>
    <definedName name="EP38_7">Limits!$A$186:$A$202</definedName>
    <definedName name="EP38_8">Limits!$A$185:$A$203</definedName>
    <definedName name="EP38_9">Limits!$A$184:$A$204</definedName>
    <definedName name="EP39_0">Limits!$A$194:$A$196</definedName>
    <definedName name="EP39_1">Limits!$A$193:$A$197</definedName>
    <definedName name="EP39_10">Limits!$A$184:$A$206</definedName>
    <definedName name="EP39_11">Limits!$A$183:$A$207</definedName>
    <definedName name="EP39_12">Limits!$A$182:$A$208</definedName>
    <definedName name="EP39_13">Limits!$A$181:$A$209</definedName>
    <definedName name="EP39_14">Limits!$A$180:$A$210</definedName>
    <definedName name="EP39_15">Limits!$A$179:$A$211</definedName>
    <definedName name="EP39_16">Limits!$A$178:$A$212</definedName>
    <definedName name="EP39_17">Limits!$A$177:$A$213</definedName>
    <definedName name="EP39_18">Limits!$A$176:$A$214</definedName>
    <definedName name="EP39_19">Limits!$A$175:$A$215</definedName>
    <definedName name="EP39_2">Limits!$A$192:$A$198</definedName>
    <definedName name="EP39_20">Limits!$A$174:$A$216</definedName>
    <definedName name="EP39_21">Limits!$A$173:$A$217</definedName>
    <definedName name="EP39_22">Limits!$A$172:$A$218</definedName>
    <definedName name="EP39_23">Limits!$A$171:$A$219</definedName>
    <definedName name="EP39_24">Limits!$A$170:$A$219</definedName>
    <definedName name="EP39_25">Limits!$A$169:$A$219</definedName>
    <definedName name="EP39_26">Limits!$A$168:$A$219</definedName>
    <definedName name="EP39_27">Limits!$A$167:$A$219</definedName>
    <definedName name="EP39_28">Limits!$A$166:$A$219</definedName>
    <definedName name="EP39_29">Limits!$A$165:$A$219</definedName>
    <definedName name="EP39_3">Limits!$A$191:$A$199</definedName>
    <definedName name="EP39_30">Limits!$A$164:$A$219</definedName>
    <definedName name="EP39_31">Limits!$A$163:$A$219</definedName>
    <definedName name="EP39_4">Limits!$A$190:$A$200</definedName>
    <definedName name="EP39_5">Limits!$A$189:$A$201</definedName>
    <definedName name="EP39_6">Limits!$A$188:$A$202</definedName>
    <definedName name="EP39_7">Limits!$A$187:$A$203</definedName>
    <definedName name="EP39_8">Limits!$A$186:$A$204</definedName>
    <definedName name="EP39_9">Limits!$A$185:$A$205</definedName>
    <definedName name="EP4_27">Limits!$A$156:$A$188</definedName>
    <definedName name="EP4_28">Limits!$A$156:$A$189</definedName>
    <definedName name="EP4_29">Limits!$A$156:$A$190</definedName>
    <definedName name="EP4_30">Limits!$A$156:$A$191</definedName>
    <definedName name="EP4_31">Limits!$A$156:$A$192</definedName>
    <definedName name="EP40_0">Limits!$A$195:$A$197</definedName>
    <definedName name="EP40_1">Limits!$A$194:$A$198</definedName>
    <definedName name="EP40_10">Limits!$A$185:$A$207</definedName>
    <definedName name="EP40_11">Limits!$A$184:$A$208</definedName>
    <definedName name="EP40_12">Limits!$A$183:$A$209</definedName>
    <definedName name="EP40_13">Limits!$A$182:$A$210</definedName>
    <definedName name="EP40_14">Limits!$A$181:$A$211</definedName>
    <definedName name="EP40_15">Limits!$A$180:$A$212</definedName>
    <definedName name="EP40_16">Limits!$A$179:$A$213</definedName>
    <definedName name="EP40_17">Limits!$A$178:$A$214</definedName>
    <definedName name="EP40_18">Limits!$A$177:$A$215</definedName>
    <definedName name="EP40_19">Limits!$A$176:$A$216</definedName>
    <definedName name="EP40_2">Limits!$A$193:$A$199</definedName>
    <definedName name="EP40_20">Limits!$A$175:$A$217</definedName>
    <definedName name="EP40_21">Limits!$A$174:$A$218</definedName>
    <definedName name="EP40_22">Limits!$A$173:$A$219</definedName>
    <definedName name="EP40_23">Limits!$A$172:$A$219</definedName>
    <definedName name="EP40_24">Limits!$A$171:$A$219</definedName>
    <definedName name="EP40_25">Limits!$A$170:$A$219</definedName>
    <definedName name="EP40_26">Limits!$A$169:$A$219</definedName>
    <definedName name="EP40_27">Limits!$A$168:$A$219</definedName>
    <definedName name="EP40_28">Limits!$A$167:$A$219</definedName>
    <definedName name="EP40_29">Limits!$A$166:$A$219</definedName>
    <definedName name="EP40_3">Limits!$A$192:$A$200</definedName>
    <definedName name="EP40_30">Limits!$A$165:$A$219</definedName>
    <definedName name="EP40_31">Limits!$A$164:$A$219</definedName>
    <definedName name="EP40_4">Limits!$A$191:$A$201</definedName>
    <definedName name="EP40_5">Limits!$A$190:$A$202</definedName>
    <definedName name="EP40_6">Limits!$A$189:$A$203</definedName>
    <definedName name="EP40_7">Limits!$A$188:$A$204</definedName>
    <definedName name="EP40_8">Limits!$A$187:$A$205</definedName>
    <definedName name="EP40_9">Limits!$A$186:$A$206</definedName>
    <definedName name="EP41_0">Limits!$A$196:$A$198</definedName>
    <definedName name="EP41_1">Limits!$A$195:$A$199</definedName>
    <definedName name="EP41_10">Limits!$A$186:$A$208</definedName>
    <definedName name="EP41_11">Limits!$A$185:$A$209</definedName>
    <definedName name="EP41_12">Limits!$A$184:$A$210</definedName>
    <definedName name="EP41_13">Limits!$A$183:$A$211</definedName>
    <definedName name="EP41_14">Limits!$A$182:$A$212</definedName>
    <definedName name="EP41_15">Limits!$A$181:$A$213</definedName>
    <definedName name="EP41_16">Limits!$A$180:$A$214</definedName>
    <definedName name="EP41_17">Limits!$A$179:$A$215</definedName>
    <definedName name="EP41_18">Limits!$A$178:$A$216</definedName>
    <definedName name="EP41_19">Limits!$A$177:$A$217</definedName>
    <definedName name="EP41_2">Limits!$A$194:$A$200</definedName>
    <definedName name="EP41_20">Limits!$A$176:$A$218</definedName>
    <definedName name="EP41_21">Limits!$A$175:$A$219</definedName>
    <definedName name="EP41_22">Limits!$A$174:$A$219</definedName>
    <definedName name="EP41_23">Limits!$A$173:$A$219</definedName>
    <definedName name="EP41_24">Limits!$A$172:$A$219</definedName>
    <definedName name="EP41_25">Limits!$A$171:$A$219</definedName>
    <definedName name="EP41_26">Limits!$A$170:$A$219</definedName>
    <definedName name="EP41_27">Limits!$A$169:$A$219</definedName>
    <definedName name="EP41_28">Limits!$A$168:$A$219</definedName>
    <definedName name="EP41_29">Limits!$A$167:$A$219</definedName>
    <definedName name="EP41_3">Limits!$A$193:$A$201</definedName>
    <definedName name="EP41_30">Limits!$A$166:$A$219</definedName>
    <definedName name="EP41_31">Limits!$A$165:$A$219</definedName>
    <definedName name="EP41_4">Limits!$A$192:$A$202</definedName>
    <definedName name="EP41_5">Limits!$A$191:$A$203</definedName>
    <definedName name="EP41_6">Limits!$A$190:$A$204</definedName>
    <definedName name="EP41_7">Limits!$A$189:$A$205</definedName>
    <definedName name="EP41_8">Limits!$A$188:$A$206</definedName>
    <definedName name="EP41_9">Limits!$A$187:$A$207</definedName>
    <definedName name="EP42_0">Limits!$A$197:$A$199</definedName>
    <definedName name="EP42_1">Limits!$A$196:$A$200</definedName>
    <definedName name="EP42_10">Limits!$A$187:$A$209</definedName>
    <definedName name="EP42_11">Limits!$A$186:$A$210</definedName>
    <definedName name="EP42_12">Limits!$A$185:$A$211</definedName>
    <definedName name="EP42_13">Limits!$A$184:$A$212</definedName>
    <definedName name="EP42_14">Limits!$A$183:$A$213</definedName>
    <definedName name="EP42_15">Limits!$A$182:$A$214</definedName>
    <definedName name="EP42_16">Limits!$A$181:$A$215</definedName>
    <definedName name="EP42_17">Limits!$A$180:$A$216</definedName>
    <definedName name="EP42_18">Limits!$A$179:$A$217</definedName>
    <definedName name="EP42_19">Limits!$A$178:$A$218</definedName>
    <definedName name="EP42_2">Limits!$A$195:$A$201</definedName>
    <definedName name="EP42_20">Limits!$A$177:$A$219</definedName>
    <definedName name="EP42_21">Limits!$A$176:$A$219</definedName>
    <definedName name="EP42_22">Limits!$A$175:$A$219</definedName>
    <definedName name="EP42_23">Limits!$A$174:$A$219</definedName>
    <definedName name="EP42_24">Limits!$A$173:$A$219</definedName>
    <definedName name="EP42_25">Limits!$A$172:$A$219</definedName>
    <definedName name="EP42_26">Limits!$A$171:$A$219</definedName>
    <definedName name="EP42_27">Limits!$A$170:$A$219</definedName>
    <definedName name="EP42_28">Limits!$A$169:$A$219</definedName>
    <definedName name="EP42_29">Limits!$A$168:$A$219</definedName>
    <definedName name="EP42_3">Limits!$A$194:$A$202</definedName>
    <definedName name="EP42_30">Limits!$A$167:$A$219</definedName>
    <definedName name="EP42_31">Limits!$A$166:$A$219</definedName>
    <definedName name="EP42_4">Limits!$A$193:$A$203</definedName>
    <definedName name="EP42_5">Limits!$A$192:$A$204</definedName>
    <definedName name="EP42_6">Limits!$A$191:$A$205</definedName>
    <definedName name="EP42_7">Limits!$A$190:$A$206</definedName>
    <definedName name="EP42_8">Limits!$A$189:$A$207</definedName>
    <definedName name="EP42_9">Limits!$A$188:$A$208</definedName>
    <definedName name="EP43_0">Limits!$A$198:$A$200</definedName>
    <definedName name="EP43_1">Limits!$A$197:$A$201</definedName>
    <definedName name="EP43_10">Limits!$A$188:$A$210</definedName>
    <definedName name="EP43_11">Limits!$A$187:$A$211</definedName>
    <definedName name="EP43_12">Limits!$A$186:$A$212</definedName>
    <definedName name="EP43_13">Limits!$A$185:$A$213</definedName>
    <definedName name="EP43_14">Limits!$A$184:$A$214</definedName>
    <definedName name="EP43_15">Limits!$A$183:$A$215</definedName>
    <definedName name="EP43_16">Limits!$A$182:$A$216</definedName>
    <definedName name="EP43_17">Limits!$A$181:$A$217</definedName>
    <definedName name="EP43_18">Limits!$A$180:$A$218</definedName>
    <definedName name="EP43_19">Limits!$A$179:$A$219</definedName>
    <definedName name="EP43_2">Limits!$A$196:$A$202</definedName>
    <definedName name="EP43_20">Limits!$A$178:$A$219</definedName>
    <definedName name="EP43_21">Limits!$A$177:$A$219</definedName>
    <definedName name="EP43_22">Limits!$A$176:$A$219</definedName>
    <definedName name="EP43_23">Limits!$A$175:$A$219</definedName>
    <definedName name="EP43_24">Limits!$A$174:$A$219</definedName>
    <definedName name="EP43_25">Limits!$A$173:$A$219</definedName>
    <definedName name="EP43_26">Limits!$A$172:$A$219</definedName>
    <definedName name="EP43_27">Limits!$A$171:$A$219</definedName>
    <definedName name="EP43_28">Limits!$A$170:$A$219</definedName>
    <definedName name="EP43_29">Limits!$A$169:$A$219</definedName>
    <definedName name="EP43_3">Limits!$A$195:$A$203</definedName>
    <definedName name="EP43_30">Limits!$A$168:$A$219</definedName>
    <definedName name="EP43_31">Limits!$A$167:$A$219</definedName>
    <definedName name="EP43_4">Limits!$A$194:$A$204</definedName>
    <definedName name="EP43_5">Limits!$A$193:$A$205</definedName>
    <definedName name="EP43_6">Limits!$A$192:$A$206</definedName>
    <definedName name="EP43_7">Limits!$A$191:$A$207</definedName>
    <definedName name="EP43_8">Limits!$A$190:$A$208</definedName>
    <definedName name="EP43_9">Limits!$A$189:$A$209</definedName>
    <definedName name="EP44_0">Limits!$A$199:$A$201</definedName>
    <definedName name="EP44_1">Limits!$A$198:$A$202</definedName>
    <definedName name="EP44_10">Limits!$A$189:$A$211</definedName>
    <definedName name="EP44_11">Limits!$A$188:$A$212</definedName>
    <definedName name="EP44_12">Limits!$A$187:$A$213</definedName>
    <definedName name="EP44_13">Limits!$A$186:$A$214</definedName>
    <definedName name="EP44_14">Limits!$A$185:$A$215</definedName>
    <definedName name="EP44_15">Limits!$A$184:$A$216</definedName>
    <definedName name="EP44_16">Limits!$A$183:$A$217</definedName>
    <definedName name="EP44_17">Limits!$A$182:$A$218</definedName>
    <definedName name="EP44_18">Limits!$A$181:$A$219</definedName>
    <definedName name="EP44_19">Limits!$A$180:$A$219</definedName>
    <definedName name="EP44_2">Limits!$A$197:$A$203</definedName>
    <definedName name="EP44_20">Limits!$A$179:$A$219</definedName>
    <definedName name="EP44_21">Limits!$A$178:$A$219</definedName>
    <definedName name="EP44_22">Limits!$A$177:$A$219</definedName>
    <definedName name="EP44_23">Limits!$A$176:$A$219</definedName>
    <definedName name="EP44_24">Limits!$A$175:$A$219</definedName>
    <definedName name="EP44_25">Limits!$A$174:$A$219</definedName>
    <definedName name="EP44_26">Limits!$A$173:$A$219</definedName>
    <definedName name="EP44_27">Limits!$A$172:$A$219</definedName>
    <definedName name="EP44_28">Limits!$A$171:$A$219</definedName>
    <definedName name="EP44_29">Limits!$A$170:$A$219</definedName>
    <definedName name="EP44_3">Limits!$A$196:$A$204</definedName>
    <definedName name="EP44_30">Limits!$A$169:$A$219</definedName>
    <definedName name="EP44_31">Limits!$A$168:$A$219</definedName>
    <definedName name="EP44_4">Limits!$A$195:$A$205</definedName>
    <definedName name="EP44_5">Limits!$A$194:$A$206</definedName>
    <definedName name="EP44_6">Limits!$A$193:$A$207</definedName>
    <definedName name="EP44_7">Limits!$A$192:$A$208</definedName>
    <definedName name="EP44_8">Limits!$A$191:$A$209</definedName>
    <definedName name="EP44_9">Limits!$A$190:$A$210</definedName>
    <definedName name="EP45_0">Limits!$A$200:$A$202</definedName>
    <definedName name="EP45_1">Limits!$A$199:$A$203</definedName>
    <definedName name="EP45_10">Limits!$A$190:$A$212</definedName>
    <definedName name="EP45_11">Limits!$A$189:$A$213</definedName>
    <definedName name="EP45_12">Limits!$A$188:$A$214</definedName>
    <definedName name="EP45_13">Limits!$A$187:$A$215</definedName>
    <definedName name="EP45_14">Limits!$A$186:$A$216</definedName>
    <definedName name="EP45_15">Limits!$A$185:$A$217</definedName>
    <definedName name="EP45_16">Limits!$A$184:$A$218</definedName>
    <definedName name="EP45_17">Limits!$A$183:$A$219</definedName>
    <definedName name="EP45_18">Limits!$A$182:$A$219</definedName>
    <definedName name="EP45_19">Limits!$A$181:$A$219</definedName>
    <definedName name="EP45_2">Limits!$A$198:$A$204</definedName>
    <definedName name="EP45_20">Limits!$A$180:$A$219</definedName>
    <definedName name="EP45_21">Limits!$A$179:$A$219</definedName>
    <definedName name="EP45_22">Limits!$A$178:$A$219</definedName>
    <definedName name="EP45_23">Limits!$A$177:$A$219</definedName>
    <definedName name="EP45_24">Limits!$A$176:$A$219</definedName>
    <definedName name="EP45_25">Limits!$A$175:$A$219</definedName>
    <definedName name="EP45_26">Limits!$A$174:$A$219</definedName>
    <definedName name="EP45_27">Limits!$A$173:$A$219</definedName>
    <definedName name="EP45_28">Limits!$A$172:$A$219</definedName>
    <definedName name="EP45_29">Limits!$A$171:$A$219</definedName>
    <definedName name="EP45_3">Limits!$A$197:$A$205</definedName>
    <definedName name="EP45_30">Limits!$A$170:$A$219</definedName>
    <definedName name="EP45_31">Limits!$A$169:$A$219</definedName>
    <definedName name="EP45_4">Limits!$A$196:$A$206</definedName>
    <definedName name="EP45_5">Limits!$A$195:$A$207</definedName>
    <definedName name="EP45_6">Limits!$A$194:$A$208</definedName>
    <definedName name="EP45_7">Limits!$A$193:$A$209</definedName>
    <definedName name="EP45_8">Limits!$A$192:$A$210</definedName>
    <definedName name="EP45_9">Limits!$A$191:$A$211</definedName>
    <definedName name="EP46_0">Limits!$A$201:$A$203</definedName>
    <definedName name="EP46_1">Limits!$A$200:$A$204</definedName>
    <definedName name="EP46_10">Limits!$A$191:$A$213</definedName>
    <definedName name="EP46_11">Limits!$A$190:$A$214</definedName>
    <definedName name="EP46_12">Limits!$A$189:$A$215</definedName>
    <definedName name="EP46_13">Limits!$A$188:$A$216</definedName>
    <definedName name="EP46_14">Limits!$A$187:$A$217</definedName>
    <definedName name="EP46_15">Limits!$A$186:$A$218</definedName>
    <definedName name="EP46_16">Limits!$A$185:$A$219</definedName>
    <definedName name="EP46_17">Limits!$A$184:$A$219</definedName>
    <definedName name="EP46_18">Limits!$A$183:$A$219</definedName>
    <definedName name="EP46_19">Limits!$A$182:$A$219</definedName>
    <definedName name="EP46_2">Limits!$A$199:$A$205</definedName>
    <definedName name="EP46_20">Limits!$A$181:$A$219</definedName>
    <definedName name="EP46_21">Limits!$A$180:$A$219</definedName>
    <definedName name="EP46_22">Limits!$A$179:$A$219</definedName>
    <definedName name="EP46_23">Limits!$A$178:$A$219</definedName>
    <definedName name="EP46_24">Limits!$A$177:$A$219</definedName>
    <definedName name="EP46_25">Limits!$A$176:$A$219</definedName>
    <definedName name="EP46_26">Limits!$A$175:$A$219</definedName>
    <definedName name="EP46_27">Limits!$A$174:$A$219</definedName>
    <definedName name="Ep46_28">Limits!$A$173:$A$219</definedName>
    <definedName name="EP46_29">Limits!$A$172:$A$219</definedName>
    <definedName name="EP46_3">Limits!$A$198:$A$206</definedName>
    <definedName name="EP46_30">Limits!$A$171:$A$219</definedName>
    <definedName name="EP46_31">Limits!$A$170:$A$219</definedName>
    <definedName name="EP46_4">Limits!$A$197:$A$207</definedName>
    <definedName name="EP46_5">Limits!$A$196:$A$208</definedName>
    <definedName name="EP46_6">Limits!$A$195:$A$209</definedName>
    <definedName name="EP46_7">Limits!$A$194:$A$210</definedName>
    <definedName name="EP46_8">Limits!$A$193:$A$211</definedName>
    <definedName name="EP46_9">Limits!$A$192:$A$212</definedName>
    <definedName name="EP47_0">Limits!$A$202:$A$204</definedName>
    <definedName name="EP47_1">Limits!$A$201:$A$205</definedName>
    <definedName name="EP47_10">Limits!$A$192:$A$214</definedName>
    <definedName name="EP47_11">Limits!$A$191:$A$215</definedName>
    <definedName name="EP47_12">Limits!$A$190:$A$216</definedName>
    <definedName name="EP47_13">Limits!$A$189:$A$217</definedName>
    <definedName name="EP47_14">Limits!$A$188:$A$218</definedName>
    <definedName name="EP47_15">Limits!$A$187:$A$219</definedName>
    <definedName name="EP47_16">Limits!$A$186:$A$219</definedName>
    <definedName name="EP47_17">Limits!$A$185:$A$219</definedName>
    <definedName name="EP47_18">Limits!$A$184:$A$219</definedName>
    <definedName name="EP47_19">Limits!$A$183:$A$219</definedName>
    <definedName name="EP47_2">Limits!$A$200:$A$206</definedName>
    <definedName name="EP47_20">Limits!$A$182:$A$219</definedName>
    <definedName name="EP47_21">Limits!$A$181:$A$219</definedName>
    <definedName name="EP47_22">Limits!$A$180:$A$219</definedName>
    <definedName name="EP47_23">Limits!$A$179:$A$219</definedName>
    <definedName name="EP47_24">Limits!$A$178:$A$219</definedName>
    <definedName name="EP47_25">Limits!$A$177:$A$219</definedName>
    <definedName name="EP47_26">Limits!$A$176:$A$219</definedName>
    <definedName name="EP47_27">Limits!$A$175:$A$219</definedName>
    <definedName name="EP47_28">Limits!$A$174:$A$219</definedName>
    <definedName name="EP47_29">Limits!$A$173:$A$219</definedName>
    <definedName name="EP47_3">Limits!$A$199:$A$207</definedName>
    <definedName name="EP47_30">Limits!$A$172:$A$219</definedName>
    <definedName name="EP47_31">Limits!$A$171:$A$219</definedName>
    <definedName name="EP47_4">Limits!$A$198:$A$208</definedName>
    <definedName name="EP47_5">Limits!$A$197:$A$209</definedName>
    <definedName name="EP47_6">Limits!$A$196:$A$210</definedName>
    <definedName name="EP47_7">Limits!$A$195:$A$211</definedName>
    <definedName name="EP47_8">Limits!$A$194:$A$212</definedName>
    <definedName name="EP47_9">Limits!$A$193:$A$213</definedName>
    <definedName name="EP48_0">Limits!$A$203:$A$205</definedName>
    <definedName name="EP48_1">Limits!$A$202:$A$206</definedName>
    <definedName name="EP48_10">Limits!$A$193:$A$215</definedName>
    <definedName name="EP48_11">Limits!$A$192:$A$216</definedName>
    <definedName name="EP48_12">Limits!$A$191:$A$217</definedName>
    <definedName name="EP48_13">Limits!$A$190:$A$218</definedName>
    <definedName name="EP48_14">Limits!$A$189:$A$219</definedName>
    <definedName name="EP48_15">Limits!$A$188:$A$219</definedName>
    <definedName name="EP48_16">Limits!$A$187:$A$219</definedName>
    <definedName name="EP48_17">Limits!$A$186:$A$219</definedName>
    <definedName name="EP48_18">Limits!$A$185:$A$219</definedName>
    <definedName name="EP48_19">Limits!$A$184:$A$219</definedName>
    <definedName name="EP48_2">Limits!$A$201:$A$207</definedName>
    <definedName name="EP48_20">Limits!$A$183:$A$219</definedName>
    <definedName name="EP48_21">Limits!$A$182:$A$219</definedName>
    <definedName name="EP48_22">Limits!$A$181:$A$219</definedName>
    <definedName name="EP48_23">Limits!$A$180:$A$219</definedName>
    <definedName name="EP48_24">Limits!$A$179:$A$219</definedName>
    <definedName name="EP48_25">Limits!$A$178:$A$219</definedName>
    <definedName name="EP48_26">Limits!$A$177:$A$219</definedName>
    <definedName name="EP48_27">Limits!$A$176:$A$219</definedName>
    <definedName name="EP48_28">Limits!$A$175:$A$219</definedName>
    <definedName name="EP48_29">Limits!$A$174:$A$219</definedName>
    <definedName name="EP48_3">Limits!$A$200:$A$208</definedName>
    <definedName name="EP48_30">Limits!$A$173:$A$219</definedName>
    <definedName name="EP48_31">Limits!$A$172:$A$219</definedName>
    <definedName name="EP48_4">Limits!$A$199:$A$209</definedName>
    <definedName name="EP48_5">Limits!$A$198:$A$210</definedName>
    <definedName name="EP48_6">Limits!$A$197:$A$211</definedName>
    <definedName name="EP48_7">Limits!$A$196:$A$212</definedName>
    <definedName name="EP48_8">Limits!$A$195:$A$213</definedName>
    <definedName name="EP48_9">Limits!$A$194:$A$214</definedName>
    <definedName name="EP49_0">Limits!$A$204:$A$206</definedName>
    <definedName name="EP49_1">Limits!$A$203:$A$207</definedName>
    <definedName name="EP49_10">Limits!$A$194:$A$216</definedName>
    <definedName name="EP49_11">Limits!$A$193:$A$217</definedName>
    <definedName name="EP49_12">Limits!$A$192:$A$218</definedName>
    <definedName name="EP49_13">Limits!$A$191:$A$219</definedName>
    <definedName name="EP49_14">Limits!$A$190:$A$219</definedName>
    <definedName name="EP49_15">Limits!$A$189:$A$219</definedName>
    <definedName name="EP49_16">Limits!$A$188:$A$219</definedName>
    <definedName name="EP49_17">Limits!$A$187:$A$219</definedName>
    <definedName name="EP49_18">Limits!$A$186:$A$219</definedName>
    <definedName name="EP49_19">Limits!$A$185:$A$219</definedName>
    <definedName name="EP49_2">Limits!$A$202:$A$208</definedName>
    <definedName name="EP49_20">Limits!$A$184:$A$219</definedName>
    <definedName name="EP49_21">Limits!$A$183:$A$219</definedName>
    <definedName name="EP49_22">Limits!$A$182:$A$219</definedName>
    <definedName name="EP49_23">Limits!$A$181:$A$219</definedName>
    <definedName name="EP49_24">Limits!$A$180:$A$219</definedName>
    <definedName name="EP49_25">Limits!$A$179:$A$219</definedName>
    <definedName name="EP49_26">Limits!$A$178:$A$219</definedName>
    <definedName name="EP49_27">Limits!$A$177:$A$219</definedName>
    <definedName name="EP49_28">Limits!$A$176:$A$219</definedName>
    <definedName name="EP49_29">Limits!$A$175:$A$219</definedName>
    <definedName name="EP49_3">Limits!$A$201:$A$209</definedName>
    <definedName name="EP49_30">Limits!$A$174:$A$219</definedName>
    <definedName name="EP49_31">Limits!$A$173:$A$219</definedName>
    <definedName name="EP49_4">Limits!$A$200:$A$210</definedName>
    <definedName name="EP49_5">Limits!$A$199:$A$211</definedName>
    <definedName name="EP49_6">Limits!$A$198:$A$212</definedName>
    <definedName name="EP49_7">Limits!$A$197:$A$213</definedName>
    <definedName name="EP49_8">Limits!$A$196:$A$214</definedName>
    <definedName name="EP49_9">Limits!$A$195:$A$215</definedName>
    <definedName name="EP5_26">Limits!$A$156:$A$188</definedName>
    <definedName name="EP5_27">Limits!$A$156:$A$189</definedName>
    <definedName name="EP5_28">Limits!$A$156:$A$190</definedName>
    <definedName name="EP5_29">Limits!$A$156:$A$191</definedName>
    <definedName name="EP5_30">Limits!$A$156:$A$192</definedName>
    <definedName name="EP5_31">Limits!$A$156:$A$193</definedName>
    <definedName name="EP50_0">Limits!$A$205:$A$207</definedName>
    <definedName name="EP50_1">Limits!$A$204:$A$208</definedName>
    <definedName name="EP50_10">Limits!$A$195:$A$217</definedName>
    <definedName name="EP50_11">Limits!$A$194:$A$218</definedName>
    <definedName name="EP50_12">Limits!$A$193:$A$219</definedName>
    <definedName name="EP50_13">Limits!$A$192:$A$219</definedName>
    <definedName name="EP50_14">Limits!$A$191:$A$219</definedName>
    <definedName name="EP50_15">Limits!$A$190:$A$219</definedName>
    <definedName name="EP50_16">Limits!$A$189:$A$219</definedName>
    <definedName name="EP50_17">Limits!$A$188:$A$219</definedName>
    <definedName name="EP50_18">Limits!$A$187:$A$219</definedName>
    <definedName name="EP50_19">Limits!$A$186:$A$219</definedName>
    <definedName name="EP50_2">Limits!$A$203:$A$209</definedName>
    <definedName name="EP50_20">Limits!$A$185:$A$219</definedName>
    <definedName name="EP50_21">Limits!$A$184:$A$219</definedName>
    <definedName name="EP50_22">Limits!$A$183:$A$219</definedName>
    <definedName name="EP50_23">Limits!$A$182:$A$219</definedName>
    <definedName name="EP50_24">Limits!$A$181:$A$219</definedName>
    <definedName name="EP50_25">Limits!$A$180:$A$219</definedName>
    <definedName name="EP50_26">Limits!$A$179:$A$219</definedName>
    <definedName name="EP50_27">Limits!$A$178:$A$219</definedName>
    <definedName name="EP50_28">Limits!$A$177:$A$219</definedName>
    <definedName name="EP50_29">Limits!$A$176:$A$219</definedName>
    <definedName name="EP50_3">Limits!$A$202:$A$210</definedName>
    <definedName name="EP50_30">Limits!$A$175:$A$219</definedName>
    <definedName name="EP50_31">Limits!$A$174:$A$219</definedName>
    <definedName name="EP50_4">Limits!$A$201:$A$210</definedName>
    <definedName name="EP50_5">Limits!$A$200:$A$212</definedName>
    <definedName name="EP50_6">Limits!$A$199:$A$213</definedName>
    <definedName name="EP50_7">Limits!$A$198:$A$214</definedName>
    <definedName name="EP50_8">Limits!$A$197:$A$215</definedName>
    <definedName name="EP50_9">Limits!$A$196:$A$216</definedName>
    <definedName name="EP51_0">Limits!$A$206:$A$208</definedName>
    <definedName name="EP51_1">Limits!$A$205:$A$209</definedName>
    <definedName name="EP51_10">Limits!$A$196:$A$218</definedName>
    <definedName name="EP51_11">Limits!$A$195:$A$219</definedName>
    <definedName name="EP51_12">Limits!$A$194:$A$219</definedName>
    <definedName name="EP51_13">Limits!$A$193:$A$219</definedName>
    <definedName name="EP51_14">Limits!$A$192:$A$219</definedName>
    <definedName name="EP51_15">Limits!$A$191:$A$219</definedName>
    <definedName name="EP51_16">Limits!$A$190:$A$219</definedName>
    <definedName name="EP51_17">Limits!$A$189:$A$219</definedName>
    <definedName name="EP51_18">Limits!$A$188:$A$219</definedName>
    <definedName name="EP51_19">Limits!$A$187:$A$219</definedName>
    <definedName name="EP51_2">Limits!$A$204:$A$210</definedName>
    <definedName name="EP51_20">Limits!$A$186:$A$219</definedName>
    <definedName name="EP51_21">Limits!$A$185:$A$219</definedName>
    <definedName name="EP51_22">Limits!$A$184:$A$219</definedName>
    <definedName name="EP51_23">Limits!$A$183:$A$219</definedName>
    <definedName name="EP51_24">Limits!$A$182:$A$219</definedName>
    <definedName name="EP51_25">Limits!$A$181:$A$219</definedName>
    <definedName name="EP51_26">Limits!$A$180:$A$219</definedName>
    <definedName name="EP51_27">Limits!$A$179:$A$219</definedName>
    <definedName name="EP51_28">Limits!$A$178:$A$219</definedName>
    <definedName name="EP51_29">Limits!$A$177:$A$219</definedName>
    <definedName name="EP51_3">Limits!$A$203:$A$211</definedName>
    <definedName name="EP51_30">Limits!$A$176:$A$219</definedName>
    <definedName name="EP51_31">Limits!$A$175:$A$219</definedName>
    <definedName name="EP51_4">Limits!$A$202:$A$212</definedName>
    <definedName name="EP51_5">Limits!$A$201:$A$213</definedName>
    <definedName name="EP51_6">Limits!$A$200:$A$214</definedName>
    <definedName name="EP51_7">Limits!$A$199:$A$215</definedName>
    <definedName name="EP51_8">Limits!$A$198:$A$216</definedName>
    <definedName name="EP51_9">Limits!$A$197:$A$217</definedName>
    <definedName name="EP52_0">Limits!$A$207:$A$209</definedName>
    <definedName name="EP52_1">Limits!$A$206:$A$210</definedName>
    <definedName name="EP52_10">Limits!$A$197:$A$219</definedName>
    <definedName name="EP52_11">Limits!$A$196:$A$219</definedName>
    <definedName name="EP52_12">Limits!$A$195:$A$219</definedName>
    <definedName name="EP52_13">Limits!$A$194:$A$219</definedName>
    <definedName name="EP52_14">Limits!$A$193:$A$219</definedName>
    <definedName name="EP52_15">Limits!$A$192:$A$219</definedName>
    <definedName name="EP52_16">Limits!$A$191:$A$219</definedName>
    <definedName name="EP52_17">Limits!$A$190:$A$219</definedName>
    <definedName name="EP52_18">Limits!$A$189:$A$219</definedName>
    <definedName name="EP52_19">Limits!$A$188:$A$219</definedName>
    <definedName name="EP52_2">Limits!$A$205:$A$211</definedName>
    <definedName name="EP52_20">Limits!$A$187:$A$219</definedName>
    <definedName name="EP52_21">Limits!$A$186:$A$219</definedName>
    <definedName name="EP52_22">Limits!$A$185:$A$219</definedName>
    <definedName name="EP52_23">Limits!$A$184:$A$219</definedName>
    <definedName name="EP52_24">Limits!$A$183:$A$219</definedName>
    <definedName name="EP52_25">Limits!$A$182:$A$219</definedName>
    <definedName name="EP52_26">Limits!$A$181:$A$219</definedName>
    <definedName name="EP52_27">Limits!$A$180:$A$219</definedName>
    <definedName name="EP52_28">Limits!$A$179:$A$219</definedName>
    <definedName name="EP52_29">Limits!$A$178:$A$219</definedName>
    <definedName name="EP52_3">Limits!$A$204:$A$212</definedName>
    <definedName name="EP52_30">Limits!$A$177:$A$219</definedName>
    <definedName name="EP52_31">Limits!$A$176:$A$218</definedName>
    <definedName name="EP52_4">Limits!$A$203:$A$213</definedName>
    <definedName name="EP52_5">Limits!$A$202:$A$214</definedName>
    <definedName name="EP52_6">Limits!$A$201:$A$215</definedName>
    <definedName name="EP52_7">Limits!$A$200:$A$216</definedName>
    <definedName name="EP52_8">Limits!$A$199:$A$217</definedName>
    <definedName name="EP52_9">Limits!$A$198:$A$218</definedName>
    <definedName name="EP53_0">Limits!$A$208:$A$210</definedName>
    <definedName name="EP53_1">Limits!$A$207:$A$211</definedName>
    <definedName name="EP53_10">Limits!$A$198:$A$219</definedName>
    <definedName name="EP53_11">Limits!$A$197:$A$219</definedName>
    <definedName name="EP53_12">Limits!$A$196:$A$219</definedName>
    <definedName name="EP53_13">Limits!$A$195:$A$219</definedName>
    <definedName name="EP53_14">Limits!$A$194:$A$219</definedName>
    <definedName name="EP53_15">Limits!$A$193:$A$219</definedName>
    <definedName name="EP53_16">Limits!$A$192:$A$219</definedName>
    <definedName name="EP53_17">Limits!$A$191:$A$219</definedName>
    <definedName name="EP53_18">Limits!$A$190:$A$219</definedName>
    <definedName name="EP53_19">Limits!$A$189:$A$219</definedName>
    <definedName name="EP53_2">Limits!$A$206:$A$212</definedName>
    <definedName name="EP53_20">Limits!$A$188:$A$219</definedName>
    <definedName name="EP53_21">Limits!$A$187:$A$219</definedName>
    <definedName name="EP53_22">Limits!$A$186:$A$219</definedName>
    <definedName name="EP53_23">Limits!$A$185:$A$219</definedName>
    <definedName name="EP53_24">Limits!$A$184:$A$219</definedName>
    <definedName name="EP53_25">Limits!$A$183:$A$219</definedName>
    <definedName name="EP53_26">Limits!$A$182:$A$219</definedName>
    <definedName name="EP53_27">Limits!$A$181:$A$219</definedName>
    <definedName name="EP53_28">Limits!$A$180:$A$219</definedName>
    <definedName name="EP53_29">Limits!$A$179:$A$219</definedName>
    <definedName name="EP53_3">Limits!$A$205:$A$213</definedName>
    <definedName name="EP53_30">Limits!$A$178:$A$219</definedName>
    <definedName name="EP53_31">Limits!$A$177:$A$219</definedName>
    <definedName name="EP53_4">Limits!$A$204:$A$214</definedName>
    <definedName name="EP53_5">Limits!$A$203:$A$215</definedName>
    <definedName name="EP53_6">Limits!$A$202:$A$216</definedName>
    <definedName name="EP53_7">Limits!$A$201:$A$217</definedName>
    <definedName name="EP53_8">Limits!$A$200:$A$218</definedName>
    <definedName name="EP53_9">Limits!$A$199:$A$219</definedName>
    <definedName name="EP54_0">Limits!$A$209:$A$211</definedName>
    <definedName name="EP54_1">Limits!$A$208:$A$212</definedName>
    <definedName name="EP54_10">Limits!$A$199:$A$219</definedName>
    <definedName name="EP54_11">Limits!$A$198:$A$219</definedName>
    <definedName name="EP54_12">Limits!$A$197:$A$219</definedName>
    <definedName name="EP54_13">Limits!$A$196:$A$219</definedName>
    <definedName name="EP54_14">Limits!$A$195:$A$219</definedName>
    <definedName name="EP54_15">Limits!$A$194:$A$219</definedName>
    <definedName name="EP54_16">Limits!$A$193:$A$219</definedName>
    <definedName name="EP54_17">Limits!$A$192:$A$219</definedName>
    <definedName name="EP54_18">Limits!$A$191:$A$219</definedName>
    <definedName name="EP54_19">Limits!$A$190:$A$219</definedName>
    <definedName name="EP54_2">Limits!$A$207:$A$213</definedName>
    <definedName name="EP54_20">Limits!$A$189:$A$219</definedName>
    <definedName name="EP54_21">Limits!$A$188:$A$219</definedName>
    <definedName name="EP54_22">Limits!$A$187:$A$219</definedName>
    <definedName name="EP54_23">Limits!$A$186:$A$219</definedName>
    <definedName name="EP54_24">Limits!$A$185:$A$219</definedName>
    <definedName name="EP54_25">Limits!$A$184:$A$219</definedName>
    <definedName name="EP54_26">Limits!$A$183:$A$219</definedName>
    <definedName name="EP54_27">Limits!$A$182:$A$219</definedName>
    <definedName name="EP54_28">Limits!$A$181:$A$219</definedName>
    <definedName name="EP54_29">Limits!$A$180:$A$219</definedName>
    <definedName name="EP54_3">Limits!$A$206:$A$214</definedName>
    <definedName name="EP54_30">Limits!$A$179:$A$219</definedName>
    <definedName name="EP54_31">Limits!$A$178:$A$219</definedName>
    <definedName name="EP54_4">Limits!$A$205:$A$215</definedName>
    <definedName name="EP54_5">Limits!$A$204:$A$216</definedName>
    <definedName name="EP54_6">Limits!$A$203:$A$217</definedName>
    <definedName name="EP54_7">Limits!$A$202:$A$218</definedName>
    <definedName name="EP54_8">Limits!$A$201:$A$219</definedName>
    <definedName name="EP54_9">Limits!$A$200:$A$219</definedName>
    <definedName name="EP55_0">Limits!$A$210:$A$212</definedName>
    <definedName name="EP55_1">Limits!$A$209:$A$213</definedName>
    <definedName name="EP55_10">Limits!$A$200:$A$219</definedName>
    <definedName name="EP55_11">Limits!$A$199:$A$219</definedName>
    <definedName name="EP55_12">Limits!$A$198:$A$219</definedName>
    <definedName name="EP55_13">Limits!$A$197:$A$219</definedName>
    <definedName name="EP55_14">Limits!$A$196:$A$219</definedName>
    <definedName name="EP55_15">Limits!$A$195:$A$219</definedName>
    <definedName name="EP55_16">Limits!$A$194:$A$219</definedName>
    <definedName name="EP55_17">Limits!$A$193:$A$219</definedName>
    <definedName name="EP55_18">Limits!$A$192:$A$219</definedName>
    <definedName name="EP55_19">Limits!$A$191:$A$219</definedName>
    <definedName name="EP55_2">Limits!$A$208:$A$214</definedName>
    <definedName name="EP55_20">Limits!$A$190:$A$219</definedName>
    <definedName name="EP55_21">Limits!$A$189:$A$219</definedName>
    <definedName name="EP55_22">Limits!$A$188:$A$219</definedName>
    <definedName name="EP55_23">Limits!$A$187:$A$219</definedName>
    <definedName name="EP55_24">Limits!$A$186:$A$219</definedName>
    <definedName name="EP55_25">Limits!$A$185:$A$219</definedName>
    <definedName name="EP55_26">Limits!$A$184:$A$219</definedName>
    <definedName name="EP55_27">Limits!$A$183:$A$219</definedName>
    <definedName name="EP55_28">Limits!$A$182:$A$219</definedName>
    <definedName name="EP55_29">Limits!$A$181:$A$219</definedName>
    <definedName name="EP55_3">Limits!$A$207:$A$215</definedName>
    <definedName name="EP55_30">Limits!$A$180:$A$219</definedName>
    <definedName name="EP55_31">Limits!$A$179:$A$219</definedName>
    <definedName name="EP55_4">Limits!$A$206:$A$216</definedName>
    <definedName name="EP55_5">Limits!$A$205:$A$217</definedName>
    <definedName name="EP55_6">Limits!$A$204:$A$218</definedName>
    <definedName name="EP55_7">Limits!$A$203:$A$219</definedName>
    <definedName name="EP55_8">Limits!$A$202:$A$219</definedName>
    <definedName name="EP55_9">Limits!$A$201:$A$219</definedName>
    <definedName name="EP56_0">Limits!$A$211:$A$213</definedName>
    <definedName name="EP56_1">Limits!$A$210:$A$214</definedName>
    <definedName name="EP56_10">Limits!$A$201:$A$219</definedName>
    <definedName name="EP56_11">Limits!$A$200:$A$219</definedName>
    <definedName name="EP56_12">Limits!$A$199:$A$219</definedName>
    <definedName name="EP56_13">Limits!$A$198:$A$219</definedName>
    <definedName name="EP56_14">Limits!$A$197:$A$219</definedName>
    <definedName name="EP56_15">Limits!$A$196:$A$219</definedName>
    <definedName name="EP56_16">Limits!$A$195:$A$219</definedName>
    <definedName name="EP56_17">Limits!$A$194:$A$219</definedName>
    <definedName name="EP56_18">Limits!$A$193:$A$219</definedName>
    <definedName name="EP56_19">Limits!$A$192:$A$219</definedName>
    <definedName name="EP56_2">Limits!$A$209:$A$215</definedName>
    <definedName name="EP56_20">Limits!$A$191:$A$219</definedName>
    <definedName name="EP56_21">Limits!$A$190:$A$219</definedName>
    <definedName name="EP56_22">Limits!$A$189:$A$219</definedName>
    <definedName name="EP56_23">Limits!$A$188:$A$219</definedName>
    <definedName name="EP56_24">Limits!$A$187:$A$219</definedName>
    <definedName name="EP56_25">Limits!$A$186:$A$219</definedName>
    <definedName name="EP56_26">Limits!$A$185:$A$219</definedName>
    <definedName name="EP56_27">Limits!$A$184:$A$219</definedName>
    <definedName name="EP56_28">Limits!$A$183:$A$219</definedName>
    <definedName name="EP56_29">Limits!$A$182:$A$219</definedName>
    <definedName name="EP56_3">Limits!$A$208:$A$216</definedName>
    <definedName name="EP56_30">Limits!$A$181:$A$219</definedName>
    <definedName name="EP56_31">Limits!$A$180:$A$219</definedName>
    <definedName name="EP56_4">Limits!$A$207:$A$217</definedName>
    <definedName name="EP56_5">Limits!$A$206:$A$218</definedName>
    <definedName name="EP56_6">Limits!$A$205:$A$219</definedName>
    <definedName name="EP56_7">Limits!$A$204:$A$219</definedName>
    <definedName name="EP56_8">Limits!$A$203:$A$219</definedName>
    <definedName name="EP56_9">Limits!$A$202:$A$219</definedName>
    <definedName name="EP57_0">Limits!$A$212:$A$214</definedName>
    <definedName name="EP57_1">Limits!$A$211:$A$215</definedName>
    <definedName name="EP57_10">Limits!$A$202:$A$219</definedName>
    <definedName name="EP57_11">Limits!$A$201:$A$219</definedName>
    <definedName name="EP57_12">Limits!$A$200:$A$219</definedName>
    <definedName name="EP57_13">Limits!$A$199:$A$219</definedName>
    <definedName name="EP57_14">Limits!$A$198:$A$219</definedName>
    <definedName name="EP57_15">Limits!$A$197:$A$219</definedName>
    <definedName name="EP57_16">Limits!$A$196:$A$219</definedName>
    <definedName name="EP57_17">Limits!$A$195:$A$219</definedName>
    <definedName name="EP57_18">Limits!$A$194:$A$219</definedName>
    <definedName name="EP57_19">Limits!$A$193:$A$219</definedName>
    <definedName name="EP57_2">Limits!$A$210:$A$216</definedName>
    <definedName name="EP57_20">Limits!$A$192:$A$219</definedName>
    <definedName name="EP57_21">Limits!$A$191:$A$219</definedName>
    <definedName name="EP57_22">Limits!$A$190:$A$219</definedName>
    <definedName name="EP57_23">Limits!$A$189:$A$219</definedName>
    <definedName name="EP57_24">Limits!$A$188:$A$219</definedName>
    <definedName name="EP57_25">Limits!$A$187:$A$219</definedName>
    <definedName name="EP57_26">Limits!$A$186:$A$219</definedName>
    <definedName name="EP57_27">Limits!$A$185:$A$219</definedName>
    <definedName name="EP57_28">Limits!$A$184:$A$219</definedName>
    <definedName name="EP57_29">Limits!$A$183:$A$219</definedName>
    <definedName name="EP57_3">Limits!$A$209:$A$217</definedName>
    <definedName name="EP57_30">Limits!$A$182:$A$219</definedName>
    <definedName name="EP57_31">Limits!$A$181:$A$219</definedName>
    <definedName name="EP57_4">Limits!$A$208:$A$218</definedName>
    <definedName name="EP57_5">Limits!$A$207:$A$219</definedName>
    <definedName name="EP57_6">Limits!$A$206:$A$219</definedName>
    <definedName name="EP57_7">Limits!$A$205:$A$219</definedName>
    <definedName name="EP57_8">Limits!$A$204:$A$219</definedName>
    <definedName name="EP57_9">Limits!$A$203:$A$219</definedName>
    <definedName name="EP58_0">Limits!$A$213:$A$215</definedName>
    <definedName name="EP58_1">Limits!$A$212:$A$216</definedName>
    <definedName name="EP58_10">Limits!$A$203:$A$219</definedName>
    <definedName name="EP58_11">Limits!$A$202:$A$219</definedName>
    <definedName name="EP58_12">Limits!$A$201:$A$219</definedName>
    <definedName name="EP58_13">Limits!$A$200:$A$219</definedName>
    <definedName name="EP58_14">Limits!$A$199:$A$219</definedName>
    <definedName name="EP58_15">Limits!$A$198:$A$219</definedName>
    <definedName name="EP58_16">Limits!$A$197:$A$219</definedName>
    <definedName name="EP58_17">Limits!$A$196:$A$219</definedName>
    <definedName name="EP58_18">Limits!$A$195:$A$219</definedName>
    <definedName name="EP58_19">Limits!$A$194:$A$219</definedName>
    <definedName name="EP58_2">Limits!$A$211:$A$217</definedName>
    <definedName name="EP58_20">Limits!$A$193:$A$219</definedName>
    <definedName name="EP58_21">Limits!$A$192:$A$219</definedName>
    <definedName name="EP58_22">Limits!$A$191:$A$219</definedName>
    <definedName name="EP58_23">Limits!$A$190:$A$219</definedName>
    <definedName name="EP58_24">Limits!$A$189:$A$219</definedName>
    <definedName name="EP58_25">Limits!$A$188:$A$219</definedName>
    <definedName name="EP58_26">Limits!$A$187:$A$219</definedName>
    <definedName name="EP58_27">Limits!$A$186:$A$219</definedName>
    <definedName name="EP58_28">Limits!$A$185:$A$219</definedName>
    <definedName name="EP58_29">Limits!$A$184:$A$219</definedName>
    <definedName name="EP58_3">Limits!$A$210:$A$218</definedName>
    <definedName name="EP58_30">Limits!$A$183:$A$219</definedName>
    <definedName name="EP58_31">Limits!$A$182:$A$219</definedName>
    <definedName name="EP58_4">Limits!$A$209:$A$219</definedName>
    <definedName name="EP58_5">Limits!$A$208:$A$219</definedName>
    <definedName name="EP58_6">Limits!$A$207:$A$219</definedName>
    <definedName name="EP58_7">Limits!$A$206:$A$219</definedName>
    <definedName name="EP58_8">Limits!$A$205:$A$219</definedName>
    <definedName name="EP58_9">Limits!$A$204:$A$219</definedName>
    <definedName name="EP59_0">Limits!$A$214:$A$216</definedName>
    <definedName name="EP59_1">Limits!$A$213:$A$217</definedName>
    <definedName name="EP59_10">Limits!$A$204:$A$219</definedName>
    <definedName name="EP59_11">Limits!$A$203:$A$219</definedName>
    <definedName name="EP59_12">Limits!$A$202:$A$219</definedName>
    <definedName name="EP59_13">Limits!$A$201:$A$219</definedName>
    <definedName name="EP59_14">Limits!$A$200:$A$219</definedName>
    <definedName name="EP59_15">Limits!$A$199:$A$219</definedName>
    <definedName name="EP59_16">Limits!$A$198:$A$219</definedName>
    <definedName name="EP59_17">Limits!$A$197:$A$219</definedName>
    <definedName name="EP59_18">Limits!$A$196:$A$219</definedName>
    <definedName name="EP59_19">Limits!$A$195:$A$219</definedName>
    <definedName name="EP59_2">Limits!$A$212:$A$218</definedName>
    <definedName name="EP59_20">Limits!$A$194:$A$219</definedName>
    <definedName name="EP59_21">Limits!$A$193:$A$219</definedName>
    <definedName name="EP59_22">Limits!$A$192:$A$219</definedName>
    <definedName name="EP59_23">Limits!$A$191:$A$219</definedName>
    <definedName name="EP59_24">Limits!$A$190:$A$219</definedName>
    <definedName name="EP59_25">Limits!$A$189:$A$219</definedName>
    <definedName name="EP59_26">Limits!$A$188:$A$219</definedName>
    <definedName name="EP59_27">Limits!$A$187:$A$219</definedName>
    <definedName name="EP59_28">Limits!$A$186:$A$219</definedName>
    <definedName name="EP59_29">Limits!$A$185:$A$219</definedName>
    <definedName name="EP59_3">Limits!$A$211:$A$219</definedName>
    <definedName name="EP59_30">Limits!$A$184:$A$219</definedName>
    <definedName name="EP59_31">Limits!$A$183:$A$219</definedName>
    <definedName name="EP59_4">Limits!$A$210:$A$219</definedName>
    <definedName name="EP59_5">Limits!$A$209:$A$219</definedName>
    <definedName name="EP59_6">Limits!$A$208:$A$219</definedName>
    <definedName name="EP59_7">Limits!$A$207:$A$219</definedName>
    <definedName name="EP59_8">Limits!$A$206:$A$219</definedName>
    <definedName name="EP59_9">Limits!$A$205:$A$219</definedName>
    <definedName name="EP6_25">Limits!$A$156:$A$188</definedName>
    <definedName name="EP6_26">Limits!$A$156:$A$189</definedName>
    <definedName name="EP6_27">Limits!$A$156:$A$190</definedName>
    <definedName name="EP6_28">Limits!$A$156:$A$191</definedName>
    <definedName name="EP6_29">Limits!$A$156:$A$192</definedName>
    <definedName name="EP6_30">Limits!$A$156:$A$193</definedName>
    <definedName name="EP6_31">Limits!$A$156:$A$194</definedName>
    <definedName name="EP60_0">Limits!$A$215:$A$217</definedName>
    <definedName name="EP60_1">Limits!$A$214:$A$218</definedName>
    <definedName name="EP60_10">Limits!$A$205:$A$219</definedName>
    <definedName name="EP60_11">Limits!$A$204:$A$219</definedName>
    <definedName name="EP60_12">Limits!$A$203:$A$219</definedName>
    <definedName name="EP60_13">Limits!$A$202:$A$219</definedName>
    <definedName name="EP60_14">Limits!$A$201:$A$219</definedName>
    <definedName name="EP60_15">Limits!$A$200:$A$219</definedName>
    <definedName name="EP60_16">Limits!$A$199:$A$219</definedName>
    <definedName name="EP60_17">Limits!$A$198:$A$219</definedName>
    <definedName name="EP60_18">Limits!$A$197:$A$219</definedName>
    <definedName name="EP60_19">Limits!$A$196:$A$219</definedName>
    <definedName name="EP60_2">Limits!$A$213:$A$219</definedName>
    <definedName name="EP60_20">Limits!$A$195:$A$219</definedName>
    <definedName name="EP60_21">Limits!$A$194:$A$219</definedName>
    <definedName name="EP60_22">Limits!$A$193:$A$219</definedName>
    <definedName name="EP60_23">Limits!$A$192:$A$219</definedName>
    <definedName name="EP60_24">Limits!$A$191:$A$219</definedName>
    <definedName name="EP60_25">Limits!$A$190:$A$219</definedName>
    <definedName name="EP60_26">Limits!$A$189:$A$219</definedName>
    <definedName name="EP60_27">Limits!$A$188:$A$219</definedName>
    <definedName name="EP60_28">Limits!$A$187:$A$219</definedName>
    <definedName name="EP60_29">Limits!$A$186:$A$219</definedName>
    <definedName name="EP60_3">Limits!$A$212:$A$219</definedName>
    <definedName name="EP60_30">Limits!$A$185:$A$219</definedName>
    <definedName name="EP60_31">Limits!$A$184:$A$219</definedName>
    <definedName name="EP60_4">Limits!$A$211:$A$219</definedName>
    <definedName name="EP60_5">Limits!$A$210:$A$219</definedName>
    <definedName name="EP60_6">Limits!$A$209:$A$219</definedName>
    <definedName name="EP60_7">Limits!$A$208:$A$219</definedName>
    <definedName name="EP60_8">Limits!$A$207:$A$219</definedName>
    <definedName name="EP60_9">Limits!$A$206:$A$219</definedName>
    <definedName name="EP61_0">Limits!$A$216:$A$218</definedName>
    <definedName name="EP61_1">Limits!$A$215:$A$219</definedName>
    <definedName name="EP61_10">Limits!$A$206:$A$219</definedName>
    <definedName name="EP61_11">Limits!$A$205:$A$219</definedName>
    <definedName name="EP61_12">Limits!$A$204:$A$219</definedName>
    <definedName name="EP61_13">Limits!$A$203:$A$219</definedName>
    <definedName name="EP61_14">Limits!$A$202:$A$219</definedName>
    <definedName name="EP61_15">Limits!$A$201:$A$219</definedName>
    <definedName name="EP61_16">Limits!$A$200:$A$219</definedName>
    <definedName name="EP61_17">Limits!$A$199:$A$219</definedName>
    <definedName name="EP61_18">Limits!$A$198:$A$219</definedName>
    <definedName name="EP61_19">Limits!$A$197:$A$219</definedName>
    <definedName name="EP61_2">Limits!$A$214:$A$219</definedName>
    <definedName name="EP61_20">Limits!$A$196:$A$219</definedName>
    <definedName name="EP61_21">Limits!$A$195:$A$219</definedName>
    <definedName name="EP61_22">Limits!$A$194:$A$219</definedName>
    <definedName name="EP61_23">Limits!$A$193:$A$219</definedName>
    <definedName name="EP61_24">Limits!$A$192:$A$219</definedName>
    <definedName name="EP61_25">Limits!$A$191:$A$219</definedName>
    <definedName name="EP61_26">Limits!$A$190:$A$219</definedName>
    <definedName name="EP61_27">Limits!$A$189:$A$219</definedName>
    <definedName name="EP61_28">Limits!$A$188:$A$219</definedName>
    <definedName name="EP61_29">Limits!$A$187:$A$219</definedName>
    <definedName name="EP61_3">Limits!$A$213:$A$219</definedName>
    <definedName name="EP61_30">Limits!$A$186:$A$219</definedName>
    <definedName name="EP61_31">Limits!$A$185:$A$219</definedName>
    <definedName name="EP61_4">Limits!$A$212:$A$219</definedName>
    <definedName name="EP61_5">Limits!$A$211:$A$219</definedName>
    <definedName name="EP61_6">Limits!$A$210:$A$219</definedName>
    <definedName name="EP61_7">Limits!$A$209:$A$219</definedName>
    <definedName name="EP61_8">Limits!$A$208:$A$219</definedName>
    <definedName name="EP61_9">Limits!$A$207:$A$219</definedName>
    <definedName name="EP62_0">Limits!$A$217:$A$219</definedName>
    <definedName name="EP62_1">Limits!$A$216:$A$219</definedName>
    <definedName name="EP62_10">Limits!$A$207:$A$219</definedName>
    <definedName name="EP62_11">Limits!$A$206:$A$219</definedName>
    <definedName name="EP62_12">Limits!$A$205:$A$219</definedName>
    <definedName name="EP62_13">Limits!$A$204:$A$219</definedName>
    <definedName name="EP62_14">Limits!$A$203:$A$219</definedName>
    <definedName name="EP62_15">Limits!$A$202:$A$219</definedName>
    <definedName name="EP62_16">Limits!$A$201:$A$219</definedName>
    <definedName name="EP62_17">Limits!$A$200:$A$219</definedName>
    <definedName name="EP62_18">Limits!$A$199:$A$219</definedName>
    <definedName name="EP62_19">Limits!$A$198:$A$219</definedName>
    <definedName name="EP62_2">Limits!$A$215:$A$219</definedName>
    <definedName name="EP62_20">Limits!$A$197:$A$219</definedName>
    <definedName name="EP62_21">Limits!$A$196:$A$219</definedName>
    <definedName name="EP62_22">Limits!$A$195:$A$219</definedName>
    <definedName name="EP62_23">Limits!$A$194:$A$219</definedName>
    <definedName name="EP62_24">Limits!$A$193:$A$219</definedName>
    <definedName name="EP62_25">Limits!$A$192:$A$219</definedName>
    <definedName name="EP62_26">Limits!$A$191:$A$219</definedName>
    <definedName name="EP62_27">Limits!$A$190:$A$219</definedName>
    <definedName name="EP62_28">Limits!$A$189:$A$219</definedName>
    <definedName name="EP62_29">Limits!$A$188:$A$219</definedName>
    <definedName name="EP62_3">Limits!$A$214:$A$219</definedName>
    <definedName name="EP62_30">Limits!$A$187:$A$219</definedName>
    <definedName name="EP62_31">Limits!$A$186:$A$219</definedName>
    <definedName name="EP62_4">Limits!$A$213:$A$219</definedName>
    <definedName name="EP62_5">Limits!$A$212:$A$219</definedName>
    <definedName name="EP62_6">Limits!$A$211:$A$219</definedName>
    <definedName name="EP62_7">Limits!$A$210:$A$219</definedName>
    <definedName name="EP62_8">Limits!$A$209:$A$219</definedName>
    <definedName name="EP62_9">Limits!$A$208:$A$219</definedName>
    <definedName name="EP63_0">Limits!$A$218:$A$219</definedName>
    <definedName name="EP63_1">Limits!$A$217:$A$219</definedName>
    <definedName name="EP63_10">Limits!$A$208:$A$219</definedName>
    <definedName name="EP63_11">Limits!$A$207:$A$219</definedName>
    <definedName name="EP63_12">Limits!$A$206:$A$219</definedName>
    <definedName name="EP63_13">Limits!$A$205:$A$219</definedName>
    <definedName name="EP63_14">Limits!$A$204:$A$219</definedName>
    <definedName name="EP63_15">Limits!$A$203:$A$219</definedName>
    <definedName name="EP63_16">Limits!$A$202:$A$219</definedName>
    <definedName name="EP63_17">Limits!$A$201:$A$219</definedName>
    <definedName name="EP63_18">Limits!$A$200:$A$219</definedName>
    <definedName name="EP63_19">Limits!$A$199:$A$219</definedName>
    <definedName name="EP63_2">Limits!$A$216:$A$219</definedName>
    <definedName name="EP63_20">Limits!$A$198:$A$219</definedName>
    <definedName name="EP63_21">Limits!$A$197:$A$219</definedName>
    <definedName name="EP63_22">Limits!$A$196:$A$219</definedName>
    <definedName name="EP63_23">Limits!$A$195:$A$219</definedName>
    <definedName name="EP63_24">Limits!$A$194:$A$219</definedName>
    <definedName name="EP63_25">Limits!$A$193:$A$219</definedName>
    <definedName name="EP63_26">Limits!$A$192:$A$219</definedName>
    <definedName name="EP63_27">Limits!$A$191:$A$219</definedName>
    <definedName name="EP63_28">Limits!$A$190:$A$219</definedName>
    <definedName name="EP63_29">Limits!$A$189:$A$219</definedName>
    <definedName name="EP63_3">Limits!$A$215:$A$219</definedName>
    <definedName name="EP63_30">Limits!$A$188:$A$219</definedName>
    <definedName name="EP63_31">Limits!$A$187:$A$219</definedName>
    <definedName name="EP63_4">Limits!$A$214:$A$219</definedName>
    <definedName name="EP63_5">Limits!$A$213:$A$219</definedName>
    <definedName name="EP63_6">Limits!$A$212:$A$219</definedName>
    <definedName name="EP63_7">Limits!$A$211:$A$219</definedName>
    <definedName name="EP63_8">Limits!$A$210:$A$219</definedName>
    <definedName name="EP63_9">Limits!$A$209:$A$219</definedName>
    <definedName name="EP7_24">Limits!$A$156:$A$188</definedName>
    <definedName name="EP7_25">Limits!$A$156:$A$189</definedName>
    <definedName name="EP7_26">Limits!$A$156:$A$190</definedName>
    <definedName name="EP7_27">Limits!$A$156:$A$191</definedName>
    <definedName name="EP7_28">Limits!$A$156:$A$192</definedName>
    <definedName name="EP7_29">Limits!$A$156:$A$193</definedName>
    <definedName name="EP7_30">Limits!$A$156:$A$194</definedName>
    <definedName name="EP7_31">Limits!$A$156:$A$195</definedName>
    <definedName name="EP8_23">Limits!$A$156:$A$188</definedName>
    <definedName name="EP8_24">Limits!$A$156:$A$189</definedName>
    <definedName name="EP8_25">Limits!$A$156:$A$190</definedName>
    <definedName name="EP8_26">Limits!$A$156:$A$191</definedName>
    <definedName name="EP8_27">Limits!$A$156:$A$192</definedName>
    <definedName name="EP8_28">Limits!$A$156:$A$193</definedName>
    <definedName name="EP8_29">Limits!$A$156:$A$194</definedName>
    <definedName name="EP8_30">Limits!$A$156:$A$195</definedName>
    <definedName name="EP8_31">Limits!$A$156:$A$196</definedName>
    <definedName name="EP9_22">Limits!$A$156:$A$188</definedName>
    <definedName name="EP9_23">Limits!$A$156:$A$189</definedName>
    <definedName name="EP9_24">Limits!$A$156:$A$190</definedName>
    <definedName name="EP9_25">Limits!$A$156:$A$191</definedName>
    <definedName name="EP9_26">Limits!$A$156:$A$192</definedName>
    <definedName name="EP9_27">Limits!$A$156:$A$193</definedName>
    <definedName name="EP9_28">Limits!$A$156:$A$194</definedName>
    <definedName name="EP9_29">Limits!$A$156:$A$195</definedName>
    <definedName name="EP9_30">Limits!$A$156:$A$196</definedName>
    <definedName name="EP9_31">Limits!$A$156:$A$197</definedName>
    <definedName name="F0_4">Limits!$A$256:$A$261</definedName>
    <definedName name="F0_5">Limits!$A$256:$A$262</definedName>
    <definedName name="F0_6">Limits!$A$256:$A$263</definedName>
    <definedName name="F0_7">Limits!$A$256:$A$263</definedName>
    <definedName name="F1_4">Limits!$A$256:$A$262</definedName>
    <definedName name="F1_5">Limits!$A$256:$A$263</definedName>
    <definedName name="F1_6">Limits!$A$256:$A$263</definedName>
    <definedName name="F1_7">Limits!$A$256:$A$263</definedName>
    <definedName name="F2_4">Limits!$A$256:$A$263</definedName>
    <definedName name="F2_5">Limits!$A$256:$A$263</definedName>
    <definedName name="F2_6">Limits!$A$256:$A$263</definedName>
    <definedName name="F2_7">Limits!$A$256:$A$263</definedName>
    <definedName name="F3_4">Limits!$A$256:$A$263</definedName>
    <definedName name="F3_5">Limits!$A$256:$A$263</definedName>
    <definedName name="F3_6">Limits!$A$256:$A$263</definedName>
    <definedName name="F3_7">Limits!$A$256:$A$263</definedName>
    <definedName name="F4_4">Limits!$A$256:$A$263</definedName>
    <definedName name="F4_5">Limits!$A$256:$A$263</definedName>
    <definedName name="F4_6">Limits!$A$256:$A$263</definedName>
    <definedName name="F4_7">Limits!$A$256:$A$263</definedName>
    <definedName name="F5_4">Limits!$A$256:$A$263</definedName>
    <definedName name="F5_5">Limits!$A$256:$A$263</definedName>
    <definedName name="F5_6">Limits!$A$256:$A$263</definedName>
    <definedName name="F5_7">Limits!$A$256:$A$263</definedName>
    <definedName name="F6_4">Limits!$A$257:$A$263</definedName>
    <definedName name="F6_5">Limits!$A$256:$A$263</definedName>
    <definedName name="F6_6">Limits!$A$256:$A$263</definedName>
    <definedName name="F6_7">Limits!$A$256:$A$263</definedName>
    <definedName name="F7_4">Limits!$A$258:$A$263</definedName>
    <definedName name="F7_5">Limits!$A$257:$A$263</definedName>
    <definedName name="F7_6">Limits!$A$256:$A$263</definedName>
    <definedName name="F7_7">Limits!$A$256:$A$263</definedName>
    <definedName name="FlexCAN_Jump_Values_Extended">Limits!$A$121:$AG$153</definedName>
    <definedName name="FlexCAN_Jump_Values_FD">Limits!$A$255:$I$263</definedName>
    <definedName name="FlexCAN_Jump_Values_Normal">Limits!$A$111:$E$119</definedName>
    <definedName name="FlexCAN_Prop_Jump_Values_Extended">Limits!$A$155:$AG$219</definedName>
    <definedName name="FlexCAN_Prop_Jump_Values_FD">Limits!$A$221:$I$253</definedName>
    <definedName name="HSRUN_Enabled" localSheetId="3">Limits!$F$3:$F$6</definedName>
    <definedName name="J0_0">Limits!$A$112:$A$113</definedName>
    <definedName name="J0_1">Limits!$A$112:$A$114</definedName>
    <definedName name="J0_2">Limits!$A$112:$A$115</definedName>
    <definedName name="J0_3">Limits!$A$112:$A$116</definedName>
    <definedName name="J1_0">Limits!$A$112:$A$114</definedName>
    <definedName name="J1_1">Limits!$A$112:$A$115</definedName>
    <definedName name="J1_2">Limits!$A$112:$A$116</definedName>
    <definedName name="J1_3">Limits!$A$112:$A$117</definedName>
    <definedName name="J2_0">Limits!$A$113:$A$115</definedName>
    <definedName name="J2_1">Limits!$A$112:$A$116</definedName>
    <definedName name="J2_2">Limits!$A$112:$A$117</definedName>
    <definedName name="J2_3">Limits!$A$112:$A$118</definedName>
    <definedName name="J3_0">Limits!$A$114:$A$116</definedName>
    <definedName name="J3_1">Limits!$A$113:$A$117</definedName>
    <definedName name="J3_2">Limits!$A$112:$A$118</definedName>
    <definedName name="J3_3">Limits!$A$112:$A$119</definedName>
    <definedName name="J4_0">Limits!$A$115:$A$117</definedName>
    <definedName name="J4_1">Limits!$A$114:$A$118</definedName>
    <definedName name="J4_2">Limits!$A$113:$A$119</definedName>
    <definedName name="J4_3">Limits!$A$112:$A$119</definedName>
    <definedName name="J5_0">Limits!$A$116:$A$118</definedName>
    <definedName name="J5_1">Limits!$A$115:$A$119</definedName>
    <definedName name="J5_2">Limits!$A$114:$A$119</definedName>
    <definedName name="J5_3">Limits!$A$113:$A$119</definedName>
    <definedName name="J6_0">Limits!$A$117:$A$119</definedName>
    <definedName name="J6_1">Limits!$A$116:$A$119</definedName>
    <definedName name="J6_2">Limits!$A$115:$A$119</definedName>
    <definedName name="J6_3">Limits!$A$114:$A$119</definedName>
    <definedName name="J7_0">Limits!$A$118:$A$119</definedName>
    <definedName name="J7_1">Limits!$A$117:$A$119</definedName>
    <definedName name="J7_2">Limits!$A$116:$A$119</definedName>
    <definedName name="J7_3">Limits!$A$115:$A$119</definedName>
    <definedName name="LP_Enabled">Limits!$G$3:$G$7</definedName>
    <definedName name="LP_Mode" localSheetId="0">Limits!$F$23</definedName>
    <definedName name="QSPI_AHB">Limits!$A$112:$A$113</definedName>
    <definedName name="QSPI_AHB_2">Limits!$A$113</definedName>
    <definedName name="RUN_HSRUN" localSheetId="0">Limits!$E$23:$E$26</definedName>
    <definedName name="Run_Only" localSheetId="3">Limits!$E$3:$E$5</definedName>
    <definedName name="Run_S32K11x" localSheetId="0">Limits!$G$23:$G$25</definedName>
    <definedName name="SCG_CLKOUT_S32K11x" localSheetId="0">Limits!$F$38:$F$41</definedName>
    <definedName name="SCG_CLKOUT_S32K14x" localSheetId="0">Limits!$E$38:$E$42</definedName>
    <definedName name="Selected_Device">'Device Select'!$G$17</definedName>
    <definedName name="SIRC_Disabled" localSheetId="0">Limits!$E$30:$E$31</definedName>
    <definedName name="SIRC_Enabled" localSheetId="0">Limits!$F$30</definedName>
    <definedName name="SPLL_Disabled" localSheetId="2">Limits!$E$12:$E$13</definedName>
    <definedName name="SPLL_Enabled" localSheetId="2">Limits!$F$12</definedName>
  </definedNames>
  <calcPr calcId="145621"/>
</workbook>
</file>

<file path=xl/calcChain.xml><?xml version="1.0" encoding="utf-8"?>
<calcChain xmlns="http://schemas.openxmlformats.org/spreadsheetml/2006/main">
  <c r="I11" i="13" l="1"/>
  <c r="Y14" i="20" l="1"/>
  <c r="Y35" i="20"/>
  <c r="AZ101" i="19"/>
  <c r="AZ83" i="19"/>
  <c r="AZ71" i="19"/>
  <c r="AZ54" i="19"/>
  <c r="AZ50" i="19"/>
  <c r="AZ46" i="19"/>
  <c r="AZ40" i="19"/>
  <c r="AZ36" i="19"/>
  <c r="AZ30" i="19"/>
  <c r="AZ26" i="19"/>
  <c r="AZ15" i="19"/>
  <c r="AX90" i="18"/>
  <c r="AX84" i="18"/>
  <c r="AX75" i="18"/>
  <c r="AX67" i="18"/>
  <c r="AX58" i="18"/>
  <c r="AX46" i="18"/>
  <c r="AX40" i="18"/>
  <c r="AX32" i="18"/>
  <c r="AX24" i="18"/>
  <c r="AX15" i="18"/>
  <c r="AL217" i="14"/>
  <c r="AD92" i="16"/>
  <c r="AD91" i="16"/>
  <c r="AD83" i="16"/>
  <c r="AD82" i="16"/>
  <c r="AD81" i="16"/>
  <c r="AD79" i="16"/>
  <c r="AD78" i="16"/>
  <c r="AD77" i="16"/>
  <c r="AD76" i="16"/>
  <c r="AD75" i="16"/>
  <c r="AD74" i="16"/>
  <c r="AD73" i="16"/>
  <c r="AD72" i="16"/>
  <c r="AD71" i="16"/>
  <c r="AD69" i="16"/>
  <c r="AD68" i="16"/>
  <c r="AD67" i="16"/>
  <c r="AD66" i="16"/>
  <c r="AD65" i="16"/>
  <c r="AD63" i="16"/>
  <c r="AD62" i="16"/>
  <c r="AD60" i="16"/>
  <c r="AD59" i="16"/>
  <c r="AD58" i="16"/>
  <c r="AD56" i="16"/>
  <c r="AD55" i="16"/>
  <c r="AD54" i="16"/>
  <c r="AD53" i="16"/>
  <c r="AD52" i="16"/>
  <c r="AD51" i="16"/>
  <c r="AD50" i="16"/>
  <c r="AD49" i="16"/>
  <c r="AD48" i="16"/>
  <c r="AD46" i="16"/>
  <c r="AD45" i="16"/>
  <c r="AD44" i="16"/>
  <c r="AD43" i="16"/>
  <c r="AD42" i="16"/>
  <c r="AD40" i="16"/>
  <c r="AD39" i="16"/>
  <c r="AD37" i="16"/>
  <c r="AD36" i="16"/>
  <c r="AD10" i="16"/>
  <c r="L34" i="16"/>
  <c r="L76" i="16"/>
  <c r="L150" i="16"/>
  <c r="L149" i="16"/>
  <c r="L211" i="16"/>
  <c r="AD7" i="16"/>
  <c r="AD8" i="16"/>
  <c r="L199" i="16"/>
  <c r="L148" i="16"/>
  <c r="L210" i="16"/>
  <c r="L36" i="16"/>
  <c r="L35" i="16"/>
  <c r="AI214" i="14"/>
  <c r="AN16" i="14"/>
  <c r="S14" i="13"/>
  <c r="AO214" i="14" l="1"/>
  <c r="B18" i="16"/>
  <c r="AD12" i="16" l="1"/>
  <c r="B121" i="16" l="1"/>
  <c r="B120" i="16"/>
  <c r="B119" i="16"/>
  <c r="B118" i="16"/>
  <c r="B117" i="16"/>
  <c r="B116" i="16"/>
  <c r="B115" i="16"/>
  <c r="B78" i="16"/>
  <c r="B114" i="16"/>
  <c r="B113" i="16"/>
  <c r="B112" i="16"/>
  <c r="B111" i="16"/>
  <c r="B76" i="16"/>
  <c r="B110" i="16"/>
  <c r="B109" i="16"/>
  <c r="B108" i="16"/>
  <c r="B107" i="16"/>
  <c r="B48" i="16"/>
  <c r="B106" i="16"/>
  <c r="B105" i="16"/>
  <c r="B104" i="16"/>
  <c r="B103" i="16"/>
  <c r="B102" i="16"/>
  <c r="B100" i="16"/>
  <c r="B101" i="16"/>
  <c r="B99" i="16"/>
  <c r="B98" i="16"/>
  <c r="B97" i="16"/>
  <c r="B96" i="16"/>
  <c r="B95" i="16"/>
  <c r="AD117" i="16"/>
  <c r="AD113" i="16"/>
  <c r="AD112" i="16"/>
  <c r="AD108" i="16"/>
  <c r="AD107" i="16"/>
  <c r="AD103" i="16"/>
  <c r="AD102" i="16"/>
  <c r="AD101" i="16"/>
  <c r="AD100" i="16"/>
  <c r="AD99" i="16"/>
  <c r="AD98" i="16"/>
  <c r="AD96" i="16"/>
  <c r="AD94" i="16"/>
  <c r="AD90" i="16"/>
  <c r="AD88" i="16"/>
  <c r="AD87" i="16"/>
  <c r="AD86" i="16"/>
  <c r="AD84" i="16"/>
  <c r="AD64" i="16"/>
  <c r="AD61" i="16"/>
  <c r="AD38" i="16"/>
  <c r="AD41" i="16"/>
  <c r="AD35" i="16"/>
  <c r="AD34" i="16"/>
  <c r="AD33" i="16"/>
  <c r="AD31" i="16"/>
  <c r="AD29" i="16"/>
  <c r="AD28" i="16"/>
  <c r="AD27" i="16"/>
  <c r="AD26" i="16"/>
  <c r="AD25" i="16"/>
  <c r="AD24" i="16"/>
  <c r="AD23" i="16"/>
  <c r="AD13" i="16"/>
  <c r="AD21" i="16"/>
  <c r="AD20" i="16"/>
  <c r="AD11" i="16"/>
  <c r="AD19" i="16"/>
  <c r="AD18" i="16"/>
  <c r="AD16" i="16"/>
  <c r="AD15" i="16"/>
  <c r="AD9" i="16"/>
  <c r="L298" i="16"/>
  <c r="L297" i="16"/>
  <c r="L294" i="16"/>
  <c r="L291" i="16"/>
  <c r="L290" i="16"/>
  <c r="L295" i="16"/>
  <c r="L289" i="16"/>
  <c r="L288" i="16"/>
  <c r="L285" i="16"/>
  <c r="L282" i="16"/>
  <c r="L281" i="16"/>
  <c r="L286" i="16"/>
  <c r="L280" i="16"/>
  <c r="L279" i="16"/>
  <c r="L276" i="16"/>
  <c r="L274" i="16"/>
  <c r="L273" i="16"/>
  <c r="L272" i="16"/>
  <c r="L277" i="16"/>
  <c r="L271" i="16"/>
  <c r="L270" i="16"/>
  <c r="L267" i="16"/>
  <c r="L264" i="16"/>
  <c r="L263" i="16"/>
  <c r="L268" i="16"/>
  <c r="L262" i="16"/>
  <c r="L261" i="16"/>
  <c r="L258" i="16"/>
  <c r="L255" i="16"/>
  <c r="L254" i="16"/>
  <c r="L259" i="16"/>
  <c r="L253" i="16"/>
  <c r="L252" i="16"/>
  <c r="L249" i="16"/>
  <c r="L237" i="16"/>
  <c r="L246" i="16"/>
  <c r="L245" i="16"/>
  <c r="L244" i="16"/>
  <c r="L250" i="16"/>
  <c r="L197" i="16"/>
  <c r="L243" i="16"/>
  <c r="L240" i="16"/>
  <c r="L236" i="16"/>
  <c r="L241" i="16"/>
  <c r="L235" i="16"/>
  <c r="L234" i="16"/>
  <c r="L231" i="16"/>
  <c r="L232" i="16"/>
  <c r="L188" i="16"/>
  <c r="L229" i="16"/>
  <c r="L228" i="16"/>
  <c r="L225" i="16"/>
  <c r="L224" i="16"/>
  <c r="L221" i="16"/>
  <c r="L220" i="16"/>
  <c r="L219" i="16"/>
  <c r="L217" i="16"/>
  <c r="L216" i="16"/>
  <c r="L213" i="16"/>
  <c r="L212" i="16"/>
  <c r="L209" i="16"/>
  <c r="L208" i="16"/>
  <c r="L207" i="16"/>
  <c r="L206" i="16"/>
  <c r="L205" i="16"/>
  <c r="L204" i="16"/>
  <c r="L202" i="16"/>
  <c r="L201" i="16"/>
  <c r="L198" i="16"/>
  <c r="L195" i="16"/>
  <c r="L194" i="16"/>
  <c r="L191" i="16"/>
  <c r="L190" i="16"/>
  <c r="L189" i="16"/>
  <c r="L186" i="16"/>
  <c r="L185" i="16"/>
  <c r="L183" i="16"/>
  <c r="L182" i="16"/>
  <c r="L180" i="16"/>
  <c r="L178" i="16"/>
  <c r="L176" i="16"/>
  <c r="L175" i="16"/>
  <c r="L173" i="16"/>
  <c r="L172" i="16"/>
  <c r="L170" i="16"/>
  <c r="L169" i="16"/>
  <c r="L167" i="16"/>
  <c r="L166" i="16"/>
  <c r="L164" i="16"/>
  <c r="L163" i="16"/>
  <c r="L160" i="16"/>
  <c r="L159" i="16"/>
  <c r="L157" i="16"/>
  <c r="L156" i="16"/>
  <c r="L154" i="16"/>
  <c r="L153" i="16"/>
  <c r="L151" i="16"/>
  <c r="L147" i="16"/>
  <c r="L145" i="16"/>
  <c r="L144" i="16"/>
  <c r="L142" i="16"/>
  <c r="L141" i="16"/>
  <c r="L139" i="16"/>
  <c r="L138" i="16"/>
  <c r="L136" i="16"/>
  <c r="L135" i="16"/>
  <c r="L133" i="16" l="1"/>
  <c r="L131" i="16"/>
  <c r="L128" i="16"/>
  <c r="L129" i="16"/>
  <c r="L126" i="16"/>
  <c r="L124" i="16"/>
  <c r="L123" i="16"/>
  <c r="L121" i="16"/>
  <c r="L114" i="16"/>
  <c r="L120" i="16"/>
  <c r="L119" i="16"/>
  <c r="L118" i="16"/>
  <c r="L117" i="16"/>
  <c r="L115" i="16"/>
  <c r="L113" i="16"/>
  <c r="L65" i="16"/>
  <c r="L66" i="16"/>
  <c r="L112" i="16"/>
  <c r="L111" i="16"/>
  <c r="L109" i="16"/>
  <c r="L108" i="16"/>
  <c r="L106" i="16"/>
  <c r="L105" i="16"/>
  <c r="L103" i="16"/>
  <c r="L102" i="16"/>
  <c r="L101" i="16"/>
  <c r="L99" i="16"/>
  <c r="L98" i="16"/>
  <c r="L96" i="16"/>
  <c r="L95" i="16"/>
  <c r="L93" i="16"/>
  <c r="L88" i="16"/>
  <c r="L92" i="16"/>
  <c r="AW20" i="20" l="1"/>
  <c r="AN19" i="20" s="1"/>
  <c r="AD93" i="16" s="1"/>
  <c r="AW31" i="20"/>
  <c r="AD95" i="16" s="1"/>
  <c r="AG103" i="19" l="1"/>
  <c r="AC103" i="19"/>
  <c r="AQ85" i="19"/>
  <c r="AK48" i="19"/>
  <c r="V27" i="19" l="1"/>
  <c r="AF89" i="18" l="1"/>
  <c r="AF74" i="18"/>
  <c r="AF44" i="18"/>
  <c r="AF30" i="18"/>
  <c r="H8" i="18" l="1"/>
  <c r="H107" i="18" s="1"/>
  <c r="F8" i="18"/>
  <c r="F107" i="18" s="1"/>
  <c r="B52" i="16" l="1"/>
  <c r="B94" i="16"/>
  <c r="B93" i="16"/>
  <c r="B92" i="16"/>
  <c r="B91" i="16"/>
  <c r="B90" i="16"/>
  <c r="B88" i="16"/>
  <c r="B89" i="16"/>
  <c r="B87" i="16"/>
  <c r="B86" i="16"/>
  <c r="B85" i="16"/>
  <c r="B84" i="16"/>
  <c r="B82" i="16"/>
  <c r="B81" i="16"/>
  <c r="B83" i="16"/>
  <c r="B80" i="16"/>
  <c r="B79" i="16"/>
  <c r="B77" i="16" l="1"/>
  <c r="B75" i="16"/>
  <c r="B74" i="16"/>
  <c r="B73" i="16"/>
  <c r="B72" i="16"/>
  <c r="B71" i="16"/>
  <c r="B70" i="16"/>
  <c r="B69" i="16"/>
  <c r="B68" i="16"/>
  <c r="B67" i="16"/>
  <c r="B66" i="16"/>
  <c r="B65" i="16"/>
  <c r="B64" i="16"/>
  <c r="B63" i="16"/>
  <c r="B62" i="16"/>
  <c r="B61" i="16"/>
  <c r="AE512" i="14"/>
  <c r="AE513" i="14"/>
  <c r="AE511" i="14"/>
  <c r="AI521" i="14" s="1"/>
  <c r="L292" i="16" s="1"/>
  <c r="AE476" i="14"/>
  <c r="AE477" i="14"/>
  <c r="AE475" i="14"/>
  <c r="AE443" i="14"/>
  <c r="AE444" i="14"/>
  <c r="AE442" i="14"/>
  <c r="AE413" i="14"/>
  <c r="AE414" i="14"/>
  <c r="AE412" i="14"/>
  <c r="AI420" i="14" s="1"/>
  <c r="L265" i="16" s="1"/>
  <c r="AE383" i="14"/>
  <c r="AE384" i="14"/>
  <c r="AE382" i="14"/>
  <c r="AE354" i="14"/>
  <c r="AE355" i="14"/>
  <c r="AE353" i="14"/>
  <c r="AE326" i="14"/>
  <c r="AE327" i="14"/>
  <c r="AE328" i="14"/>
  <c r="AI484" i="14"/>
  <c r="L283" i="16" s="1"/>
  <c r="AI389" i="14"/>
  <c r="L256" i="16" s="1"/>
  <c r="AI359" i="14" l="1"/>
  <c r="L247" i="16" s="1"/>
  <c r="AI332" i="14"/>
  <c r="L238" i="16" s="1"/>
  <c r="L91" i="16"/>
  <c r="L89" i="16"/>
  <c r="L87" i="16"/>
  <c r="L86" i="16"/>
  <c r="L85" i="16"/>
  <c r="L84" i="16"/>
  <c r="L83" i="16"/>
  <c r="L82" i="16"/>
  <c r="L81" i="16"/>
  <c r="L80" i="16"/>
  <c r="L79" i="16"/>
  <c r="L78" i="16"/>
  <c r="L75" i="16"/>
  <c r="L73" i="16"/>
  <c r="L72" i="16"/>
  <c r="L70" i="16"/>
  <c r="L69" i="16"/>
  <c r="L67" i="16"/>
  <c r="L64" i="16"/>
  <c r="L63" i="16"/>
  <c r="L61" i="16"/>
  <c r="L41" i="16"/>
  <c r="L39" i="16"/>
  <c r="L51" i="16"/>
  <c r="L50" i="16"/>
  <c r="L47" i="16"/>
  <c r="L48" i="16"/>
  <c r="L49" i="16"/>
  <c r="L46" i="16"/>
  <c r="L45" i="16"/>
  <c r="L44" i="16"/>
  <c r="L42" i="16"/>
  <c r="L60" i="16"/>
  <c r="L59" i="16"/>
  <c r="L58" i="16"/>
  <c r="L54" i="16"/>
  <c r="L53" i="16"/>
  <c r="L55" i="16"/>
  <c r="L56" i="16"/>
  <c r="L38" i="16"/>
  <c r="L33" i="16"/>
  <c r="L31" i="16"/>
  <c r="L30" i="16"/>
  <c r="L29" i="16"/>
  <c r="L28" i="16"/>
  <c r="L27" i="16"/>
  <c r="L26" i="16"/>
  <c r="L10" i="16"/>
  <c r="L11" i="16"/>
  <c r="L25" i="16"/>
  <c r="L24" i="16"/>
  <c r="E26" i="6"/>
  <c r="L23" i="16"/>
  <c r="L22" i="16"/>
  <c r="L21" i="16"/>
  <c r="L14" i="16"/>
  <c r="L18" i="16"/>
  <c r="L19" i="16"/>
  <c r="L16" i="16"/>
  <c r="L15" i="16"/>
  <c r="L12" i="16"/>
  <c r="L9" i="16"/>
  <c r="L8" i="16"/>
  <c r="B60" i="16" l="1"/>
  <c r="B59" i="16" l="1"/>
  <c r="B58" i="16"/>
  <c r="P13" i="17" l="1"/>
  <c r="B57" i="16"/>
  <c r="B56" i="14"/>
  <c r="B56" i="16"/>
  <c r="B55" i="16"/>
  <c r="B54" i="16" l="1"/>
  <c r="B53" i="16"/>
  <c r="B51" i="16"/>
  <c r="B50" i="16"/>
  <c r="B49" i="16"/>
  <c r="B47" i="16"/>
  <c r="B46" i="16"/>
  <c r="B45" i="16"/>
  <c r="B44" i="16"/>
  <c r="B43" i="16"/>
  <c r="B42" i="16"/>
  <c r="B41" i="16"/>
  <c r="B40" i="16"/>
  <c r="B39" i="16"/>
  <c r="B38" i="16"/>
  <c r="B37" i="16"/>
  <c r="B36" i="16"/>
  <c r="B35" i="16"/>
  <c r="B34" i="16"/>
  <c r="B33" i="16"/>
  <c r="B32" i="16"/>
  <c r="B31" i="16"/>
  <c r="B30" i="16" l="1"/>
  <c r="B29" i="16"/>
  <c r="B28" i="16"/>
  <c r="L40" i="16" s="1"/>
  <c r="B25" i="16"/>
  <c r="B26" i="16"/>
  <c r="B27" i="16"/>
  <c r="B24" i="16"/>
  <c r="B23" i="16"/>
  <c r="B22" i="16"/>
  <c r="B21" i="16"/>
  <c r="B20" i="16"/>
  <c r="L57" i="16" s="1"/>
  <c r="B19" i="16"/>
  <c r="B17" i="16"/>
  <c r="B16" i="16"/>
  <c r="B15" i="16"/>
  <c r="B9" i="16"/>
  <c r="B14" i="16"/>
  <c r="B13" i="16"/>
  <c r="B12" i="16"/>
  <c r="B11" i="16"/>
  <c r="L17" i="16" s="1"/>
  <c r="B10" i="16"/>
  <c r="B8" i="16"/>
  <c r="L13" i="16" s="1"/>
  <c r="E11" i="6"/>
  <c r="G188" i="14" l="1"/>
  <c r="AQ26" i="14"/>
  <c r="AQ135" i="14"/>
  <c r="AQ34" i="14"/>
  <c r="AQ142" i="14"/>
  <c r="B168" i="14"/>
  <c r="B227" i="14"/>
  <c r="B221" i="14"/>
  <c r="B249" i="14"/>
  <c r="B243" i="14"/>
  <c r="B235" i="14"/>
  <c r="L134" i="16" l="1"/>
  <c r="BE209" i="14"/>
  <c r="I80" i="16" s="1"/>
  <c r="AI178" i="14" l="1"/>
  <c r="L192" i="16" s="1"/>
  <c r="F13" i="15" l="1"/>
  <c r="G13" i="15" s="1"/>
  <c r="E13" i="15"/>
  <c r="E12" i="15" s="1"/>
  <c r="H13" i="15" l="1"/>
  <c r="G12" i="15"/>
  <c r="F12" i="15"/>
  <c r="C15" i="15"/>
  <c r="B14" i="15"/>
  <c r="D12" i="15"/>
  <c r="U5" i="15"/>
  <c r="U4" i="15"/>
  <c r="U3" i="15"/>
  <c r="J41" i="11"/>
  <c r="P41" i="11" s="1"/>
  <c r="E58" i="6" l="1"/>
  <c r="S175" i="6" s="1"/>
  <c r="L43" i="16"/>
  <c r="I13" i="15"/>
  <c r="H12" i="15"/>
  <c r="B15" i="15"/>
  <c r="C16" i="15"/>
  <c r="B16" i="15" s="1"/>
  <c r="AF234" i="14" l="1"/>
  <c r="BH184" i="6"/>
  <c r="H109" i="14" s="1"/>
  <c r="D112" i="14" s="1"/>
  <c r="I41" i="16" s="1"/>
  <c r="AF224" i="14"/>
  <c r="AF53" i="14"/>
  <c r="I11" i="16"/>
  <c r="AF244" i="14"/>
  <c r="I136" i="14"/>
  <c r="AF254" i="14"/>
  <c r="AM186" i="6"/>
  <c r="AI208" i="14" s="1"/>
  <c r="I12" i="16"/>
  <c r="C17" i="15"/>
  <c r="B17" i="15" s="1"/>
  <c r="J13" i="15"/>
  <c r="I12" i="15"/>
  <c r="C18" i="15"/>
  <c r="I28" i="16" l="1"/>
  <c r="I185" i="14"/>
  <c r="I51" i="16" s="1"/>
  <c r="D21" i="17"/>
  <c r="I13" i="16"/>
  <c r="K13" i="15"/>
  <c r="J12" i="15"/>
  <c r="C19" i="15"/>
  <c r="B18" i="15"/>
  <c r="L13" i="15" l="1"/>
  <c r="K12" i="15"/>
  <c r="B19" i="15"/>
  <c r="C20" i="15"/>
  <c r="M13" i="15" l="1"/>
  <c r="L12" i="15"/>
  <c r="C21" i="15"/>
  <c r="B20" i="15"/>
  <c r="N13" i="15" l="1"/>
  <c r="M12" i="15"/>
  <c r="B21" i="15"/>
  <c r="O13" i="15" l="1"/>
  <c r="N12" i="15"/>
  <c r="P13" i="15" l="1"/>
  <c r="O12" i="15"/>
  <c r="AZ34" i="6"/>
  <c r="AZ27" i="6"/>
  <c r="AW20" i="6"/>
  <c r="AG16" i="6"/>
  <c r="L44" i="6"/>
  <c r="V29" i="6"/>
  <c r="R15" i="6"/>
  <c r="O24" i="11"/>
  <c r="U23" i="11" l="1"/>
  <c r="E40" i="6" s="1"/>
  <c r="N41" i="6" s="1"/>
  <c r="L32" i="16"/>
  <c r="Q13" i="15"/>
  <c r="P12" i="15"/>
  <c r="I10" i="16" l="1"/>
  <c r="BB132" i="6"/>
  <c r="BB120" i="6"/>
  <c r="R13" i="15"/>
  <c r="Q12" i="15"/>
  <c r="C11" i="13"/>
  <c r="E12" i="13" s="1"/>
  <c r="M11" i="13" s="1"/>
  <c r="I122" i="14"/>
  <c r="I26" i="6"/>
  <c r="Q10" i="13" l="1"/>
  <c r="V11" i="13" s="1"/>
  <c r="I26" i="16"/>
  <c r="AC12" i="14"/>
  <c r="AC536" i="14" s="1"/>
  <c r="L74" i="16"/>
  <c r="I25" i="16"/>
  <c r="AA12" i="14"/>
  <c r="X26" i="6"/>
  <c r="L20" i="16"/>
  <c r="S13" i="15"/>
  <c r="R12" i="15"/>
  <c r="U2" i="15"/>
  <c r="E18" i="15" s="1"/>
  <c r="I11" i="6"/>
  <c r="P11" i="6" s="1"/>
  <c r="U11" i="6" s="1"/>
  <c r="BB68" i="6" s="1"/>
  <c r="AE14" i="6" l="1"/>
  <c r="AI14" i="6" s="1"/>
  <c r="I14" i="16" s="1"/>
  <c r="L37" i="16"/>
  <c r="BB42" i="6"/>
  <c r="BB55" i="6"/>
  <c r="AA536" i="14"/>
  <c r="J9" i="20" s="1"/>
  <c r="D8" i="18"/>
  <c r="D107" i="18" s="1"/>
  <c r="BB106" i="6"/>
  <c r="BB94" i="6"/>
  <c r="S12" i="14"/>
  <c r="S536" i="14" s="1"/>
  <c r="F9" i="20" s="1"/>
  <c r="F46" i="20" s="1"/>
  <c r="AR174" i="6"/>
  <c r="I21" i="16"/>
  <c r="I123" i="14"/>
  <c r="I9" i="16"/>
  <c r="BB80" i="6"/>
  <c r="I8" i="16"/>
  <c r="M19" i="15"/>
  <c r="T13" i="15"/>
  <c r="S12" i="15"/>
  <c r="I16" i="15"/>
  <c r="F19" i="15"/>
  <c r="P19" i="15"/>
  <c r="S15" i="15"/>
  <c r="L16" i="15"/>
  <c r="D17" i="15"/>
  <c r="S19" i="15"/>
  <c r="F21" i="15"/>
  <c r="T18" i="15"/>
  <c r="O19" i="15"/>
  <c r="H20" i="15"/>
  <c r="F14" i="15"/>
  <c r="T20" i="15"/>
  <c r="Q15" i="15"/>
  <c r="O16" i="15"/>
  <c r="L14" i="15"/>
  <c r="F20" i="15"/>
  <c r="D18" i="15"/>
  <c r="D15" i="15"/>
  <c r="S20" i="15"/>
  <c r="P18" i="15"/>
  <c r="N16" i="15"/>
  <c r="K18" i="15"/>
  <c r="E20" i="15"/>
  <c r="E14" i="15"/>
  <c r="E16" i="15"/>
  <c r="F15" i="15"/>
  <c r="F16" i="15"/>
  <c r="H17" i="15"/>
  <c r="G19" i="15"/>
  <c r="D19" i="15"/>
  <c r="I20" i="15"/>
  <c r="J20" i="15"/>
  <c r="J14" i="15"/>
  <c r="E21" i="15"/>
  <c r="K20" i="15"/>
  <c r="H21" i="15"/>
  <c r="L21" i="15"/>
  <c r="M18" i="15"/>
  <c r="M17" i="15"/>
  <c r="N21" i="15"/>
  <c r="O15" i="15"/>
  <c r="O21" i="15"/>
  <c r="P20" i="15"/>
  <c r="Q14" i="15"/>
  <c r="Q19" i="15"/>
  <c r="S21" i="15"/>
  <c r="S16" i="15"/>
  <c r="R15" i="15"/>
  <c r="T14" i="15"/>
  <c r="D14" i="15"/>
  <c r="E17" i="15"/>
  <c r="G14" i="15"/>
  <c r="H14" i="15"/>
  <c r="H16" i="15"/>
  <c r="I19" i="15"/>
  <c r="I18" i="15"/>
  <c r="J16" i="15"/>
  <c r="J19" i="15"/>
  <c r="D20" i="15"/>
  <c r="I21" i="15"/>
  <c r="G21" i="15"/>
  <c r="L20" i="15"/>
  <c r="L15" i="15"/>
  <c r="M16" i="15"/>
  <c r="N15" i="15"/>
  <c r="N18" i="15"/>
  <c r="O18" i="15"/>
  <c r="P17" i="15"/>
  <c r="P14" i="15"/>
  <c r="Q17" i="15"/>
  <c r="S18" i="15"/>
  <c r="S17" i="15"/>
  <c r="R20" i="15"/>
  <c r="T15" i="15"/>
  <c r="R21" i="15"/>
  <c r="Q21" i="15"/>
  <c r="P21" i="15"/>
  <c r="N17" i="15"/>
  <c r="M20" i="15"/>
  <c r="L18" i="15"/>
  <c r="K14" i="15"/>
  <c r="J15" i="15"/>
  <c r="I14" i="15"/>
  <c r="H15" i="15"/>
  <c r="F17" i="15"/>
  <c r="E15" i="15"/>
  <c r="S14" i="15"/>
  <c r="R18" i="15"/>
  <c r="Q18" i="15"/>
  <c r="O17" i="15"/>
  <c r="N14" i="15"/>
  <c r="M15" i="15"/>
  <c r="K17" i="15"/>
  <c r="K21" i="15"/>
  <c r="J18" i="15"/>
  <c r="I17" i="15"/>
  <c r="G18" i="15"/>
  <c r="G16" i="15"/>
  <c r="T21" i="15"/>
  <c r="T17" i="15"/>
  <c r="T16" i="15"/>
  <c r="R17" i="15"/>
  <c r="R19" i="15"/>
  <c r="R14" i="15"/>
  <c r="R16" i="15"/>
  <c r="Q20" i="15"/>
  <c r="Q16" i="15"/>
  <c r="P16" i="15"/>
  <c r="P15" i="15"/>
  <c r="O20" i="15"/>
  <c r="O14" i="15"/>
  <c r="N19" i="15"/>
  <c r="N20" i="15"/>
  <c r="M21" i="15"/>
  <c r="M14" i="15"/>
  <c r="L19" i="15"/>
  <c r="L17" i="15"/>
  <c r="D21" i="15"/>
  <c r="K16" i="15"/>
  <c r="K15" i="15"/>
  <c r="K19" i="15"/>
  <c r="J17" i="15"/>
  <c r="G20" i="15"/>
  <c r="J21" i="15"/>
  <c r="E19" i="15"/>
  <c r="H19" i="15"/>
  <c r="I15" i="15"/>
  <c r="F18" i="15"/>
  <c r="H18" i="15"/>
  <c r="G17" i="15"/>
  <c r="D16" i="15"/>
  <c r="G15" i="15"/>
  <c r="AR145" i="6"/>
  <c r="BG159" i="6" s="1"/>
  <c r="AN18" i="6" l="1"/>
  <c r="AU16" i="6" s="1"/>
  <c r="L77" i="16"/>
  <c r="AW14" i="20"/>
  <c r="AR13" i="20" s="1"/>
  <c r="J46" i="20"/>
  <c r="L71" i="16"/>
  <c r="W12" i="14"/>
  <c r="W536" i="14" s="1"/>
  <c r="H9" i="20" s="1"/>
  <c r="H46" i="20" s="1"/>
  <c r="I23" i="16"/>
  <c r="Y12" i="14"/>
  <c r="Y536" i="14" s="1"/>
  <c r="I24" i="16"/>
  <c r="D24" i="17"/>
  <c r="AL474" i="14"/>
  <c r="AL173" i="14"/>
  <c r="AL411" i="14"/>
  <c r="AL441" i="14"/>
  <c r="AL381" i="14"/>
  <c r="AL326" i="14"/>
  <c r="AI209" i="14"/>
  <c r="AL510" i="14"/>
  <c r="AL352" i="14"/>
  <c r="I187" i="14"/>
  <c r="I52" i="16" s="1"/>
  <c r="I20" i="16"/>
  <c r="Q12" i="14"/>
  <c r="O12" i="14"/>
  <c r="I19" i="16"/>
  <c r="AX24" i="6"/>
  <c r="BB24" i="6" s="1"/>
  <c r="BB11" i="6"/>
  <c r="I22" i="16"/>
  <c r="L68" i="16"/>
  <c r="U12" i="14"/>
  <c r="U536" i="14" s="1"/>
  <c r="U13" i="15"/>
  <c r="T12" i="15"/>
  <c r="T19" i="15"/>
  <c r="D21" i="14"/>
  <c r="I31" i="16" s="1"/>
  <c r="J11" i="17" l="1"/>
  <c r="Q536" i="14"/>
  <c r="AI196" i="14"/>
  <c r="AP196" i="14" s="1"/>
  <c r="AU207" i="14" s="1"/>
  <c r="AY207" i="14" s="1"/>
  <c r="BC196" i="14" s="1"/>
  <c r="D55" i="14"/>
  <c r="I35" i="16" s="1"/>
  <c r="D77" i="14"/>
  <c r="I37" i="16" s="1"/>
  <c r="D95" i="14"/>
  <c r="I39" i="16" s="1"/>
  <c r="D41" i="14"/>
  <c r="I33" i="16" s="1"/>
  <c r="AG151" i="14"/>
  <c r="AK151" i="14" s="1"/>
  <c r="AO151" i="14" s="1"/>
  <c r="O536" i="14"/>
  <c r="AN181" i="14"/>
  <c r="BB18" i="6"/>
  <c r="L7" i="16" s="1"/>
  <c r="AX31" i="6"/>
  <c r="BB31" i="6" s="1"/>
  <c r="I18" i="16" s="1"/>
  <c r="BB16" i="6"/>
  <c r="I15" i="16" s="1"/>
  <c r="K12" i="14"/>
  <c r="I17" i="16"/>
  <c r="BK159" i="6"/>
  <c r="BO159" i="6" s="1"/>
  <c r="D8" i="17"/>
  <c r="AD14" i="16" s="1"/>
  <c r="V13" i="15"/>
  <c r="U12" i="15"/>
  <c r="U17" i="15"/>
  <c r="U21" i="15"/>
  <c r="U18" i="15"/>
  <c r="U19" i="15"/>
  <c r="U15" i="15"/>
  <c r="U14" i="15"/>
  <c r="U16" i="15"/>
  <c r="U20" i="15"/>
  <c r="V10" i="17" l="1"/>
  <c r="AD17" i="16"/>
  <c r="I79" i="16"/>
  <c r="L203" i="16"/>
  <c r="D9" i="20"/>
  <c r="AN453" i="14"/>
  <c r="AN523" i="14"/>
  <c r="AN422" i="14"/>
  <c r="L266" i="16" s="1"/>
  <c r="AN391" i="14"/>
  <c r="AN486" i="14"/>
  <c r="AN335" i="14"/>
  <c r="AN362" i="14"/>
  <c r="I75" i="16"/>
  <c r="L187" i="16"/>
  <c r="B8" i="18"/>
  <c r="L179" i="16"/>
  <c r="D195" i="14"/>
  <c r="AV192" i="14"/>
  <c r="AN35" i="14"/>
  <c r="AL144" i="14"/>
  <c r="D135" i="14"/>
  <c r="I45" i="16" s="1"/>
  <c r="D108" i="14"/>
  <c r="AN23" i="14"/>
  <c r="D52" i="14"/>
  <c r="D33" i="14"/>
  <c r="AK47" i="14"/>
  <c r="D88" i="14"/>
  <c r="AN31" i="14"/>
  <c r="D70" i="14"/>
  <c r="D127" i="14"/>
  <c r="D121" i="14" s="1"/>
  <c r="I43" i="16" s="1"/>
  <c r="D299" i="14"/>
  <c r="D260" i="14"/>
  <c r="AG307" i="14"/>
  <c r="AK307" i="14" s="1"/>
  <c r="AO307" i="14" s="1"/>
  <c r="L233" i="16" s="1"/>
  <c r="D322" i="14"/>
  <c r="D278" i="14"/>
  <c r="D201" i="14"/>
  <c r="I16" i="16"/>
  <c r="I143" i="14"/>
  <c r="D143" i="14" s="1"/>
  <c r="H215" i="14"/>
  <c r="D222" i="14" s="1"/>
  <c r="I54" i="16" s="1"/>
  <c r="M12" i="14"/>
  <c r="I153" i="14"/>
  <c r="W98" i="19"/>
  <c r="I27" i="16"/>
  <c r="L90" i="16"/>
  <c r="I72" i="16"/>
  <c r="I71" i="16"/>
  <c r="I70" i="16"/>
  <c r="I42" i="16"/>
  <c r="W13" i="15"/>
  <c r="V12" i="15"/>
  <c r="V17" i="15"/>
  <c r="V16" i="15"/>
  <c r="V21" i="15"/>
  <c r="V20" i="15"/>
  <c r="V15" i="15"/>
  <c r="V19" i="15"/>
  <c r="V14" i="15"/>
  <c r="V18" i="15"/>
  <c r="K536" i="14"/>
  <c r="D15" i="14"/>
  <c r="L116" i="16" l="1"/>
  <c r="L122" i="16"/>
  <c r="AA10" i="17"/>
  <c r="AF10" i="17" s="1"/>
  <c r="AK10" i="17" s="1"/>
  <c r="AD22" i="16"/>
  <c r="I30" i="16"/>
  <c r="L94" i="16"/>
  <c r="H8" i="19"/>
  <c r="H112" i="19" s="1"/>
  <c r="F8" i="19"/>
  <c r="F112" i="19" s="1"/>
  <c r="B8" i="19"/>
  <c r="T22" i="19" s="1"/>
  <c r="L181" i="16"/>
  <c r="AL166" i="14"/>
  <c r="AK57" i="14"/>
  <c r="I34" i="16"/>
  <c r="L100" i="16"/>
  <c r="I74" i="16"/>
  <c r="L184" i="16"/>
  <c r="I40" i="16"/>
  <c r="L110" i="16"/>
  <c r="I57" i="16"/>
  <c r="L155" i="16"/>
  <c r="AK219" i="14"/>
  <c r="AK249" i="14"/>
  <c r="D293" i="14"/>
  <c r="L143" i="16" s="1"/>
  <c r="D253" i="14"/>
  <c r="L137" i="16" s="1"/>
  <c r="AL301" i="14"/>
  <c r="L230" i="16" s="1"/>
  <c r="AK239" i="14"/>
  <c r="AK229" i="14"/>
  <c r="D315" i="14"/>
  <c r="L146" i="16" s="1"/>
  <c r="D272" i="14"/>
  <c r="L140" i="16" s="1"/>
  <c r="I38" i="16"/>
  <c r="L107" i="16"/>
  <c r="I56" i="16"/>
  <c r="L152" i="16"/>
  <c r="I58" i="16"/>
  <c r="L158" i="16"/>
  <c r="D46" i="20"/>
  <c r="P33" i="20"/>
  <c r="W33" i="20" s="1"/>
  <c r="AA33" i="20" s="1"/>
  <c r="I46" i="16"/>
  <c r="L125" i="16"/>
  <c r="L161" i="16"/>
  <c r="AO50" i="14"/>
  <c r="I60" i="16"/>
  <c r="I78" i="16"/>
  <c r="L200" i="16"/>
  <c r="I47" i="16"/>
  <c r="L127" i="16"/>
  <c r="I36" i="16"/>
  <c r="L104" i="16"/>
  <c r="I32" i="16"/>
  <c r="L97" i="16"/>
  <c r="L130" i="16"/>
  <c r="B107" i="18"/>
  <c r="P55" i="18" s="1"/>
  <c r="BA55" i="18" s="1"/>
  <c r="P12" i="18"/>
  <c r="BA12" i="18" s="1"/>
  <c r="D110" i="21"/>
  <c r="AD110" i="16" s="1"/>
  <c r="I59" i="16"/>
  <c r="AN69" i="14"/>
  <c r="AL74" i="14"/>
  <c r="AL90" i="14"/>
  <c r="D216" i="14"/>
  <c r="M536" i="14"/>
  <c r="D8" i="19" s="1"/>
  <c r="AE99" i="19" s="1"/>
  <c r="AI99" i="19" s="1"/>
  <c r="BB99" i="19" s="1"/>
  <c r="AL82" i="14"/>
  <c r="I73" i="16"/>
  <c r="AL99" i="14"/>
  <c r="D15" i="21"/>
  <c r="AD105" i="16" s="1"/>
  <c r="AL108" i="14"/>
  <c r="I63" i="16"/>
  <c r="D200" i="21"/>
  <c r="AD115" i="16" s="1"/>
  <c r="I48" i="16"/>
  <c r="I44" i="16"/>
  <c r="I50" i="16"/>
  <c r="X13" i="15"/>
  <c r="W12" i="15"/>
  <c r="W19" i="15"/>
  <c r="W18" i="15"/>
  <c r="W17" i="15"/>
  <c r="W16" i="15"/>
  <c r="W14" i="15"/>
  <c r="W20" i="15"/>
  <c r="W15" i="15"/>
  <c r="W21" i="15"/>
  <c r="D185" i="14" l="1"/>
  <c r="AY197" i="6" s="1"/>
  <c r="I29" i="16" s="1"/>
  <c r="AD30" i="16"/>
  <c r="U13" i="19"/>
  <c r="BB13" i="19" s="1"/>
  <c r="B112" i="19"/>
  <c r="AO501" i="14"/>
  <c r="AO404" i="14"/>
  <c r="AS411" i="14" s="1"/>
  <c r="AW412" i="14" s="1"/>
  <c r="L269" i="16" s="1"/>
  <c r="AO434" i="14"/>
  <c r="AO466" i="14"/>
  <c r="AO374" i="14"/>
  <c r="AL319" i="14"/>
  <c r="AK262" i="14"/>
  <c r="AO345" i="14"/>
  <c r="AK279" i="14"/>
  <c r="W37" i="18"/>
  <c r="BA37" i="18" s="1"/>
  <c r="W21" i="18"/>
  <c r="BA21" i="18" s="1"/>
  <c r="I61" i="16"/>
  <c r="L162" i="16"/>
  <c r="I76" i="16"/>
  <c r="L193" i="16"/>
  <c r="AS173" i="14"/>
  <c r="AW173" i="14" s="1"/>
  <c r="AO232" i="14"/>
  <c r="L218" i="16"/>
  <c r="I55" i="16"/>
  <c r="I64" i="16"/>
  <c r="AD106" i="16"/>
  <c r="AO222" i="14"/>
  <c r="L215" i="16" s="1"/>
  <c r="L214" i="16"/>
  <c r="I68" i="16"/>
  <c r="L174" i="16"/>
  <c r="I53" i="16"/>
  <c r="L132" i="16"/>
  <c r="W81" i="18"/>
  <c r="W64" i="18"/>
  <c r="BA64" i="18" s="1"/>
  <c r="I69" i="16"/>
  <c r="L177" i="16"/>
  <c r="I67" i="16"/>
  <c r="L171" i="16"/>
  <c r="I66" i="16"/>
  <c r="L168" i="16"/>
  <c r="I65" i="16"/>
  <c r="L165" i="16"/>
  <c r="AO244" i="14"/>
  <c r="L223" i="16" s="1"/>
  <c r="L222" i="16"/>
  <c r="AO254" i="14"/>
  <c r="L227" i="16" s="1"/>
  <c r="L226" i="16"/>
  <c r="AD104" i="16"/>
  <c r="I62" i="16"/>
  <c r="D11" i="21"/>
  <c r="D19" i="21"/>
  <c r="I70" i="21" s="1"/>
  <c r="S70" i="21" s="1"/>
  <c r="D112" i="19"/>
  <c r="T25" i="19"/>
  <c r="B9" i="20"/>
  <c r="AN290" i="14"/>
  <c r="AN273" i="14"/>
  <c r="I49" i="16"/>
  <c r="T34" i="19"/>
  <c r="X34" i="19" s="1"/>
  <c r="AB34" i="19" s="1"/>
  <c r="AF34" i="19" s="1"/>
  <c r="Y13" i="15"/>
  <c r="X12" i="15"/>
  <c r="X21" i="15"/>
  <c r="X15" i="15"/>
  <c r="X20" i="15"/>
  <c r="X16" i="15"/>
  <c r="X18" i="15"/>
  <c r="X17" i="15"/>
  <c r="X14" i="15"/>
  <c r="X19" i="15"/>
  <c r="AE86" i="18" l="1"/>
  <c r="AJ87" i="18" s="1"/>
  <c r="AN88" i="18" s="1"/>
  <c r="AU87" i="18" s="1"/>
  <c r="BA87" i="18" s="1"/>
  <c r="BA81" i="18"/>
  <c r="K18" i="21"/>
  <c r="AV21" i="21" s="1"/>
  <c r="AH46" i="19"/>
  <c r="BI146" i="6" s="1"/>
  <c r="AK34" i="19"/>
  <c r="Y24" i="19"/>
  <c r="AM44" i="19"/>
  <c r="B46" i="20"/>
  <c r="P12" i="20"/>
  <c r="L248" i="16"/>
  <c r="AS353" i="14"/>
  <c r="AW353" i="14" s="1"/>
  <c r="L251" i="16" s="1"/>
  <c r="D106" i="21"/>
  <c r="AD109" i="16"/>
  <c r="I77" i="16"/>
  <c r="L196" i="16"/>
  <c r="D196" i="21"/>
  <c r="AD114" i="16"/>
  <c r="L239" i="16"/>
  <c r="AS326" i="14"/>
  <c r="AW326" i="14" s="1"/>
  <c r="L242" i="16" s="1"/>
  <c r="L284" i="16"/>
  <c r="AS473" i="14"/>
  <c r="AW474" i="14" s="1"/>
  <c r="L287" i="16" s="1"/>
  <c r="AE41" i="18"/>
  <c r="AJ42" i="18" s="1"/>
  <c r="AN44" i="18" s="1"/>
  <c r="AU42" i="18" s="1"/>
  <c r="L275" i="16"/>
  <c r="AS441" i="14"/>
  <c r="AW442" i="14" s="1"/>
  <c r="L278" i="16" s="1"/>
  <c r="D114" i="21"/>
  <c r="J136" i="21" s="1"/>
  <c r="P136" i="21" s="1"/>
  <c r="AD111" i="16"/>
  <c r="D204" i="21"/>
  <c r="AD116" i="16"/>
  <c r="AE71" i="18"/>
  <c r="AJ73" i="18" s="1"/>
  <c r="AN71" i="18" s="1"/>
  <c r="AU72" i="18" s="1"/>
  <c r="AE27" i="18"/>
  <c r="AJ28" i="18" s="1"/>
  <c r="AN28" i="18" s="1"/>
  <c r="AU29" i="18" s="1"/>
  <c r="L257" i="16"/>
  <c r="AS380" i="14"/>
  <c r="AW381" i="14" s="1"/>
  <c r="L260" i="16" s="1"/>
  <c r="L293" i="16"/>
  <c r="AS509" i="14"/>
  <c r="AW510" i="14" s="1"/>
  <c r="L296" i="16" s="1"/>
  <c r="J40" i="21"/>
  <c r="P40" i="21" s="1"/>
  <c r="I166" i="21"/>
  <c r="S166" i="21" s="1"/>
  <c r="Z13" i="15"/>
  <c r="Y12" i="15"/>
  <c r="Y19" i="15"/>
  <c r="Y15" i="15"/>
  <c r="Y21" i="15"/>
  <c r="Y18" i="15"/>
  <c r="Y17" i="15"/>
  <c r="Y20" i="15"/>
  <c r="Y14" i="15"/>
  <c r="Y16" i="15"/>
  <c r="AD80" i="16" l="1"/>
  <c r="BB44" i="19"/>
  <c r="BB52" i="19"/>
  <c r="BB48" i="19"/>
  <c r="BI148" i="6"/>
  <c r="BB24" i="19"/>
  <c r="BB27" i="19"/>
  <c r="AD57" i="16"/>
  <c r="BA42" i="18"/>
  <c r="AD70" i="16"/>
  <c r="BA72" i="18"/>
  <c r="AD89" i="16"/>
  <c r="AA12" i="20"/>
  <c r="BI152" i="6"/>
  <c r="BB34" i="19"/>
  <c r="BB38" i="19"/>
  <c r="AD47" i="16"/>
  <c r="BA29" i="18"/>
  <c r="AV70" i="21"/>
  <c r="AM70" i="21"/>
  <c r="AV48" i="21"/>
  <c r="AV11" i="21"/>
  <c r="AM48" i="21"/>
  <c r="AM21" i="21"/>
  <c r="AM11" i="21"/>
  <c r="K114" i="21"/>
  <c r="AV116" i="21" s="1"/>
  <c r="K204" i="21"/>
  <c r="I257" i="21"/>
  <c r="S257" i="21" s="1"/>
  <c r="J226" i="21"/>
  <c r="P226" i="21" s="1"/>
  <c r="AU56" i="19"/>
  <c r="BI150" i="6"/>
  <c r="AA13" i="15"/>
  <c r="Z12" i="15"/>
  <c r="Z16" i="15"/>
  <c r="Z18" i="15"/>
  <c r="Z21" i="15"/>
  <c r="Z19" i="15"/>
  <c r="Z20" i="15"/>
  <c r="Z17" i="15"/>
  <c r="Z14" i="15"/>
  <c r="Z15" i="15"/>
  <c r="AV206" i="21" l="1"/>
  <c r="AV255" i="21"/>
  <c r="AM255" i="21"/>
  <c r="AV233" i="21"/>
  <c r="AM233" i="21"/>
  <c r="AM206" i="21"/>
  <c r="AV196" i="21"/>
  <c r="AM196" i="21"/>
  <c r="AV165" i="21"/>
  <c r="AM165" i="21"/>
  <c r="AV143" i="21"/>
  <c r="AM143" i="21"/>
  <c r="AV106" i="21"/>
  <c r="AM116" i="21"/>
  <c r="AM106" i="21"/>
  <c r="AU59" i="19"/>
  <c r="AU62" i="19" s="1"/>
  <c r="AP53" i="19"/>
  <c r="AB67" i="19" s="1"/>
  <c r="AU53" i="19"/>
  <c r="AB70" i="19" s="1"/>
  <c r="AB13" i="15"/>
  <c r="AA12" i="15"/>
  <c r="AA20" i="15"/>
  <c r="AA18" i="15"/>
  <c r="AA16" i="15"/>
  <c r="AA14" i="15"/>
  <c r="AA21" i="15"/>
  <c r="AA15" i="15"/>
  <c r="AA19" i="15"/>
  <c r="AA17" i="15"/>
  <c r="AH68" i="19" l="1"/>
  <c r="AO69" i="19" s="1"/>
  <c r="AS69" i="19" s="1"/>
  <c r="BB69" i="19" s="1"/>
  <c r="AB79" i="19"/>
  <c r="AH80" i="19" s="1"/>
  <c r="AO81" i="19" s="1"/>
  <c r="AU64" i="19"/>
  <c r="AM88" i="19" s="1"/>
  <c r="AB82" i="19"/>
  <c r="AC13" i="15"/>
  <c r="AB12" i="15"/>
  <c r="AB21" i="15"/>
  <c r="AB18" i="15"/>
  <c r="AB16" i="15"/>
  <c r="AB15" i="15"/>
  <c r="AB20" i="15"/>
  <c r="AB19" i="15"/>
  <c r="AB17" i="15"/>
  <c r="AB14" i="15"/>
  <c r="AS81" i="19" l="1"/>
  <c r="AW81" i="19" s="1"/>
  <c r="BB81" i="19" s="1"/>
  <c r="AD13" i="15"/>
  <c r="AC12" i="15"/>
  <c r="AC14" i="15"/>
  <c r="AC18" i="15"/>
  <c r="AC19" i="15"/>
  <c r="AC15" i="15"/>
  <c r="AC16" i="15"/>
  <c r="AC20" i="15"/>
  <c r="AC21" i="15"/>
  <c r="AC17" i="15"/>
  <c r="AE13" i="15" l="1"/>
  <c r="AD12" i="15"/>
  <c r="AD15" i="15"/>
  <c r="AD21" i="15"/>
  <c r="AD18" i="15"/>
  <c r="AD19" i="15"/>
  <c r="AD14" i="15"/>
  <c r="AD20" i="15"/>
  <c r="AD17" i="15"/>
  <c r="AD16" i="15"/>
  <c r="AF13" i="15" l="1"/>
  <c r="AE12" i="15"/>
  <c r="AE15" i="15"/>
  <c r="AE17" i="15"/>
  <c r="AE21" i="15"/>
  <c r="AE20" i="15"/>
  <c r="AE18" i="15"/>
  <c r="AE16" i="15"/>
  <c r="AE14" i="15"/>
  <c r="AE19" i="15"/>
  <c r="AG13" i="15" l="1"/>
  <c r="AF12" i="15"/>
  <c r="AF17" i="15"/>
  <c r="AF14" i="15"/>
  <c r="AF21" i="15"/>
  <c r="AF18" i="15"/>
  <c r="AF19" i="15"/>
  <c r="AF15" i="15"/>
  <c r="AF16" i="15"/>
  <c r="AF20" i="15"/>
  <c r="AH13" i="15" l="1"/>
  <c r="AG12" i="15"/>
  <c r="AG21" i="15"/>
  <c r="AG19" i="15"/>
  <c r="AG17" i="15"/>
  <c r="AG14" i="15"/>
  <c r="AG16" i="15"/>
  <c r="AG15" i="15"/>
  <c r="AG20" i="15"/>
  <c r="AG18" i="15"/>
  <c r="AI13" i="15" l="1"/>
  <c r="AH12" i="15"/>
  <c r="AH16" i="15"/>
  <c r="AH15" i="15"/>
  <c r="AH19" i="15"/>
  <c r="AH20" i="15"/>
  <c r="AH21" i="15"/>
  <c r="AH17" i="15"/>
  <c r="AH18" i="15"/>
  <c r="AH14" i="15"/>
  <c r="AI12" i="15" l="1"/>
  <c r="AI14" i="15"/>
  <c r="AI20" i="15"/>
  <c r="AI19" i="15"/>
  <c r="AI21" i="15"/>
  <c r="AI17" i="15"/>
  <c r="AI18" i="15"/>
  <c r="AI15" i="15"/>
  <c r="AI16" i="15"/>
</calcChain>
</file>

<file path=xl/sharedStrings.xml><?xml version="1.0" encoding="utf-8"?>
<sst xmlns="http://schemas.openxmlformats.org/spreadsheetml/2006/main" count="4136" uniqueCount="3177">
  <si>
    <t>VCO frequency spec violated</t>
  </si>
  <si>
    <t>Requested F(phi)</t>
  </si>
  <si>
    <t>F(phi) greater than requested</t>
  </si>
  <si>
    <t>Do not change these numbers</t>
  </si>
  <si>
    <t>Clock Name</t>
  </si>
  <si>
    <t>ADC</t>
  </si>
  <si>
    <t>Target Frequency</t>
  </si>
  <si>
    <t>Clock domain out of range</t>
  </si>
  <si>
    <t>Only RUN Allowed</t>
  </si>
  <si>
    <t>Run</t>
  </si>
  <si>
    <t>STOP1</t>
  </si>
  <si>
    <t>STOP2</t>
  </si>
  <si>
    <t>HSRUN Enabled</t>
  </si>
  <si>
    <t>HSRUN</t>
  </si>
  <si>
    <t>LP Enabled</t>
  </si>
  <si>
    <t>VLPR</t>
  </si>
  <si>
    <t>VLPS</t>
  </si>
  <si>
    <t>All Enabled</t>
  </si>
  <si>
    <t>Power Mode Protection Setting</t>
  </si>
  <si>
    <t>Allowed Power Options</t>
  </si>
  <si>
    <t>SPLL out of range</t>
  </si>
  <si>
    <t>Mode</t>
  </si>
  <si>
    <t>Available Clocks</t>
  </si>
  <si>
    <t>LP Mode</t>
  </si>
  <si>
    <t>Run/HSRUN</t>
  </si>
  <si>
    <t>SIRC Condition</t>
  </si>
  <si>
    <t>Clock Bias Disable Option</t>
  </si>
  <si>
    <t>SIRC Disabled</t>
  </si>
  <si>
    <t>SIRC Enabled</t>
  </si>
  <si>
    <t>SPLL_CLK</t>
  </si>
  <si>
    <t>SCG_SPLLCFG[MULT]</t>
  </si>
  <si>
    <t>SCG_SPLLCFG[PREDIV]</t>
  </si>
  <si>
    <t>SPLL Reference</t>
  </si>
  <si>
    <t>Requested Frequency</t>
  </si>
  <si>
    <t>SPLL</t>
  </si>
  <si>
    <t>SOSC Range Option</t>
  </si>
  <si>
    <t>SPLL Disabled</t>
  </si>
  <si>
    <t>SPLL Enabled</t>
  </si>
  <si>
    <t>SPLL Input (min)</t>
  </si>
  <si>
    <t>SPLL Input (max)</t>
  </si>
  <si>
    <t>SPLL_VCO_CLK (min)</t>
  </si>
  <si>
    <t>SPLL_VCO_CLK (max)</t>
  </si>
  <si>
    <t>SPLL_CLK (min)</t>
  </si>
  <si>
    <t>SPLL_CLK (max)</t>
  </si>
  <si>
    <t>VCO_CLK (min)</t>
  </si>
  <si>
    <t>VCO_CLK (max)</t>
  </si>
  <si>
    <t>Max (MHz) - Run</t>
  </si>
  <si>
    <t>CORE_CLK</t>
  </si>
  <si>
    <t>SYS_CLK</t>
  </si>
  <si>
    <t>BUS_CLK</t>
  </si>
  <si>
    <t>FLASH_CLK</t>
  </si>
  <si>
    <t>Max (MHz) - HSRUN</t>
  </si>
  <si>
    <t>Max (MHz) - VLPR</t>
  </si>
  <si>
    <t>Max (MHz) - STOP1</t>
  </si>
  <si>
    <t>Max (MHz) - STOP2</t>
  </si>
  <si>
    <t>Max (MHz) - VLPS</t>
  </si>
  <si>
    <t>Rev</t>
  </si>
  <si>
    <t>Date</t>
  </si>
  <si>
    <t>Author</t>
  </si>
  <si>
    <t>Comments</t>
  </si>
  <si>
    <t>David Chung</t>
  </si>
  <si>
    <t>Initial</t>
  </si>
  <si>
    <r>
      <t xml:space="preserve">Change these values in </t>
    </r>
    <r>
      <rPr>
        <b/>
        <i/>
        <sz val="16"/>
        <color theme="1"/>
        <rFont val="宋体"/>
        <family val="2"/>
        <scheme val="minor"/>
      </rPr>
      <t>Target Frequency</t>
    </r>
  </si>
  <si>
    <r>
      <t xml:space="preserve">Use this table to select PLL0DV[MFD] and PLL0DV[RFDPHI] based upon PLL0 reference frequency and PLL0DV[PREDIV] entered at </t>
    </r>
    <r>
      <rPr>
        <b/>
        <i/>
        <sz val="14"/>
        <color theme="1"/>
        <rFont val="宋体"/>
        <family val="2"/>
        <scheme val="minor"/>
      </rPr>
      <t>Target Frequency</t>
    </r>
    <r>
      <rPr>
        <b/>
        <sz val="14"/>
        <color theme="1"/>
        <rFont val="宋体"/>
        <family val="2"/>
        <scheme val="minor"/>
      </rPr>
      <t>.
Look for green shaded cell.</t>
    </r>
  </si>
  <si>
    <t>x</t>
  </si>
  <si>
    <t>Flash Memory</t>
  </si>
  <si>
    <t>Full Functionality</t>
  </si>
  <si>
    <t>SPLLDIV1_CLK</t>
  </si>
  <si>
    <t>SPLLDIV2_CLK</t>
  </si>
  <si>
    <t>FIRCDIV1_CLK</t>
  </si>
  <si>
    <t>FIRCDIV2_CLK</t>
  </si>
  <si>
    <t>SIRCDIV1_CLK</t>
  </si>
  <si>
    <t>SIRCDIV2_CLK</t>
  </si>
  <si>
    <t>SOSCDIV1_CLK</t>
  </si>
  <si>
    <t>SOSCDIV2_CLK</t>
  </si>
  <si>
    <t>Register</t>
  </si>
  <si>
    <t>Value</t>
  </si>
  <si>
    <t>SCG_FIRCCSR</t>
  </si>
  <si>
    <t>SCG_FIRCCFG</t>
  </si>
  <si>
    <t>SCG_FIRCDIV</t>
  </si>
  <si>
    <t>SCG_SIRCCFG</t>
  </si>
  <si>
    <t>SCG_SIRCCSR</t>
  </si>
  <si>
    <t>SCG_SIRCDIV</t>
  </si>
  <si>
    <t>SCG_SOSCCFG</t>
  </si>
  <si>
    <t>SCG_SOSCCSR</t>
  </si>
  <si>
    <t>SCG_SOSCDIV</t>
  </si>
  <si>
    <t>SCG_SPLLCFG</t>
  </si>
  <si>
    <t>SCG_SPLLDIV</t>
  </si>
  <si>
    <t>SCG_SPLLCSR</t>
  </si>
  <si>
    <t>SMC_PMPROT</t>
  </si>
  <si>
    <t>SMC_PMCTRL</t>
  </si>
  <si>
    <t>SMC_STOPCTRL</t>
  </si>
  <si>
    <t>PMC_LPOTRIM</t>
  </si>
  <si>
    <t>PMC_REGSC</t>
  </si>
  <si>
    <t>SCG_RCCR</t>
  </si>
  <si>
    <t>SCG_VCCR</t>
  </si>
  <si>
    <t>SCG_HCCR</t>
  </si>
  <si>
    <t>SCG_CLKOUTCNFG</t>
  </si>
  <si>
    <t>SIM_LPOCLKS</t>
  </si>
  <si>
    <t>SIM_CHIPCTL</t>
  </si>
  <si>
    <t>PCC_LPIT</t>
  </si>
  <si>
    <t>PCC_FlexIO</t>
  </si>
  <si>
    <t>FLEXIO_CTRL</t>
  </si>
  <si>
    <t>PCC_EWM</t>
  </si>
  <si>
    <t>WDOG_CS</t>
  </si>
  <si>
    <t>RCM_RPC</t>
  </si>
  <si>
    <t>PCC_FTFC</t>
  </si>
  <si>
    <t>PCC_DMAMUX</t>
  </si>
  <si>
    <t>PCC_CMP0</t>
  </si>
  <si>
    <t>PCC_CRC</t>
  </si>
  <si>
    <t>SIM_PLATCGC</t>
  </si>
  <si>
    <t>PCC_LPTMR0</t>
  </si>
  <si>
    <t>LPTMR0_CSR</t>
  </si>
  <si>
    <t>LPTMR0_PSR</t>
  </si>
  <si>
    <t>RTC_CR</t>
  </si>
  <si>
    <t>RTC_SR</t>
  </si>
  <si>
    <t>RTC_IER</t>
  </si>
  <si>
    <t>SIM_FTMOPT0</t>
  </si>
  <si>
    <t>Fixed some errors</t>
  </si>
  <si>
    <t>Module</t>
  </si>
  <si>
    <t>Clock Domain</t>
  </si>
  <si>
    <t>System</t>
  </si>
  <si>
    <t>BIU</t>
  </si>
  <si>
    <t>Protocol Clock</t>
  </si>
  <si>
    <t>FlexCAN0:2</t>
  </si>
  <si>
    <t>CRC</t>
  </si>
  <si>
    <t>Filter Clock</t>
  </si>
  <si>
    <t>DMA</t>
  </si>
  <si>
    <t>Frequency (MHz)</t>
  </si>
  <si>
    <t>FIRC</t>
  </si>
  <si>
    <t>SIRC</t>
  </si>
  <si>
    <t>SOSC</t>
  </si>
  <si>
    <t>LPO128K_CLK</t>
  </si>
  <si>
    <t>LPO32K_CLK</t>
  </si>
  <si>
    <t>LPO1K_CLK</t>
  </si>
  <si>
    <t>CLKOUT</t>
  </si>
  <si>
    <t>LPO_CLK</t>
  </si>
  <si>
    <t>RTC_CLKOUT</t>
  </si>
  <si>
    <t>LPSPI0:2</t>
  </si>
  <si>
    <t>Peripheral Clock</t>
  </si>
  <si>
    <t>LPIT</t>
  </si>
  <si>
    <t>Peripehral Clock</t>
  </si>
  <si>
    <t>FlexIO</t>
  </si>
  <si>
    <t>LPI2C0:1</t>
  </si>
  <si>
    <t>LPUART0:2</t>
  </si>
  <si>
    <t>EWM</t>
  </si>
  <si>
    <t>Low Power Clock</t>
  </si>
  <si>
    <t>WDOG Clock</t>
  </si>
  <si>
    <t>WDOG</t>
  </si>
  <si>
    <t>RCM</t>
  </si>
  <si>
    <t>FTFC</t>
  </si>
  <si>
    <t>NVIC</t>
  </si>
  <si>
    <t>SMC</t>
  </si>
  <si>
    <t>Cache</t>
  </si>
  <si>
    <t>1 kHz Clock</t>
  </si>
  <si>
    <t>32 kHz Clock</t>
  </si>
  <si>
    <t>RTC</t>
  </si>
  <si>
    <t>Flex Memory</t>
  </si>
  <si>
    <t>PDB0:1</t>
  </si>
  <si>
    <t>DMAMUX0</t>
  </si>
  <si>
    <t>CMP0</t>
  </si>
  <si>
    <t>GPIO</t>
  </si>
  <si>
    <t>PORTA:E</t>
  </si>
  <si>
    <t>Added clock frequency summary</t>
  </si>
  <si>
    <t>CHI Clock</t>
  </si>
  <si>
    <t>EIM</t>
  </si>
  <si>
    <t>ERM</t>
  </si>
  <si>
    <t>MSCM</t>
  </si>
  <si>
    <t>MPU</t>
  </si>
  <si>
    <t>SIM</t>
  </si>
  <si>
    <t>PMC</t>
  </si>
  <si>
    <t>TRGMUX</t>
  </si>
  <si>
    <t>System RAM</t>
  </si>
  <si>
    <t>Memory Clock</t>
  </si>
  <si>
    <t>ADC0:1</t>
  </si>
  <si>
    <t>Conversion Clock</t>
  </si>
  <si>
    <t>FTM0:7</t>
  </si>
  <si>
    <t>Counter Clock</t>
  </si>
  <si>
    <t>LPTMR0</t>
  </si>
  <si>
    <t>Prescaler/Glitch Filter Clock</t>
  </si>
  <si>
    <t>Pulse Counter</t>
  </si>
  <si>
    <t>David Chung and Petr Stancik</t>
  </si>
  <si>
    <t>PCC_LPSPI0</t>
  </si>
  <si>
    <t>PCC_LPSPI1</t>
  </si>
  <si>
    <t>PCC_LPSPI2</t>
  </si>
  <si>
    <t>PCC_LPI2C1</t>
  </si>
  <si>
    <t>PCC_LPI2C0</t>
  </si>
  <si>
    <t>PCC_LPUART1</t>
  </si>
  <si>
    <t>PCC_LPUART0</t>
  </si>
  <si>
    <t>PCC_LPUART2</t>
  </si>
  <si>
    <t>PCC_PDB1</t>
  </si>
  <si>
    <t>PCC_PDB0</t>
  </si>
  <si>
    <t>PCC_PORTA</t>
  </si>
  <si>
    <t>PCC_PORTB</t>
  </si>
  <si>
    <t>PORTA_DFCR</t>
  </si>
  <si>
    <t>PORTB_DFCR</t>
  </si>
  <si>
    <t>PCC_PORTC</t>
  </si>
  <si>
    <t>PORTC_DFCR</t>
  </si>
  <si>
    <t>PCC_PORTD</t>
  </si>
  <si>
    <t>PORTD_DFCR</t>
  </si>
  <si>
    <t>PCC_PORTE</t>
  </si>
  <si>
    <t>PORTE_DFCR</t>
  </si>
  <si>
    <t>PCC_FlexCAN1</t>
  </si>
  <si>
    <t>PCC_FLEXCAN0</t>
  </si>
  <si>
    <t>CAN0_CTRL1</t>
  </si>
  <si>
    <t>CAN1_CTRL1</t>
  </si>
  <si>
    <t>PCC_FlexCAN2</t>
  </si>
  <si>
    <t>CAN2_CTRL1</t>
  </si>
  <si>
    <t>PCC_ADC1</t>
  </si>
  <si>
    <t>PCC_ADC0</t>
  </si>
  <si>
    <t>ADC0_CFG1</t>
  </si>
  <si>
    <t>ADC1_CFG1</t>
  </si>
  <si>
    <t>PCC_FTM1</t>
  </si>
  <si>
    <t>FTM1_SC</t>
  </si>
  <si>
    <t>PCC_FTM2</t>
  </si>
  <si>
    <t>FTM2_SC</t>
  </si>
  <si>
    <t>PCC_FTM3</t>
  </si>
  <si>
    <t>FTM3_SC</t>
  </si>
  <si>
    <t>PCC_FTM4</t>
  </si>
  <si>
    <t>FTM4_SC</t>
  </si>
  <si>
    <t>PCC_FTM5</t>
  </si>
  <si>
    <t>FTM5_SC</t>
  </si>
  <si>
    <t>PCC_FTM6</t>
  </si>
  <si>
    <t>FTM6_SC</t>
  </si>
  <si>
    <t>PCC_FTM7</t>
  </si>
  <si>
    <t>FTM7_SC</t>
  </si>
  <si>
    <t>FTM0_SC</t>
  </si>
  <si>
    <t>PCC_FTM0</t>
  </si>
  <si>
    <t>RWDS</t>
  </si>
  <si>
    <t>FlexCAN Jump Values</t>
  </si>
  <si>
    <t>J0_0</t>
  </si>
  <si>
    <t>J1_1</t>
  </si>
  <si>
    <t>J2_2</t>
  </si>
  <si>
    <t>J3_3</t>
  </si>
  <si>
    <t>J0_1</t>
  </si>
  <si>
    <t>J0_2</t>
  </si>
  <si>
    <t>J0_3</t>
  </si>
  <si>
    <t>J1_0</t>
  </si>
  <si>
    <t>J2_0</t>
  </si>
  <si>
    <t>J3_0</t>
  </si>
  <si>
    <t>J4_0</t>
  </si>
  <si>
    <t>J5_0</t>
  </si>
  <si>
    <t>J6_0</t>
  </si>
  <si>
    <t>J7_0</t>
  </si>
  <si>
    <t>J1_2</t>
  </si>
  <si>
    <t>J1_3</t>
  </si>
  <si>
    <t>J2_1</t>
  </si>
  <si>
    <t>J2_3</t>
  </si>
  <si>
    <t>J3_1</t>
  </si>
  <si>
    <t>J3_2</t>
  </si>
  <si>
    <t>J4_1</t>
  </si>
  <si>
    <t>J4_2</t>
  </si>
  <si>
    <t>J4_3</t>
  </si>
  <si>
    <t>J5_1</t>
  </si>
  <si>
    <t>J5_2</t>
  </si>
  <si>
    <t>J5_3</t>
  </si>
  <si>
    <t>J6_1</t>
  </si>
  <si>
    <t>J6_2</t>
  </si>
  <si>
    <t>J6_3</t>
  </si>
  <si>
    <t>J7_1</t>
  </si>
  <si>
    <t>J7_2</t>
  </si>
  <si>
    <t>J7_3</t>
  </si>
  <si>
    <t>FlexCAN Jump Values_Extended</t>
  </si>
  <si>
    <t>E0_0</t>
  </si>
  <si>
    <t>E1_1</t>
  </si>
  <si>
    <t>E2_2</t>
  </si>
  <si>
    <t>E3_3</t>
  </si>
  <si>
    <t>E4_4</t>
  </si>
  <si>
    <t>E5_5</t>
  </si>
  <si>
    <t>E6_6</t>
  </si>
  <si>
    <t>E7_7</t>
  </si>
  <si>
    <t>E8_8</t>
  </si>
  <si>
    <t>E9_9</t>
  </si>
  <si>
    <t>E10_10</t>
  </si>
  <si>
    <t>E11_11</t>
  </si>
  <si>
    <t>E12_12</t>
  </si>
  <si>
    <t>E13_13</t>
  </si>
  <si>
    <t>E14_14</t>
  </si>
  <si>
    <t>E15_15</t>
  </si>
  <si>
    <t>E1_0</t>
  </si>
  <si>
    <t>E2_0</t>
  </si>
  <si>
    <t>E3_0</t>
  </si>
  <si>
    <t>E4_0</t>
  </si>
  <si>
    <t>E5_0</t>
  </si>
  <si>
    <t>E6_0</t>
  </si>
  <si>
    <t>E7_0</t>
  </si>
  <si>
    <t>E8_0</t>
  </si>
  <si>
    <t>E9_0</t>
  </si>
  <si>
    <t>E10_0</t>
  </si>
  <si>
    <t>E11_0</t>
  </si>
  <si>
    <t>E12_0</t>
  </si>
  <si>
    <t>E13_0</t>
  </si>
  <si>
    <t>E14_0</t>
  </si>
  <si>
    <t>E15_0</t>
  </si>
  <si>
    <t>E16_0</t>
  </si>
  <si>
    <t>E17_0</t>
  </si>
  <si>
    <t>E18_0</t>
  </si>
  <si>
    <t>E19_0</t>
  </si>
  <si>
    <t>E20_0</t>
  </si>
  <si>
    <t>E21_0</t>
  </si>
  <si>
    <t>E22_0</t>
  </si>
  <si>
    <t>E23_0</t>
  </si>
  <si>
    <t>E24_0</t>
  </si>
  <si>
    <t>E25_0</t>
  </si>
  <si>
    <t>E26_0</t>
  </si>
  <si>
    <t>E27_0</t>
  </si>
  <si>
    <t>E28_0</t>
  </si>
  <si>
    <t>E29_0</t>
  </si>
  <si>
    <t>E30_0</t>
  </si>
  <si>
    <t>E31_0</t>
  </si>
  <si>
    <t>E0_1</t>
  </si>
  <si>
    <t>E2_1</t>
  </si>
  <si>
    <t>E3_1</t>
  </si>
  <si>
    <t>E4_1</t>
  </si>
  <si>
    <t>E5_1</t>
  </si>
  <si>
    <t>E6_1</t>
  </si>
  <si>
    <t>E7_1</t>
  </si>
  <si>
    <t>E8_1</t>
  </si>
  <si>
    <t>E9_1</t>
  </si>
  <si>
    <t>E10_1</t>
  </si>
  <si>
    <t>E11_1</t>
  </si>
  <si>
    <t>E12_1</t>
  </si>
  <si>
    <t>E13_1</t>
  </si>
  <si>
    <t>E14_1</t>
  </si>
  <si>
    <t>E15_1</t>
  </si>
  <si>
    <t>E16_1</t>
  </si>
  <si>
    <t>E17_1</t>
  </si>
  <si>
    <t>E18_1</t>
  </si>
  <si>
    <t>E19_1</t>
  </si>
  <si>
    <t>E20_1</t>
  </si>
  <si>
    <t>E21_1</t>
  </si>
  <si>
    <t>E22_1</t>
  </si>
  <si>
    <t>E23_1</t>
  </si>
  <si>
    <t>E24_1</t>
  </si>
  <si>
    <t>E25_1</t>
  </si>
  <si>
    <t>E26_1</t>
  </si>
  <si>
    <t>E27_1</t>
  </si>
  <si>
    <t>E28_1</t>
  </si>
  <si>
    <t>E29_1</t>
  </si>
  <si>
    <t>E30_1</t>
  </si>
  <si>
    <t>E31_1</t>
  </si>
  <si>
    <t>E1_2</t>
  </si>
  <si>
    <t>E1_3</t>
  </si>
  <si>
    <t>E1_4</t>
  </si>
  <si>
    <t>E1_5</t>
  </si>
  <si>
    <t>E1_6</t>
  </si>
  <si>
    <t>E1_7</t>
  </si>
  <si>
    <t>E1_8</t>
  </si>
  <si>
    <t>E1_9</t>
  </si>
  <si>
    <t>E1_10</t>
  </si>
  <si>
    <t>E1_11</t>
  </si>
  <si>
    <t>E1_12</t>
  </si>
  <si>
    <t>E1_13</t>
  </si>
  <si>
    <t>E1_14</t>
  </si>
  <si>
    <t>E1_15</t>
  </si>
  <si>
    <t>E0_2</t>
  </si>
  <si>
    <t>E3_2</t>
  </si>
  <si>
    <t>E4_2</t>
  </si>
  <si>
    <t>E5_2</t>
  </si>
  <si>
    <t>E6_2</t>
  </si>
  <si>
    <t>E7_2</t>
  </si>
  <si>
    <t>E8_2</t>
  </si>
  <si>
    <t>E9_2</t>
  </si>
  <si>
    <t>E10_2</t>
  </si>
  <si>
    <t>E11_2</t>
  </si>
  <si>
    <t>E12_2</t>
  </si>
  <si>
    <t>E13_2</t>
  </si>
  <si>
    <t>E14_2</t>
  </si>
  <si>
    <t>E15_2</t>
  </si>
  <si>
    <t>E16_2</t>
  </si>
  <si>
    <t>E17_2</t>
  </si>
  <si>
    <t>E18_2</t>
  </si>
  <si>
    <t>E19_2</t>
  </si>
  <si>
    <t>E20_2</t>
  </si>
  <si>
    <t>E21_2</t>
  </si>
  <si>
    <t>E22_2</t>
  </si>
  <si>
    <t>E23_2</t>
  </si>
  <si>
    <t>E24_2</t>
  </si>
  <si>
    <t>E25_2</t>
  </si>
  <si>
    <t>E26_2</t>
  </si>
  <si>
    <t>E27_2</t>
  </si>
  <si>
    <t>E28_2</t>
  </si>
  <si>
    <t>E29_2</t>
  </si>
  <si>
    <t>E30_2</t>
  </si>
  <si>
    <t>E31_2</t>
  </si>
  <si>
    <t>E0_3</t>
  </si>
  <si>
    <t>E2_3</t>
  </si>
  <si>
    <t>E4_3</t>
  </si>
  <si>
    <t>E5_3</t>
  </si>
  <si>
    <t>E6_3</t>
  </si>
  <si>
    <t>E7_3</t>
  </si>
  <si>
    <t>E8_3</t>
  </si>
  <si>
    <t>E9_3</t>
  </si>
  <si>
    <t>E10_3</t>
  </si>
  <si>
    <t>E11_3</t>
  </si>
  <si>
    <t>E12_3</t>
  </si>
  <si>
    <t>E13_3</t>
  </si>
  <si>
    <t>E14_3</t>
  </si>
  <si>
    <t>E15_3</t>
  </si>
  <si>
    <t>E16_3</t>
  </si>
  <si>
    <t>E17_3</t>
  </si>
  <si>
    <t>E18_3</t>
  </si>
  <si>
    <t>E19_3</t>
  </si>
  <si>
    <t>E20_3</t>
  </si>
  <si>
    <t>E21_3</t>
  </si>
  <si>
    <t>E22_3</t>
  </si>
  <si>
    <t>E23_3</t>
  </si>
  <si>
    <t>E24_3</t>
  </si>
  <si>
    <t>E25_3</t>
  </si>
  <si>
    <t>E26_3</t>
  </si>
  <si>
    <t>E27_3</t>
  </si>
  <si>
    <t>E28_3</t>
  </si>
  <si>
    <t>E29_3</t>
  </si>
  <si>
    <t>E30_3</t>
  </si>
  <si>
    <t>E31_3</t>
  </si>
  <si>
    <t>E0_4</t>
  </si>
  <si>
    <t>E2_4</t>
  </si>
  <si>
    <t>E3_4</t>
  </si>
  <si>
    <t>E5_4</t>
  </si>
  <si>
    <t>E6_4</t>
  </si>
  <si>
    <t>E7_4</t>
  </si>
  <si>
    <t>E8_4</t>
  </si>
  <si>
    <t>E9_4</t>
  </si>
  <si>
    <t>E10_4</t>
  </si>
  <si>
    <t>E11_4</t>
  </si>
  <si>
    <t>E12_4</t>
  </si>
  <si>
    <t>E13_4</t>
  </si>
  <si>
    <t>E14_4</t>
  </si>
  <si>
    <t>E15_4</t>
  </si>
  <si>
    <t>E16_4</t>
  </si>
  <si>
    <t>E17_4</t>
  </si>
  <si>
    <t>E18_4</t>
  </si>
  <si>
    <t>E19_4</t>
  </si>
  <si>
    <t>E20_4</t>
  </si>
  <si>
    <t>E21_4</t>
  </si>
  <si>
    <t>E22_4</t>
  </si>
  <si>
    <t>E23_4</t>
  </si>
  <si>
    <t>E24_4</t>
  </si>
  <si>
    <t>E25_4</t>
  </si>
  <si>
    <t>E26_4</t>
  </si>
  <si>
    <t>E27_4</t>
  </si>
  <si>
    <t>E28_4</t>
  </si>
  <si>
    <t>E29_4</t>
  </si>
  <si>
    <t>E30_4</t>
  </si>
  <si>
    <t>E31_4</t>
  </si>
  <si>
    <t>E0_5</t>
  </si>
  <si>
    <t>E2_5</t>
  </si>
  <si>
    <t>E3_5</t>
  </si>
  <si>
    <t>E4_5</t>
  </si>
  <si>
    <t>E6_5</t>
  </si>
  <si>
    <t>E7_5</t>
  </si>
  <si>
    <t>E8_5</t>
  </si>
  <si>
    <t>E9_5</t>
  </si>
  <si>
    <t>E10_5</t>
  </si>
  <si>
    <t>E11_5</t>
  </si>
  <si>
    <t>E12_5</t>
  </si>
  <si>
    <t>E13_5</t>
  </si>
  <si>
    <t>E14_5</t>
  </si>
  <si>
    <t>E15_5</t>
  </si>
  <si>
    <t>E16_5</t>
  </si>
  <si>
    <t>E17_5</t>
  </si>
  <si>
    <t>E18_5</t>
  </si>
  <si>
    <t>E19_5</t>
  </si>
  <si>
    <t>E20_5</t>
  </si>
  <si>
    <t>E21_5</t>
  </si>
  <si>
    <t>E22_5</t>
  </si>
  <si>
    <t>E23_5</t>
  </si>
  <si>
    <t>E24_5</t>
  </si>
  <si>
    <t>E25_5</t>
  </si>
  <si>
    <t>E26_5</t>
  </si>
  <si>
    <t>E27_5</t>
  </si>
  <si>
    <t>E28_5</t>
  </si>
  <si>
    <t>E29_5</t>
  </si>
  <si>
    <t>E30_5</t>
  </si>
  <si>
    <t>E31_5</t>
  </si>
  <si>
    <t>E0_6</t>
  </si>
  <si>
    <t>E2_6</t>
  </si>
  <si>
    <t>E3_6</t>
  </si>
  <si>
    <t>E4_6</t>
  </si>
  <si>
    <t>E5_6</t>
  </si>
  <si>
    <t>E7_6</t>
  </si>
  <si>
    <t>E8_6</t>
  </si>
  <si>
    <t>E9_6</t>
  </si>
  <si>
    <t>E10_6</t>
  </si>
  <si>
    <t>E11_6</t>
  </si>
  <si>
    <t>E12_6</t>
  </si>
  <si>
    <t>E13_6</t>
  </si>
  <si>
    <t>E14_6</t>
  </si>
  <si>
    <t>E15_6</t>
  </si>
  <si>
    <t>E16_6</t>
  </si>
  <si>
    <t>E17_6</t>
  </si>
  <si>
    <t>E18_6</t>
  </si>
  <si>
    <t>E19_6</t>
  </si>
  <si>
    <t>E20_6</t>
  </si>
  <si>
    <t>E21_6</t>
  </si>
  <si>
    <t>E22_6</t>
  </si>
  <si>
    <t>E23_6</t>
  </si>
  <si>
    <t>E24_6</t>
  </si>
  <si>
    <t>E25_6</t>
  </si>
  <si>
    <t>E26_6</t>
  </si>
  <si>
    <t>E27_6</t>
  </si>
  <si>
    <t>E28_6</t>
  </si>
  <si>
    <t>E29_6</t>
  </si>
  <si>
    <t>E30_6</t>
  </si>
  <si>
    <t>E31_6</t>
  </si>
  <si>
    <t>E0_7</t>
  </si>
  <si>
    <t>E2_7</t>
  </si>
  <si>
    <t>E3_7</t>
  </si>
  <si>
    <t>E4_7</t>
  </si>
  <si>
    <t>E5_7</t>
  </si>
  <si>
    <t>E6_7</t>
  </si>
  <si>
    <t>E8_7</t>
  </si>
  <si>
    <t>E9_7</t>
  </si>
  <si>
    <t>E10_7</t>
  </si>
  <si>
    <t>E11_7</t>
  </si>
  <si>
    <t>E12_7</t>
  </si>
  <si>
    <t>E13_7</t>
  </si>
  <si>
    <t>E14_7</t>
  </si>
  <si>
    <t>E15_7</t>
  </si>
  <si>
    <t>E16_7</t>
  </si>
  <si>
    <t>E17_7</t>
  </si>
  <si>
    <t>E18_7</t>
  </si>
  <si>
    <t>E19_7</t>
  </si>
  <si>
    <t>E20_7</t>
  </si>
  <si>
    <t>E21_7</t>
  </si>
  <si>
    <t>E22_7</t>
  </si>
  <si>
    <t>E23_7</t>
  </si>
  <si>
    <t>E24_7</t>
  </si>
  <si>
    <t>E25_7</t>
  </si>
  <si>
    <t>E26_7</t>
  </si>
  <si>
    <t>E27_7</t>
  </si>
  <si>
    <t>E28_7</t>
  </si>
  <si>
    <t>E29_7</t>
  </si>
  <si>
    <t>E30_7</t>
  </si>
  <si>
    <t>E31_7</t>
  </si>
  <si>
    <t>E0_8</t>
  </si>
  <si>
    <t>E2_8</t>
  </si>
  <si>
    <t>E3_8</t>
  </si>
  <si>
    <t>E4_8</t>
  </si>
  <si>
    <t>E5_8</t>
  </si>
  <si>
    <t>E6_8</t>
  </si>
  <si>
    <t>E7_8</t>
  </si>
  <si>
    <t>E9_8</t>
  </si>
  <si>
    <t>E10_8</t>
  </si>
  <si>
    <t>E11_8</t>
  </si>
  <si>
    <t>E12_8</t>
  </si>
  <si>
    <t>E13_8</t>
  </si>
  <si>
    <t>E14_8</t>
  </si>
  <si>
    <t>E15_8</t>
  </si>
  <si>
    <t>E16_8</t>
  </si>
  <si>
    <t>E17_8</t>
  </si>
  <si>
    <t>E18_8</t>
  </si>
  <si>
    <t>E19_8</t>
  </si>
  <si>
    <t>E20_8</t>
  </si>
  <si>
    <t>E21_8</t>
  </si>
  <si>
    <t>E22_8</t>
  </si>
  <si>
    <t>E23_8</t>
  </si>
  <si>
    <t>E24_8</t>
  </si>
  <si>
    <t>E25_8</t>
  </si>
  <si>
    <t>E26_8</t>
  </si>
  <si>
    <t>E27_8</t>
  </si>
  <si>
    <t>E28_8</t>
  </si>
  <si>
    <t>E29_8</t>
  </si>
  <si>
    <t>E30_8</t>
  </si>
  <si>
    <t>E31_8</t>
  </si>
  <si>
    <t>E0_9</t>
  </si>
  <si>
    <t>E2_9</t>
  </si>
  <si>
    <t>E3_9</t>
  </si>
  <si>
    <t>E4_9</t>
  </si>
  <si>
    <t>E5_9</t>
  </si>
  <si>
    <t>E6_9</t>
  </si>
  <si>
    <t>E7_9</t>
  </si>
  <si>
    <t>E8_9</t>
  </si>
  <si>
    <t>E10_9</t>
  </si>
  <si>
    <t>E11_9</t>
  </si>
  <si>
    <t>E12_9</t>
  </si>
  <si>
    <t>E13_9</t>
  </si>
  <si>
    <t>E14_9</t>
  </si>
  <si>
    <t>E15_9</t>
  </si>
  <si>
    <t>E16_9</t>
  </si>
  <si>
    <t>E17_9</t>
  </si>
  <si>
    <t>E18_9</t>
  </si>
  <si>
    <t>E19_9</t>
  </si>
  <si>
    <t>E20_9</t>
  </si>
  <si>
    <t>E21_9</t>
  </si>
  <si>
    <t>E22_9</t>
  </si>
  <si>
    <t>E23_9</t>
  </si>
  <si>
    <t>E24_9</t>
  </si>
  <si>
    <t>E25_9</t>
  </si>
  <si>
    <t>E26_9</t>
  </si>
  <si>
    <t>E27_9</t>
  </si>
  <si>
    <t>E28_9</t>
  </si>
  <si>
    <t>E29_9</t>
  </si>
  <si>
    <t>E30_9</t>
  </si>
  <si>
    <t>E31_9</t>
  </si>
  <si>
    <t>E0_10</t>
  </si>
  <si>
    <t>E2_12</t>
  </si>
  <si>
    <t>E3_13</t>
  </si>
  <si>
    <t>E4_14</t>
  </si>
  <si>
    <t>E5_15</t>
  </si>
  <si>
    <t>E2_10</t>
  </si>
  <si>
    <t>E3_10</t>
  </si>
  <si>
    <t>E4_10</t>
  </si>
  <si>
    <t>E5_10</t>
  </si>
  <si>
    <t>E6_10</t>
  </si>
  <si>
    <t>E7_10</t>
  </si>
  <si>
    <t>E8_10</t>
  </si>
  <si>
    <t>E9_10</t>
  </si>
  <si>
    <t>E11_10</t>
  </si>
  <si>
    <t>E12_10</t>
  </si>
  <si>
    <t>E13_10</t>
  </si>
  <si>
    <t>E14_10</t>
  </si>
  <si>
    <t>E15_10</t>
  </si>
  <si>
    <t>E16_10</t>
  </si>
  <si>
    <t>E17_10</t>
  </si>
  <si>
    <t>E18_10</t>
  </si>
  <si>
    <t>E19_10</t>
  </si>
  <si>
    <t>E20_10</t>
  </si>
  <si>
    <t>E21_10</t>
  </si>
  <si>
    <t>E22_10</t>
  </si>
  <si>
    <t>E23_10</t>
  </si>
  <si>
    <t>E24_10</t>
  </si>
  <si>
    <t>E25_10</t>
  </si>
  <si>
    <t>E26_10</t>
  </si>
  <si>
    <t>E27_10</t>
  </si>
  <si>
    <t>E28_10</t>
  </si>
  <si>
    <t>E29_10</t>
  </si>
  <si>
    <t>E30_10</t>
  </si>
  <si>
    <t>E31_10</t>
  </si>
  <si>
    <t>E0_11</t>
  </si>
  <si>
    <t>E2_11</t>
  </si>
  <si>
    <t>E3_11</t>
  </si>
  <si>
    <t>E4_11</t>
  </si>
  <si>
    <t>E5_11</t>
  </si>
  <si>
    <t>E6_11</t>
  </si>
  <si>
    <t>E7_11</t>
  </si>
  <si>
    <t>E8_11</t>
  </si>
  <si>
    <t>E9_11</t>
  </si>
  <si>
    <t>E10_11</t>
  </si>
  <si>
    <t>E12_11</t>
  </si>
  <si>
    <t>E13_11</t>
  </si>
  <si>
    <t>E14_11</t>
  </si>
  <si>
    <t>E15_11</t>
  </si>
  <si>
    <t>E16_11</t>
  </si>
  <si>
    <t>E17_11</t>
  </si>
  <si>
    <t>E18_11</t>
  </si>
  <si>
    <t>E19_11</t>
  </si>
  <si>
    <t>E20_11</t>
  </si>
  <si>
    <t>E21_11</t>
  </si>
  <si>
    <t>E22_11</t>
  </si>
  <si>
    <t>E23_11</t>
  </si>
  <si>
    <t>E24_11</t>
  </si>
  <si>
    <t>E25_11</t>
  </si>
  <si>
    <t>E26_11</t>
  </si>
  <si>
    <t>E27_11</t>
  </si>
  <si>
    <t>E28_11</t>
  </si>
  <si>
    <t>E29_11</t>
  </si>
  <si>
    <t>E30_11</t>
  </si>
  <si>
    <t>E31_11</t>
  </si>
  <si>
    <t>E0_12</t>
  </si>
  <si>
    <t>E3_12</t>
  </si>
  <si>
    <t>E4_12</t>
  </si>
  <si>
    <t>E5_12</t>
  </si>
  <si>
    <t>E6_12</t>
  </si>
  <si>
    <t>E7_12</t>
  </si>
  <si>
    <t>E8_12</t>
  </si>
  <si>
    <t>E9_12</t>
  </si>
  <si>
    <t>E10_12</t>
  </si>
  <si>
    <t>E11_12</t>
  </si>
  <si>
    <t>E13_12</t>
  </si>
  <si>
    <t>E14_12</t>
  </si>
  <si>
    <t>E15_12</t>
  </si>
  <si>
    <t>E16_12</t>
  </si>
  <si>
    <t>E17_12</t>
  </si>
  <si>
    <t>E18_12</t>
  </si>
  <si>
    <t>E19_12</t>
  </si>
  <si>
    <t>E20_12</t>
  </si>
  <si>
    <t>E21_12</t>
  </si>
  <si>
    <t>E22_12</t>
  </si>
  <si>
    <t>E23_12</t>
  </si>
  <si>
    <t>E24_12</t>
  </si>
  <si>
    <t>E25_12</t>
  </si>
  <si>
    <t>E26_12</t>
  </si>
  <si>
    <t>E27_12</t>
  </si>
  <si>
    <t>E28_12</t>
  </si>
  <si>
    <t>E29_12</t>
  </si>
  <si>
    <t>E30_12</t>
  </si>
  <si>
    <t>E31_12</t>
  </si>
  <si>
    <t>E0_13</t>
  </si>
  <si>
    <t>E2_13</t>
  </si>
  <si>
    <t>E4_13</t>
  </si>
  <si>
    <t>E5_13</t>
  </si>
  <si>
    <t>E6_13</t>
  </si>
  <si>
    <t>E7_13</t>
  </si>
  <si>
    <t>E8_13</t>
  </si>
  <si>
    <t>E9_13</t>
  </si>
  <si>
    <t>E10_13</t>
  </si>
  <si>
    <t>E11_13</t>
  </si>
  <si>
    <t>E12_13</t>
  </si>
  <si>
    <t>E14_13</t>
  </si>
  <si>
    <t>E15_13</t>
  </si>
  <si>
    <t>E16_13</t>
  </si>
  <si>
    <t>E17_13</t>
  </si>
  <si>
    <t>E18_13</t>
  </si>
  <si>
    <t>E19_13</t>
  </si>
  <si>
    <t>E20_13</t>
  </si>
  <si>
    <t>E21_13</t>
  </si>
  <si>
    <t>E22_13</t>
  </si>
  <si>
    <t>E23_13</t>
  </si>
  <si>
    <t>E24_13</t>
  </si>
  <si>
    <t>E25_13</t>
  </si>
  <si>
    <t>E26_13</t>
  </si>
  <si>
    <t>E27_13</t>
  </si>
  <si>
    <t>E28_13</t>
  </si>
  <si>
    <t>E29_13</t>
  </si>
  <si>
    <t>E30_13</t>
  </si>
  <si>
    <t>E31_13</t>
  </si>
  <si>
    <t>E0_14</t>
  </si>
  <si>
    <t>E2_14</t>
  </si>
  <si>
    <t>E3_14</t>
  </si>
  <si>
    <t>E5_14</t>
  </si>
  <si>
    <t>E6_14</t>
  </si>
  <si>
    <t>E7_14</t>
  </si>
  <si>
    <t>E8_14</t>
  </si>
  <si>
    <t>E9_14</t>
  </si>
  <si>
    <t>E10_14</t>
  </si>
  <si>
    <t>E11_14</t>
  </si>
  <si>
    <t>E12_14</t>
  </si>
  <si>
    <t>E13_14</t>
  </si>
  <si>
    <t>E15_14</t>
  </si>
  <si>
    <t>E16_14</t>
  </si>
  <si>
    <t>E17_14</t>
  </si>
  <si>
    <t>E18_14</t>
  </si>
  <si>
    <t>E19_14</t>
  </si>
  <si>
    <t>E20_14</t>
  </si>
  <si>
    <t>E21_14</t>
  </si>
  <si>
    <t>E22_14</t>
  </si>
  <si>
    <t>E23_14</t>
  </si>
  <si>
    <t>E24_14</t>
  </si>
  <si>
    <t>E25_14</t>
  </si>
  <si>
    <t>E26_14</t>
  </si>
  <si>
    <t>E27_14</t>
  </si>
  <si>
    <t>E28_14</t>
  </si>
  <si>
    <t>E29_14</t>
  </si>
  <si>
    <t>E30_14</t>
  </si>
  <si>
    <t>E31_14</t>
  </si>
  <si>
    <t>E0_15</t>
  </si>
  <si>
    <t>E2_15</t>
  </si>
  <si>
    <t>E3_15</t>
  </si>
  <si>
    <t>E4_15</t>
  </si>
  <si>
    <t>E6_15</t>
  </si>
  <si>
    <t>E7_15</t>
  </si>
  <si>
    <t>E8_15</t>
  </si>
  <si>
    <t>E9_15</t>
  </si>
  <si>
    <t>E10_15</t>
  </si>
  <si>
    <t>E11_15</t>
  </si>
  <si>
    <t>E12_15</t>
  </si>
  <si>
    <t>E13_15</t>
  </si>
  <si>
    <t>E14_15</t>
  </si>
  <si>
    <t>E16_15</t>
  </si>
  <si>
    <t>E17_15</t>
  </si>
  <si>
    <t>E18_15</t>
  </si>
  <si>
    <t>E19_15</t>
  </si>
  <si>
    <t>E20_15</t>
  </si>
  <si>
    <t>E21_15</t>
  </si>
  <si>
    <t>E22_15</t>
  </si>
  <si>
    <t>E23_15</t>
  </si>
  <si>
    <t>E24_15</t>
  </si>
  <si>
    <t>E25_15</t>
  </si>
  <si>
    <t>E26_15</t>
  </si>
  <si>
    <t>E27_15</t>
  </si>
  <si>
    <t>E28_15</t>
  </si>
  <si>
    <t>E29_15</t>
  </si>
  <si>
    <t>E30_15</t>
  </si>
  <si>
    <t>E31_15</t>
  </si>
  <si>
    <t>E0_16</t>
  </si>
  <si>
    <t>E1_16</t>
  </si>
  <si>
    <t>E2_16</t>
  </si>
  <si>
    <t>E3_16</t>
  </si>
  <si>
    <t>E4_16</t>
  </si>
  <si>
    <t>E5_16</t>
  </si>
  <si>
    <t>E6_16</t>
  </si>
  <si>
    <t>E7_16</t>
  </si>
  <si>
    <t>E8_16</t>
  </si>
  <si>
    <t>E9_16</t>
  </si>
  <si>
    <t>E10_16</t>
  </si>
  <si>
    <t>E11_16</t>
  </si>
  <si>
    <t>E12_16</t>
  </si>
  <si>
    <t>E13_16</t>
  </si>
  <si>
    <t>E14_16</t>
  </si>
  <si>
    <t>E15_16</t>
  </si>
  <si>
    <t>E16_16</t>
  </si>
  <si>
    <t>E17_16</t>
  </si>
  <si>
    <t>E18_16</t>
  </si>
  <si>
    <t>E19_16</t>
  </si>
  <si>
    <t>E20_16</t>
  </si>
  <si>
    <t>E21_16</t>
  </si>
  <si>
    <t>E22_16</t>
  </si>
  <si>
    <t>E23_16</t>
  </si>
  <si>
    <t>E24_16</t>
  </si>
  <si>
    <t>E25_16</t>
  </si>
  <si>
    <t>E26_16</t>
  </si>
  <si>
    <t>E27_16</t>
  </si>
  <si>
    <t>E28_16</t>
  </si>
  <si>
    <t>E29_16</t>
  </si>
  <si>
    <t>E30_16</t>
  </si>
  <si>
    <t>E31_16</t>
  </si>
  <si>
    <t>E0_17</t>
  </si>
  <si>
    <t>E1_17</t>
  </si>
  <si>
    <t>E2_17</t>
  </si>
  <si>
    <t>E3_17</t>
  </si>
  <si>
    <t>E4_17</t>
  </si>
  <si>
    <t>E5_17</t>
  </si>
  <si>
    <t>E6_17</t>
  </si>
  <si>
    <t>E7_17</t>
  </si>
  <si>
    <t>E8_17</t>
  </si>
  <si>
    <t>E9_17</t>
  </si>
  <si>
    <t>E10_17</t>
  </si>
  <si>
    <t>E11_17</t>
  </si>
  <si>
    <t>E12_17</t>
  </si>
  <si>
    <t>E13_17</t>
  </si>
  <si>
    <t>E14_17</t>
  </si>
  <si>
    <t>E15_17</t>
  </si>
  <si>
    <t>E16_17</t>
  </si>
  <si>
    <t>E17_17</t>
  </si>
  <si>
    <t>E18_17</t>
  </si>
  <si>
    <t>E19_17</t>
  </si>
  <si>
    <t>E20_17</t>
  </si>
  <si>
    <t>E21_17</t>
  </si>
  <si>
    <t>E22_17</t>
  </si>
  <si>
    <t>E23_17</t>
  </si>
  <si>
    <t>E24_17</t>
  </si>
  <si>
    <t>E25_17</t>
  </si>
  <si>
    <t>E26_17</t>
  </si>
  <si>
    <t>E27_17</t>
  </si>
  <si>
    <t>E28_17</t>
  </si>
  <si>
    <t>E29_17</t>
  </si>
  <si>
    <t>E30_17</t>
  </si>
  <si>
    <t>E31_17</t>
  </si>
  <si>
    <t>E0_18</t>
  </si>
  <si>
    <t>E1_18</t>
  </si>
  <si>
    <t>E2_18</t>
  </si>
  <si>
    <t>E3_18</t>
  </si>
  <si>
    <t>E4_18</t>
  </si>
  <si>
    <t>E5_18</t>
  </si>
  <si>
    <t>E6_18</t>
  </si>
  <si>
    <t>E7_18</t>
  </si>
  <si>
    <t>E8_18</t>
  </si>
  <si>
    <t>E9_18</t>
  </si>
  <si>
    <t>E10_18</t>
  </si>
  <si>
    <t>E11_18</t>
  </si>
  <si>
    <t>E12_18</t>
  </si>
  <si>
    <t>E13_18</t>
  </si>
  <si>
    <t>E14_18</t>
  </si>
  <si>
    <t>E15_18</t>
  </si>
  <si>
    <t>E16_18</t>
  </si>
  <si>
    <t>E17_18</t>
  </si>
  <si>
    <t>E18_18</t>
  </si>
  <si>
    <t>E19_18</t>
  </si>
  <si>
    <t>E20_18</t>
  </si>
  <si>
    <t>E21_18</t>
  </si>
  <si>
    <t>E22_18</t>
  </si>
  <si>
    <t>E23_18</t>
  </si>
  <si>
    <t>E24_18</t>
  </si>
  <si>
    <t>E25_18</t>
  </si>
  <si>
    <t>E26_18</t>
  </si>
  <si>
    <t>E27_18</t>
  </si>
  <si>
    <t>E28_18</t>
  </si>
  <si>
    <t>E29_18</t>
  </si>
  <si>
    <t>E30_18</t>
  </si>
  <si>
    <t>E31_18</t>
  </si>
  <si>
    <t>E0_19</t>
  </si>
  <si>
    <t>E1_19</t>
  </si>
  <si>
    <t>E2_19</t>
  </si>
  <si>
    <t>E3_19</t>
  </si>
  <si>
    <t>E4_19</t>
  </si>
  <si>
    <t>E5_19</t>
  </si>
  <si>
    <t>E6_19</t>
  </si>
  <si>
    <t>E7_19</t>
  </si>
  <si>
    <t>E8_19</t>
  </si>
  <si>
    <t>E9_19</t>
  </si>
  <si>
    <t>E10_19</t>
  </si>
  <si>
    <t>E11_19</t>
  </si>
  <si>
    <t>E12_19</t>
  </si>
  <si>
    <t>E13_19</t>
  </si>
  <si>
    <t>E14_19</t>
  </si>
  <si>
    <t>E15_19</t>
  </si>
  <si>
    <t>E16_19</t>
  </si>
  <si>
    <t>E17_19</t>
  </si>
  <si>
    <t>E18_19</t>
  </si>
  <si>
    <t>E19_19</t>
  </si>
  <si>
    <t>E20_19</t>
  </si>
  <si>
    <t>E21_19</t>
  </si>
  <si>
    <t>E22_19</t>
  </si>
  <si>
    <t>E23_19</t>
  </si>
  <si>
    <t>E24_19</t>
  </si>
  <si>
    <t>E25_19</t>
  </si>
  <si>
    <t>E26_19</t>
  </si>
  <si>
    <t>E27_19</t>
  </si>
  <si>
    <t>E28_19</t>
  </si>
  <si>
    <t>E29_19</t>
  </si>
  <si>
    <t>E30_19</t>
  </si>
  <si>
    <t>E31_19</t>
  </si>
  <si>
    <t>E0_20</t>
  </si>
  <si>
    <t>E1_21</t>
  </si>
  <si>
    <t>E2_22</t>
  </si>
  <si>
    <t>E3_23</t>
  </si>
  <si>
    <t>E4_24</t>
  </si>
  <si>
    <t>E5_25</t>
  </si>
  <si>
    <t>E6_26</t>
  </si>
  <si>
    <t>E7_27</t>
  </si>
  <si>
    <t>E8_28</t>
  </si>
  <si>
    <t>E9_29</t>
  </si>
  <si>
    <t>E1_20</t>
  </si>
  <si>
    <t>E2_20</t>
  </si>
  <si>
    <t>E3_20</t>
  </si>
  <si>
    <t>E4_20</t>
  </si>
  <si>
    <t>E5_20</t>
  </si>
  <si>
    <t>E6_20</t>
  </si>
  <si>
    <t>E7_20</t>
  </si>
  <si>
    <t>E8_20</t>
  </si>
  <si>
    <t>E9_20</t>
  </si>
  <si>
    <t>E10_20</t>
  </si>
  <si>
    <t>E11_20</t>
  </si>
  <si>
    <t>E12_20</t>
  </si>
  <si>
    <t>E13_20</t>
  </si>
  <si>
    <t>E14_20</t>
  </si>
  <si>
    <t>E15_20</t>
  </si>
  <si>
    <t>E16_20</t>
  </si>
  <si>
    <t>E17_20</t>
  </si>
  <si>
    <t>E18_20</t>
  </si>
  <si>
    <t>E19_20</t>
  </si>
  <si>
    <t>E20_20</t>
  </si>
  <si>
    <t>E21_20</t>
  </si>
  <si>
    <t>E22_20</t>
  </si>
  <si>
    <t>E23_20</t>
  </si>
  <si>
    <t>E24_20</t>
  </si>
  <si>
    <t>E25_20</t>
  </si>
  <si>
    <t>E26_20</t>
  </si>
  <si>
    <t>E27_20</t>
  </si>
  <si>
    <t>E28_20</t>
  </si>
  <si>
    <t>E29_20</t>
  </si>
  <si>
    <t>E30_20</t>
  </si>
  <si>
    <t>E31_20</t>
  </si>
  <si>
    <t>E0_21</t>
  </si>
  <si>
    <t>E2_21</t>
  </si>
  <si>
    <t>E3_21</t>
  </si>
  <si>
    <t>E4_21</t>
  </si>
  <si>
    <t>E5_21</t>
  </si>
  <si>
    <t>E6_21</t>
  </si>
  <si>
    <t>E7_21</t>
  </si>
  <si>
    <t>E8_21</t>
  </si>
  <si>
    <t>E9_21</t>
  </si>
  <si>
    <t>E10_21</t>
  </si>
  <si>
    <t>E11_21</t>
  </si>
  <si>
    <t>E12_21</t>
  </si>
  <si>
    <t>E13_21</t>
  </si>
  <si>
    <t>E14_21</t>
  </si>
  <si>
    <t>E15_21</t>
  </si>
  <si>
    <t>E16_21</t>
  </si>
  <si>
    <t>E17_21</t>
  </si>
  <si>
    <t>E18_21</t>
  </si>
  <si>
    <t>E19_21</t>
  </si>
  <si>
    <t>E20_21</t>
  </si>
  <si>
    <t>E21_21</t>
  </si>
  <si>
    <t>E22_21</t>
  </si>
  <si>
    <t>E23_21</t>
  </si>
  <si>
    <t>E24_21</t>
  </si>
  <si>
    <t>E25_21</t>
  </si>
  <si>
    <t>E26_21</t>
  </si>
  <si>
    <t>E27_21</t>
  </si>
  <si>
    <t>E28_21</t>
  </si>
  <si>
    <t>E29_21</t>
  </si>
  <si>
    <t>E30_21</t>
  </si>
  <si>
    <t>E31_21</t>
  </si>
  <si>
    <t>E0_22</t>
  </si>
  <si>
    <t>E1_22</t>
  </si>
  <si>
    <t>E3_22</t>
  </si>
  <si>
    <t>E4_22</t>
  </si>
  <si>
    <t>E5_22</t>
  </si>
  <si>
    <t>E6_22</t>
  </si>
  <si>
    <t>E7_22</t>
  </si>
  <si>
    <t>E8_22</t>
  </si>
  <si>
    <t>E9_22</t>
  </si>
  <si>
    <t>E10_22</t>
  </si>
  <si>
    <t>E11_22</t>
  </si>
  <si>
    <t>E12_22</t>
  </si>
  <si>
    <t>E13_22</t>
  </si>
  <si>
    <t>E14_22</t>
  </si>
  <si>
    <t>E15_22</t>
  </si>
  <si>
    <t>E16_22</t>
  </si>
  <si>
    <t>E17_22</t>
  </si>
  <si>
    <t>E18_22</t>
  </si>
  <si>
    <t>E19_22</t>
  </si>
  <si>
    <t>E20_22</t>
  </si>
  <si>
    <t>E21_22</t>
  </si>
  <si>
    <t>E22_22</t>
  </si>
  <si>
    <t>E23_22</t>
  </si>
  <si>
    <t>E24_22</t>
  </si>
  <si>
    <t>E25_22</t>
  </si>
  <si>
    <t>E26_22</t>
  </si>
  <si>
    <t>E27_22</t>
  </si>
  <si>
    <t>E28_22</t>
  </si>
  <si>
    <t>E29_22</t>
  </si>
  <si>
    <t>E30_22</t>
  </si>
  <si>
    <t>E31_22</t>
  </si>
  <si>
    <t>E0_23</t>
  </si>
  <si>
    <t>E1_23</t>
  </si>
  <si>
    <t>E2_23</t>
  </si>
  <si>
    <t>E4_23</t>
  </si>
  <si>
    <t>E5_23</t>
  </si>
  <si>
    <t>E6_23</t>
  </si>
  <si>
    <t>E7_23</t>
  </si>
  <si>
    <t>E8_23</t>
  </si>
  <si>
    <t>E9_23</t>
  </si>
  <si>
    <t>E10_23</t>
  </si>
  <si>
    <t>E11_23</t>
  </si>
  <si>
    <t>E12_23</t>
  </si>
  <si>
    <t>E13_23</t>
  </si>
  <si>
    <t>E14_23</t>
  </si>
  <si>
    <t>E15_23</t>
  </si>
  <si>
    <t>E16_23</t>
  </si>
  <si>
    <t>E17_23</t>
  </si>
  <si>
    <t>E18_23</t>
  </si>
  <si>
    <t>E19_23</t>
  </si>
  <si>
    <t>E20_23</t>
  </si>
  <si>
    <t>E21_23</t>
  </si>
  <si>
    <t>E22_23</t>
  </si>
  <si>
    <t>E23_23</t>
  </si>
  <si>
    <t>E24_23</t>
  </si>
  <si>
    <t>E25_23</t>
  </si>
  <si>
    <t>E26_23</t>
  </si>
  <si>
    <t>E27_23</t>
  </si>
  <si>
    <t>E28_23</t>
  </si>
  <si>
    <t>E29_23</t>
  </si>
  <si>
    <t>E30_23</t>
  </si>
  <si>
    <t>E31_23</t>
  </si>
  <si>
    <t>E0_24</t>
  </si>
  <si>
    <t>E1_24</t>
  </si>
  <si>
    <t>E2_24</t>
  </si>
  <si>
    <t>E3_24</t>
  </si>
  <si>
    <t>E5_24</t>
  </si>
  <si>
    <t>E6_24</t>
  </si>
  <si>
    <t>E7_24</t>
  </si>
  <si>
    <t>E8_24</t>
  </si>
  <si>
    <t>E9_24</t>
  </si>
  <si>
    <t>E10_24</t>
  </si>
  <si>
    <t>E11_24</t>
  </si>
  <si>
    <t>E12_24</t>
  </si>
  <si>
    <t>E13_24</t>
  </si>
  <si>
    <t>E14_24</t>
  </si>
  <si>
    <t>E15_24</t>
  </si>
  <si>
    <t>E16_24</t>
  </si>
  <si>
    <t>E17_24</t>
  </si>
  <si>
    <t>E18_24</t>
  </si>
  <si>
    <t>E19_24</t>
  </si>
  <si>
    <t>E20_24</t>
  </si>
  <si>
    <t>E21_24</t>
  </si>
  <si>
    <t>E22_24</t>
  </si>
  <si>
    <t>E23_24</t>
  </si>
  <si>
    <t>E24_24</t>
  </si>
  <si>
    <t>E25_24</t>
  </si>
  <si>
    <t>E26_24</t>
  </si>
  <si>
    <t>E27_24</t>
  </si>
  <si>
    <t>E28_24</t>
  </si>
  <si>
    <t>E29_24</t>
  </si>
  <si>
    <t>E30_24</t>
  </si>
  <si>
    <t>E31_24</t>
  </si>
  <si>
    <t>E0_25</t>
  </si>
  <si>
    <t>E1_25</t>
  </si>
  <si>
    <t>E2_25</t>
  </si>
  <si>
    <t>E3_25</t>
  </si>
  <si>
    <t>E4_25</t>
  </si>
  <si>
    <t>E6_25</t>
  </si>
  <si>
    <t>E7_25</t>
  </si>
  <si>
    <t>E8_25</t>
  </si>
  <si>
    <t>E9_25</t>
  </si>
  <si>
    <t>E10_25</t>
  </si>
  <si>
    <t>E11_25</t>
  </si>
  <si>
    <t>E12_25</t>
  </si>
  <si>
    <t>E13_25</t>
  </si>
  <si>
    <t>E14_25</t>
  </si>
  <si>
    <t>E15_25</t>
  </si>
  <si>
    <t>E16_25</t>
  </si>
  <si>
    <t>E17_25</t>
  </si>
  <si>
    <t>E18_25</t>
  </si>
  <si>
    <t>E19_25</t>
  </si>
  <si>
    <t>E20_25</t>
  </si>
  <si>
    <t>E21_25</t>
  </si>
  <si>
    <t>E22_25</t>
  </si>
  <si>
    <t>E23_25</t>
  </si>
  <si>
    <t>E24_25</t>
  </si>
  <si>
    <t>E25_25</t>
  </si>
  <si>
    <t>E26_25</t>
  </si>
  <si>
    <t>E27_25</t>
  </si>
  <si>
    <t>E28_25</t>
  </si>
  <si>
    <t>E29_25</t>
  </si>
  <si>
    <t>E30_25</t>
  </si>
  <si>
    <t>E31_25</t>
  </si>
  <si>
    <t>E0_26</t>
  </si>
  <si>
    <t>E1_26</t>
  </si>
  <si>
    <t>E2_26</t>
  </si>
  <si>
    <t>E3_26</t>
  </si>
  <si>
    <t>E4_26</t>
  </si>
  <si>
    <t>E5_26</t>
  </si>
  <si>
    <t>E7_26</t>
  </si>
  <si>
    <t>E8_26</t>
  </si>
  <si>
    <t>E9_26</t>
  </si>
  <si>
    <t>E10_26</t>
  </si>
  <si>
    <t>E11_26</t>
  </si>
  <si>
    <t>E12_26</t>
  </si>
  <si>
    <t>E13_26</t>
  </si>
  <si>
    <t>E14_26</t>
  </si>
  <si>
    <t>E15_26</t>
  </si>
  <si>
    <t>E16_26</t>
  </si>
  <si>
    <t>E17_26</t>
  </si>
  <si>
    <t>E18_26</t>
  </si>
  <si>
    <t>E19_26</t>
  </si>
  <si>
    <t>E20_26</t>
  </si>
  <si>
    <t>E21_26</t>
  </si>
  <si>
    <t>E22_26</t>
  </si>
  <si>
    <t>E23_26</t>
  </si>
  <si>
    <t>E24_26</t>
  </si>
  <si>
    <t>E25_26</t>
  </si>
  <si>
    <t>E26_26</t>
  </si>
  <si>
    <t>E27_26</t>
  </si>
  <si>
    <t>E28_26</t>
  </si>
  <si>
    <t>E29_26</t>
  </si>
  <si>
    <t>E30_26</t>
  </si>
  <si>
    <t>E31_26</t>
  </si>
  <si>
    <t>E0_27</t>
  </si>
  <si>
    <t>E1_27</t>
  </si>
  <si>
    <t>E2_27</t>
  </si>
  <si>
    <t>E3_27</t>
  </si>
  <si>
    <t>E4_27</t>
  </si>
  <si>
    <t>E5_27</t>
  </si>
  <si>
    <t>E6_27</t>
  </si>
  <si>
    <t>E8_27</t>
  </si>
  <si>
    <t>E9_27</t>
  </si>
  <si>
    <t>E10_27</t>
  </si>
  <si>
    <t>E11_27</t>
  </si>
  <si>
    <t>E12_27</t>
  </si>
  <si>
    <t>E13_27</t>
  </si>
  <si>
    <t>E14_27</t>
  </si>
  <si>
    <t>E15_27</t>
  </si>
  <si>
    <t>E16_27</t>
  </si>
  <si>
    <t>E17_27</t>
  </si>
  <si>
    <t>E18_27</t>
  </si>
  <si>
    <t>E19_27</t>
  </si>
  <si>
    <t>E20_27</t>
  </si>
  <si>
    <t>E21_27</t>
  </si>
  <si>
    <t>E22_27</t>
  </si>
  <si>
    <t>E23_27</t>
  </si>
  <si>
    <t>E24_27</t>
  </si>
  <si>
    <t>E25_27</t>
  </si>
  <si>
    <t>E26_27</t>
  </si>
  <si>
    <t>E27_27</t>
  </si>
  <si>
    <t>E28_27</t>
  </si>
  <si>
    <t>E29_27</t>
  </si>
  <si>
    <t>E30_27</t>
  </si>
  <si>
    <t>E31_27</t>
  </si>
  <si>
    <t>E0_28</t>
  </si>
  <si>
    <t>E1_28</t>
  </si>
  <si>
    <t>E2_28</t>
  </si>
  <si>
    <t>E3_28</t>
  </si>
  <si>
    <t>E4_28</t>
  </si>
  <si>
    <t>E5_28</t>
  </si>
  <si>
    <t>E6_28</t>
  </si>
  <si>
    <t>E7_28</t>
  </si>
  <si>
    <t>E9_28</t>
  </si>
  <si>
    <t>E10_28</t>
  </si>
  <si>
    <t>E11_28</t>
  </si>
  <si>
    <t>E12_28</t>
  </si>
  <si>
    <t>E13_28</t>
  </si>
  <si>
    <t>E14_28</t>
  </si>
  <si>
    <t>E15_28</t>
  </si>
  <si>
    <t>E16_28</t>
  </si>
  <si>
    <t>E17_28</t>
  </si>
  <si>
    <t>E18_28</t>
  </si>
  <si>
    <t>E19_28</t>
  </si>
  <si>
    <t>E20_28</t>
  </si>
  <si>
    <t>E21_28</t>
  </si>
  <si>
    <t>E22_28</t>
  </si>
  <si>
    <t>E23_28</t>
  </si>
  <si>
    <t>E24_28</t>
  </si>
  <si>
    <t>E25_28</t>
  </si>
  <si>
    <t>E26_28</t>
  </si>
  <si>
    <t>E27_28</t>
  </si>
  <si>
    <t>E28_28</t>
  </si>
  <si>
    <t>E29_28</t>
  </si>
  <si>
    <t>E30_28</t>
  </si>
  <si>
    <t>E31_28</t>
  </si>
  <si>
    <t>E0_29</t>
  </si>
  <si>
    <t>E1_29</t>
  </si>
  <si>
    <t>E2_29</t>
  </si>
  <si>
    <t>E3_29</t>
  </si>
  <si>
    <t>E4_29</t>
  </si>
  <si>
    <t>E5_29</t>
  </si>
  <si>
    <t>E6_29</t>
  </si>
  <si>
    <t>E7_29</t>
  </si>
  <si>
    <t>E8_29</t>
  </si>
  <si>
    <t>E10_29</t>
  </si>
  <si>
    <t>E11_29</t>
  </si>
  <si>
    <t>E12_29</t>
  </si>
  <si>
    <t>E13_29</t>
  </si>
  <si>
    <t>E14_29</t>
  </si>
  <si>
    <t>E15_29</t>
  </si>
  <si>
    <t>E16_29</t>
  </si>
  <si>
    <t>E17_29</t>
  </si>
  <si>
    <t>E18_29</t>
  </si>
  <si>
    <t>E19_29</t>
  </si>
  <si>
    <t>E20_29</t>
  </si>
  <si>
    <t>E21_29</t>
  </si>
  <si>
    <t>E22_29</t>
  </si>
  <si>
    <t>E23_29</t>
  </si>
  <si>
    <t>E24_29</t>
  </si>
  <si>
    <t>E25_29</t>
  </si>
  <si>
    <t>E26_29</t>
  </si>
  <si>
    <t>E27_29</t>
  </si>
  <si>
    <t>E28_29</t>
  </si>
  <si>
    <t>E29_29</t>
  </si>
  <si>
    <t>E30_29</t>
  </si>
  <si>
    <t>E31_29</t>
  </si>
  <si>
    <t>E0_30</t>
  </si>
  <si>
    <t>E1_31</t>
  </si>
  <si>
    <t>E0_31</t>
  </si>
  <si>
    <t>E2_31</t>
  </si>
  <si>
    <t>E3_31</t>
  </si>
  <si>
    <t>E4_31</t>
  </si>
  <si>
    <t>E5_31</t>
  </si>
  <si>
    <t>E6_31</t>
  </si>
  <si>
    <t>E7_31</t>
  </si>
  <si>
    <t>E8_31</t>
  </si>
  <si>
    <t>E9_31</t>
  </si>
  <si>
    <t>E10_31</t>
  </si>
  <si>
    <t>E11_31</t>
  </si>
  <si>
    <t>E12_31</t>
  </si>
  <si>
    <t>E13_31</t>
  </si>
  <si>
    <t>E14_31</t>
  </si>
  <si>
    <t>E15_31</t>
  </si>
  <si>
    <t>E16_31</t>
  </si>
  <si>
    <t>E17_31</t>
  </si>
  <si>
    <t>E18_31</t>
  </si>
  <si>
    <t>E19_31</t>
  </si>
  <si>
    <t>E20_31</t>
  </si>
  <si>
    <t>E21_31</t>
  </si>
  <si>
    <t>E22_31</t>
  </si>
  <si>
    <t>E23_31</t>
  </si>
  <si>
    <t>E24_31</t>
  </si>
  <si>
    <t>E25_31</t>
  </si>
  <si>
    <t>E26_31</t>
  </si>
  <si>
    <t>E27_31</t>
  </si>
  <si>
    <t>E28_31</t>
  </si>
  <si>
    <t>E29_31</t>
  </si>
  <si>
    <t>E30_31</t>
  </si>
  <si>
    <t>E31_31</t>
  </si>
  <si>
    <t>FlexCAN Prop Jump Values_Extended</t>
  </si>
  <si>
    <t>EP31_0</t>
  </si>
  <si>
    <t>EP32_0</t>
  </si>
  <si>
    <t>EP33_0</t>
  </si>
  <si>
    <t>EP34_0</t>
  </si>
  <si>
    <t>EP35_0</t>
  </si>
  <si>
    <t>EP36_0</t>
  </si>
  <si>
    <t>EP37_0</t>
  </si>
  <si>
    <t>EP38_0</t>
  </si>
  <si>
    <t>EP39_0</t>
  </si>
  <si>
    <t>EP40_0</t>
  </si>
  <si>
    <t>EP41_0</t>
  </si>
  <si>
    <t>EP42_0</t>
  </si>
  <si>
    <t>EP43_0</t>
  </si>
  <si>
    <t>EP44_0</t>
  </si>
  <si>
    <t>EP45_0</t>
  </si>
  <si>
    <t>EP46_0</t>
  </si>
  <si>
    <t>EP47_0</t>
  </si>
  <si>
    <t>EP48_0</t>
  </si>
  <si>
    <t>EP49_0</t>
  </si>
  <si>
    <t>EP50_0</t>
  </si>
  <si>
    <t>EP51_0</t>
  </si>
  <si>
    <t>EP52_0</t>
  </si>
  <si>
    <t>EP53_0</t>
  </si>
  <si>
    <t>EP54_0</t>
  </si>
  <si>
    <t>EP55_0</t>
  </si>
  <si>
    <t>EP56_0</t>
  </si>
  <si>
    <t>EP57_0</t>
  </si>
  <si>
    <t>EP58_0</t>
  </si>
  <si>
    <t>EP59_0</t>
  </si>
  <si>
    <t>EP60_0</t>
  </si>
  <si>
    <t>EP61_0</t>
  </si>
  <si>
    <t>EP62_0</t>
  </si>
  <si>
    <t>EP63_0</t>
  </si>
  <si>
    <t>EP30_1</t>
  </si>
  <si>
    <t>EP31_1</t>
  </si>
  <si>
    <t>EP32_1</t>
  </si>
  <si>
    <t>EP33_1</t>
  </si>
  <si>
    <t>EP34_1</t>
  </si>
  <si>
    <t>EP35_1</t>
  </si>
  <si>
    <t>EP36_1</t>
  </si>
  <si>
    <t>EP37_1</t>
  </si>
  <si>
    <t>EP38_1</t>
  </si>
  <si>
    <t>EP39_1</t>
  </si>
  <si>
    <t>EP40_1</t>
  </si>
  <si>
    <t>EP41_1</t>
  </si>
  <si>
    <t>EP42_1</t>
  </si>
  <si>
    <t>EP43_1</t>
  </si>
  <si>
    <t>EP44_1</t>
  </si>
  <si>
    <t>EP45_1</t>
  </si>
  <si>
    <t>EP46_1</t>
  </si>
  <si>
    <t>EP47_1</t>
  </si>
  <si>
    <t>EP48_1</t>
  </si>
  <si>
    <t>EP49_1</t>
  </si>
  <si>
    <t>EP50_1</t>
  </si>
  <si>
    <t>EP51_1</t>
  </si>
  <si>
    <t>EP52_1</t>
  </si>
  <si>
    <t>EP53_1</t>
  </si>
  <si>
    <t>EP54_1</t>
  </si>
  <si>
    <t>EP55_1</t>
  </si>
  <si>
    <t>EP56_1</t>
  </si>
  <si>
    <t>EP57_1</t>
  </si>
  <si>
    <t>EP58_1</t>
  </si>
  <si>
    <t>EP59_1</t>
  </si>
  <si>
    <t>EP60_1</t>
  </si>
  <si>
    <t>EP61_1</t>
  </si>
  <si>
    <t>EP62_1</t>
  </si>
  <si>
    <t>EP63_1</t>
  </si>
  <si>
    <t>EP29_2</t>
  </si>
  <si>
    <t>EP30_3</t>
  </si>
  <si>
    <t>EP31_3</t>
  </si>
  <si>
    <t>EP32_3</t>
  </si>
  <si>
    <t>EP33_3</t>
  </si>
  <si>
    <t>EP34_3</t>
  </si>
  <si>
    <t>EP35_3</t>
  </si>
  <si>
    <t>EP36_3</t>
  </si>
  <si>
    <t>EP37_3</t>
  </si>
  <si>
    <t>EP38_3</t>
  </si>
  <si>
    <t>EP39_3</t>
  </si>
  <si>
    <t>EP40_4</t>
  </si>
  <si>
    <t>EP41_4</t>
  </si>
  <si>
    <t>EP42_4</t>
  </si>
  <si>
    <t>EP43_4</t>
  </si>
  <si>
    <t>EP44_4</t>
  </si>
  <si>
    <t>EP45_4</t>
  </si>
  <si>
    <t>EP46_4</t>
  </si>
  <si>
    <t>EP47_4</t>
  </si>
  <si>
    <t>EP48_4</t>
  </si>
  <si>
    <t>EP49_4</t>
  </si>
  <si>
    <t>EP50_5</t>
  </si>
  <si>
    <t>EP51_5</t>
  </si>
  <si>
    <t>EP52_5</t>
  </si>
  <si>
    <t>EP53_5</t>
  </si>
  <si>
    <t>EP54_5</t>
  </si>
  <si>
    <t>EP55_5</t>
  </si>
  <si>
    <t>EP56_5</t>
  </si>
  <si>
    <t>EP57_5</t>
  </si>
  <si>
    <t>EP58_5</t>
  </si>
  <si>
    <t>EP59_5</t>
  </si>
  <si>
    <t>EP60_6</t>
  </si>
  <si>
    <t>EP61_6</t>
  </si>
  <si>
    <t>EP62_6</t>
  </si>
  <si>
    <t>EP63_6</t>
  </si>
  <si>
    <t>EP30_2</t>
  </si>
  <si>
    <t>EP31_2</t>
  </si>
  <si>
    <t>EP32_2</t>
  </si>
  <si>
    <t>EP33_2</t>
  </si>
  <si>
    <t>EP34_2</t>
  </si>
  <si>
    <t>EP35_2</t>
  </si>
  <si>
    <t>EP36_2</t>
  </si>
  <si>
    <t>EP37_2</t>
  </si>
  <si>
    <t>EP38_2</t>
  </si>
  <si>
    <t>EP39_2</t>
  </si>
  <si>
    <t>EP40_2</t>
  </si>
  <si>
    <t>EP41_2</t>
  </si>
  <si>
    <t>EP42_2</t>
  </si>
  <si>
    <t>EP43_2</t>
  </si>
  <si>
    <t>EP44_2</t>
  </si>
  <si>
    <t>EP45_2</t>
  </si>
  <si>
    <t>EP46_2</t>
  </si>
  <si>
    <t>EP47_2</t>
  </si>
  <si>
    <t>EP48_2</t>
  </si>
  <si>
    <t>EP49_2</t>
  </si>
  <si>
    <t>EP50_2</t>
  </si>
  <si>
    <t>EP51_2</t>
  </si>
  <si>
    <t>EP52_2</t>
  </si>
  <si>
    <t>EP53_2</t>
  </si>
  <si>
    <t>EP54_2</t>
  </si>
  <si>
    <t>EP55_2</t>
  </si>
  <si>
    <t>EP56_2</t>
  </si>
  <si>
    <t>EP57_2</t>
  </si>
  <si>
    <t>EP58_2</t>
  </si>
  <si>
    <t>EP59_2</t>
  </si>
  <si>
    <t>EP60_2</t>
  </si>
  <si>
    <t>EP61_2</t>
  </si>
  <si>
    <t>EP62_2</t>
  </si>
  <si>
    <t>EP63_2</t>
  </si>
  <si>
    <t>EP28_3</t>
  </si>
  <si>
    <t>EP29_3</t>
  </si>
  <si>
    <t>EP40_3</t>
  </si>
  <si>
    <t>EP41_3</t>
  </si>
  <si>
    <t>EP42_3</t>
  </si>
  <si>
    <t>EP43_3</t>
  </si>
  <si>
    <t>EP44_3</t>
  </si>
  <si>
    <t>EP45_3</t>
  </si>
  <si>
    <t>EP46_3</t>
  </si>
  <si>
    <t>EP47_3</t>
  </si>
  <si>
    <t>EP48_3</t>
  </si>
  <si>
    <t>EP49_3</t>
  </si>
  <si>
    <t>EP50_3</t>
  </si>
  <si>
    <t>EP51_3</t>
  </si>
  <si>
    <t>EP52_3</t>
  </si>
  <si>
    <t>EP53_3</t>
  </si>
  <si>
    <t>EP54_3</t>
  </si>
  <si>
    <t>EP55_3</t>
  </si>
  <si>
    <t>EP56_3</t>
  </si>
  <si>
    <t>EP57_3</t>
  </si>
  <si>
    <t>EP58_3</t>
  </si>
  <si>
    <t>EP59_3</t>
  </si>
  <si>
    <t>EP60_3</t>
  </si>
  <si>
    <t>EP61_3</t>
  </si>
  <si>
    <t>EP62_3</t>
  </si>
  <si>
    <t>EP63_3</t>
  </si>
  <si>
    <t>EP27_4</t>
  </si>
  <si>
    <t>EP28_4</t>
  </si>
  <si>
    <t>EP29_4</t>
  </si>
  <si>
    <t>EP30_4</t>
  </si>
  <si>
    <t>EP31_4</t>
  </si>
  <si>
    <t>EP32_4</t>
  </si>
  <si>
    <t>EP33_4</t>
  </si>
  <si>
    <t>EP34_4</t>
  </si>
  <si>
    <t>EP35_4</t>
  </si>
  <si>
    <t>EP36_4</t>
  </si>
  <si>
    <t>EP37_4</t>
  </si>
  <si>
    <t>EP38_4</t>
  </si>
  <si>
    <t>EP39_4</t>
  </si>
  <si>
    <t>EP50_4</t>
  </si>
  <si>
    <t>EP51_4</t>
  </si>
  <si>
    <t>EP52_4</t>
  </si>
  <si>
    <t>EP53_4</t>
  </si>
  <si>
    <t>EP54_4</t>
  </si>
  <si>
    <t>EP55_4</t>
  </si>
  <si>
    <t>EP56_4</t>
  </si>
  <si>
    <t>EP57_4</t>
  </si>
  <si>
    <t>EP58_4</t>
  </si>
  <si>
    <t>EP59_4</t>
  </si>
  <si>
    <t>EP60_4</t>
  </si>
  <si>
    <t>EP61_4</t>
  </si>
  <si>
    <t>EP62_4</t>
  </si>
  <si>
    <t>EP63_4</t>
  </si>
  <si>
    <t>EP26_5</t>
  </si>
  <si>
    <t>EP27_5</t>
  </si>
  <si>
    <t>EP28_5</t>
  </si>
  <si>
    <t>EP29_5</t>
  </si>
  <si>
    <t>EP30_5</t>
  </si>
  <si>
    <t>EP31_5</t>
  </si>
  <si>
    <t>EP32_5</t>
  </si>
  <si>
    <t>EP33_5</t>
  </si>
  <si>
    <t>EP34_5</t>
  </si>
  <si>
    <t>EP35_5</t>
  </si>
  <si>
    <t>EP36_5</t>
  </si>
  <si>
    <t>EP37_5</t>
  </si>
  <si>
    <t>EP38_5</t>
  </si>
  <si>
    <t>EP39_5</t>
  </si>
  <si>
    <t>EP40_5</t>
  </si>
  <si>
    <t>EP41_5</t>
  </si>
  <si>
    <t>EP42_5</t>
  </si>
  <si>
    <t>EP43_5</t>
  </si>
  <si>
    <t>EP44_5</t>
  </si>
  <si>
    <t>EP45_5</t>
  </si>
  <si>
    <t>EP46_5</t>
  </si>
  <si>
    <t>EP47_5</t>
  </si>
  <si>
    <t>EP48_5</t>
  </si>
  <si>
    <t>EP49_5</t>
  </si>
  <si>
    <t>EP60_5</t>
  </si>
  <si>
    <t>EP61_5</t>
  </si>
  <si>
    <t>EP62_5</t>
  </si>
  <si>
    <t>EP63_5</t>
  </si>
  <si>
    <t>EP25_6</t>
  </si>
  <si>
    <t>EP26_6</t>
  </si>
  <si>
    <t>EP27_6</t>
  </si>
  <si>
    <t>EP28_6</t>
  </si>
  <si>
    <t>EP29_6</t>
  </si>
  <si>
    <t>EP30_6</t>
  </si>
  <si>
    <t>EP31_6</t>
  </si>
  <si>
    <t>EP32_6</t>
  </si>
  <si>
    <t>EP33_6</t>
  </si>
  <si>
    <t>EP34_6</t>
  </si>
  <si>
    <t>EP35_6</t>
  </si>
  <si>
    <t>EP36_6</t>
  </si>
  <si>
    <t>EP37_6</t>
  </si>
  <si>
    <t>EP38_6</t>
  </si>
  <si>
    <t>EP39_6</t>
  </si>
  <si>
    <t>EP40_6</t>
  </si>
  <si>
    <t>EP41_6</t>
  </si>
  <si>
    <t>EP42_6</t>
  </si>
  <si>
    <t>EP43_6</t>
  </si>
  <si>
    <t>EP44_6</t>
  </si>
  <si>
    <t>EP45_6</t>
  </si>
  <si>
    <t>EP46_6</t>
  </si>
  <si>
    <t>EP47_6</t>
  </si>
  <si>
    <t>EP48_6</t>
  </si>
  <si>
    <t>EP49_6</t>
  </si>
  <si>
    <t>EP50_6</t>
  </si>
  <si>
    <t>EP51_6</t>
  </si>
  <si>
    <t>EP52_6</t>
  </si>
  <si>
    <t>EP53_6</t>
  </si>
  <si>
    <t>EP54_6</t>
  </si>
  <si>
    <t>EP55_6</t>
  </si>
  <si>
    <t>EP56_6</t>
  </si>
  <si>
    <t>EP57_6</t>
  </si>
  <si>
    <t>EP58_6</t>
  </si>
  <si>
    <t>EP59_6</t>
  </si>
  <si>
    <t>EP24_7</t>
  </si>
  <si>
    <t>EP25_7</t>
  </si>
  <si>
    <t>EP26_7</t>
  </si>
  <si>
    <t>EP27_7</t>
  </si>
  <si>
    <t>EP28_7</t>
  </si>
  <si>
    <t>EP29_7</t>
  </si>
  <si>
    <t>EP30_7</t>
  </si>
  <si>
    <t>EP31_7</t>
  </si>
  <si>
    <t>EP32_7</t>
  </si>
  <si>
    <t>EP33_7</t>
  </si>
  <si>
    <t>EP34_7</t>
  </si>
  <si>
    <t>EP35_7</t>
  </si>
  <si>
    <t>EP36_7</t>
  </si>
  <si>
    <t>EP37_7</t>
  </si>
  <si>
    <t>EP38_7</t>
  </si>
  <si>
    <t>EP39_7</t>
  </si>
  <si>
    <t>EP40_7</t>
  </si>
  <si>
    <t>EP41_7</t>
  </si>
  <si>
    <t>EP42_7</t>
  </si>
  <si>
    <t>EP43_7</t>
  </si>
  <si>
    <t>EP44_7</t>
  </si>
  <si>
    <t>EP45_7</t>
  </si>
  <si>
    <t>EP46_7</t>
  </si>
  <si>
    <t>EP47_7</t>
  </si>
  <si>
    <t>EP48_7</t>
  </si>
  <si>
    <t>EP49_7</t>
  </si>
  <si>
    <t>EP50_7</t>
  </si>
  <si>
    <t>EP51_7</t>
  </si>
  <si>
    <t>EP52_7</t>
  </si>
  <si>
    <t>EP53_7</t>
  </si>
  <si>
    <t>EP54_7</t>
  </si>
  <si>
    <t>EP55_7</t>
  </si>
  <si>
    <t>EP56_7</t>
  </si>
  <si>
    <t>EP57_7</t>
  </si>
  <si>
    <t>EP58_7</t>
  </si>
  <si>
    <t>EP59_7</t>
  </si>
  <si>
    <t>EP60_7</t>
  </si>
  <si>
    <t>EP61_7</t>
  </si>
  <si>
    <t>EP62_7</t>
  </si>
  <si>
    <t>EP63_7</t>
  </si>
  <si>
    <t>EP23_8</t>
  </si>
  <si>
    <t>EP24_8</t>
  </si>
  <si>
    <t>EP25_8</t>
  </si>
  <si>
    <t>EP26_8</t>
  </si>
  <si>
    <t>EP27_8</t>
  </si>
  <si>
    <t>EP28_8</t>
  </si>
  <si>
    <t>EP29_8</t>
  </si>
  <si>
    <t>EP30_8</t>
  </si>
  <si>
    <t>EP31_8</t>
  </si>
  <si>
    <t>EP32_8</t>
  </si>
  <si>
    <t>EP33_8</t>
  </si>
  <si>
    <t>EP34_8</t>
  </si>
  <si>
    <t>EP35_8</t>
  </si>
  <si>
    <t>EP36_8</t>
  </si>
  <si>
    <t>EP37_8</t>
  </si>
  <si>
    <t>EP38_8</t>
  </si>
  <si>
    <t>EP39_8</t>
  </si>
  <si>
    <t>EP40_8</t>
  </si>
  <si>
    <t>EP41_8</t>
  </si>
  <si>
    <t>EP42_8</t>
  </si>
  <si>
    <t>EP43_8</t>
  </si>
  <si>
    <t>EP44_8</t>
  </si>
  <si>
    <t>EP45_8</t>
  </si>
  <si>
    <t>EP46_8</t>
  </si>
  <si>
    <t>EP47_8</t>
  </si>
  <si>
    <t>EP48_8</t>
  </si>
  <si>
    <t>EP49_8</t>
  </si>
  <si>
    <t>EP50_8</t>
  </si>
  <si>
    <t>EP51_8</t>
  </si>
  <si>
    <t>EP52_8</t>
  </si>
  <si>
    <t>EP53_8</t>
  </si>
  <si>
    <t>EP54_8</t>
  </si>
  <si>
    <t>EP55_8</t>
  </si>
  <si>
    <t>EP56_8</t>
  </si>
  <si>
    <t>EP57_8</t>
  </si>
  <si>
    <t>EP58_8</t>
  </si>
  <si>
    <t>EP59_8</t>
  </si>
  <si>
    <t>EP60_8</t>
  </si>
  <si>
    <t>EP61_8</t>
  </si>
  <si>
    <t>EP62_8</t>
  </si>
  <si>
    <t>EP63_8</t>
  </si>
  <si>
    <t>EP22_9</t>
  </si>
  <si>
    <t>EP23_9</t>
  </si>
  <si>
    <t>EP24_9</t>
  </si>
  <si>
    <t>EP25_9</t>
  </si>
  <si>
    <t>EP26_9</t>
  </si>
  <si>
    <t>EP27_9</t>
  </si>
  <si>
    <t>EP28_9</t>
  </si>
  <si>
    <t>EP29_9</t>
  </si>
  <si>
    <t>EP30_9</t>
  </si>
  <si>
    <t>EP31_9</t>
  </si>
  <si>
    <t>EP32_9</t>
  </si>
  <si>
    <t>EP33_9</t>
  </si>
  <si>
    <t>EP34_9</t>
  </si>
  <si>
    <t>EP35_9</t>
  </si>
  <si>
    <t>EP36_9</t>
  </si>
  <si>
    <t>EP37_9</t>
  </si>
  <si>
    <t>EP38_9</t>
  </si>
  <si>
    <t>EP39_9</t>
  </si>
  <si>
    <t>EP40_9</t>
  </si>
  <si>
    <t>EP41_9</t>
  </si>
  <si>
    <t>EP42_9</t>
  </si>
  <si>
    <t>EP43_9</t>
  </si>
  <si>
    <t>EP44_9</t>
  </si>
  <si>
    <t>EP45_9</t>
  </si>
  <si>
    <t>EP46_9</t>
  </si>
  <si>
    <t>EP47_9</t>
  </si>
  <si>
    <t>EP48_9</t>
  </si>
  <si>
    <t>EP49_9</t>
  </si>
  <si>
    <t>EP50_9</t>
  </si>
  <si>
    <t>EP51_9</t>
  </si>
  <si>
    <t>EP52_9</t>
  </si>
  <si>
    <t>EP53_9</t>
  </si>
  <si>
    <t>EP54_9</t>
  </si>
  <si>
    <t>EP55_9</t>
  </si>
  <si>
    <t>EP56_9</t>
  </si>
  <si>
    <t>EP57_9</t>
  </si>
  <si>
    <t>EP58_9</t>
  </si>
  <si>
    <t>EP59_9</t>
  </si>
  <si>
    <t>EP60_9</t>
  </si>
  <si>
    <t>EP61_9</t>
  </si>
  <si>
    <t>EP62_9</t>
  </si>
  <si>
    <t>EP63_9</t>
  </si>
  <si>
    <t>EP21_10</t>
  </si>
  <si>
    <t>EP22_10</t>
  </si>
  <si>
    <t>EP23_10</t>
  </si>
  <si>
    <t>EP24_10</t>
  </si>
  <si>
    <t>EP25_10</t>
  </si>
  <si>
    <t>EP26_10</t>
  </si>
  <si>
    <t>EP27_10</t>
  </si>
  <si>
    <t>EP28_10</t>
  </si>
  <si>
    <t>EP29_10</t>
  </si>
  <si>
    <t>EP30_10</t>
  </si>
  <si>
    <t>EP31_10</t>
  </si>
  <si>
    <t>EP32_10</t>
  </si>
  <si>
    <t>EP33_10</t>
  </si>
  <si>
    <t>EP34_10</t>
  </si>
  <si>
    <t>EP35_10</t>
  </si>
  <si>
    <t>EP36_10</t>
  </si>
  <si>
    <t>EP37_10</t>
  </si>
  <si>
    <t>EP38_10</t>
  </si>
  <si>
    <t>EP39_10</t>
  </si>
  <si>
    <t>EP40_10</t>
  </si>
  <si>
    <t>EP41_10</t>
  </si>
  <si>
    <t>EP42_10</t>
  </si>
  <si>
    <t>EP43_10</t>
  </si>
  <si>
    <t>EP44_10</t>
  </si>
  <si>
    <t>EP45_10</t>
  </si>
  <si>
    <t>EP46_10</t>
  </si>
  <si>
    <t>EP47_10</t>
  </si>
  <si>
    <t>EP48_10</t>
  </si>
  <si>
    <t>EP49_10</t>
  </si>
  <si>
    <t>EP50_10</t>
  </si>
  <si>
    <t>EP51_10</t>
  </si>
  <si>
    <t>EP52_10</t>
  </si>
  <si>
    <t>EP53_10</t>
  </si>
  <si>
    <t>EP54_10</t>
  </si>
  <si>
    <t>EP55_10</t>
  </si>
  <si>
    <t>EP56_10</t>
  </si>
  <si>
    <t>EP57_10</t>
  </si>
  <si>
    <t>EP58_10</t>
  </si>
  <si>
    <t>EP59_10</t>
  </si>
  <si>
    <t>EP60_10</t>
  </si>
  <si>
    <t>EP61_10</t>
  </si>
  <si>
    <t>EP62_10</t>
  </si>
  <si>
    <t>EP63_10</t>
  </si>
  <si>
    <t>EP20_11</t>
  </si>
  <si>
    <t>EP21_11</t>
  </si>
  <si>
    <t>EP22_11</t>
  </si>
  <si>
    <t>EP23_11</t>
  </si>
  <si>
    <t>EP24_11</t>
  </si>
  <si>
    <t>EP25_11</t>
  </si>
  <si>
    <t>EP26_11</t>
  </si>
  <si>
    <t>EP27_11</t>
  </si>
  <si>
    <t>EP28_11</t>
  </si>
  <si>
    <t>EP29_11</t>
  </si>
  <si>
    <t>EP30_11</t>
  </si>
  <si>
    <t>EP31_11</t>
  </si>
  <si>
    <t>EP32_11</t>
  </si>
  <si>
    <t>EP33_11</t>
  </si>
  <si>
    <t>EP34_11</t>
  </si>
  <si>
    <t>EP35_11</t>
  </si>
  <si>
    <t>EP36_11</t>
  </si>
  <si>
    <t>EP37_11</t>
  </si>
  <si>
    <t>EP38_11</t>
  </si>
  <si>
    <t>EP39_11</t>
  </si>
  <si>
    <t>EP40_11</t>
  </si>
  <si>
    <t>EP41_11</t>
  </si>
  <si>
    <t>EP42_11</t>
  </si>
  <si>
    <t>EP43_11</t>
  </si>
  <si>
    <t>EP44_11</t>
  </si>
  <si>
    <t>EP45_11</t>
  </si>
  <si>
    <t>EP46_11</t>
  </si>
  <si>
    <t>EP47_11</t>
  </si>
  <si>
    <t>EP48_11</t>
  </si>
  <si>
    <t>EP49_11</t>
  </si>
  <si>
    <t>EP50_11</t>
  </si>
  <si>
    <t>EP51_11</t>
  </si>
  <si>
    <t>EP52_11</t>
  </si>
  <si>
    <t>EP53_11</t>
  </si>
  <si>
    <t>EP54_11</t>
  </si>
  <si>
    <t>EP55_11</t>
  </si>
  <si>
    <t>EP56_11</t>
  </si>
  <si>
    <t>EP57_11</t>
  </si>
  <si>
    <t>EP58_11</t>
  </si>
  <si>
    <t>EP59_11</t>
  </si>
  <si>
    <t>EP60_11</t>
  </si>
  <si>
    <t>EP61_11</t>
  </si>
  <si>
    <t>EP62_11</t>
  </si>
  <si>
    <t>EP63_11</t>
  </si>
  <si>
    <t>EP19_12</t>
  </si>
  <si>
    <t>EP20_12</t>
  </si>
  <si>
    <t>EP21_12</t>
  </si>
  <si>
    <t>EP22_12</t>
  </si>
  <si>
    <t>EP23_12</t>
  </si>
  <si>
    <t>EP24_12</t>
  </si>
  <si>
    <t>EP25_12</t>
  </si>
  <si>
    <t>EP26_12</t>
  </si>
  <si>
    <t>EP27_12</t>
  </si>
  <si>
    <t>EP28_12</t>
  </si>
  <si>
    <t>EP29_12</t>
  </si>
  <si>
    <t>EP30_12</t>
  </si>
  <si>
    <t>EP31_12</t>
  </si>
  <si>
    <t>EP32_12</t>
  </si>
  <si>
    <t>EP33_12</t>
  </si>
  <si>
    <t>EP34_12</t>
  </si>
  <si>
    <t>EP35_12</t>
  </si>
  <si>
    <t>EP36_12</t>
  </si>
  <si>
    <t>EP37_12</t>
  </si>
  <si>
    <t>EP38_12</t>
  </si>
  <si>
    <t>EP39_12</t>
  </si>
  <si>
    <t>EP40_12</t>
  </si>
  <si>
    <t>EP41_12</t>
  </si>
  <si>
    <t>EP42_12</t>
  </si>
  <si>
    <t>EP43_12</t>
  </si>
  <si>
    <t>EP44_12</t>
  </si>
  <si>
    <t>EP45_12</t>
  </si>
  <si>
    <t>EP46_12</t>
  </si>
  <si>
    <t>EP47_12</t>
  </si>
  <si>
    <t>EP48_12</t>
  </si>
  <si>
    <t>EP49_12</t>
  </si>
  <si>
    <t>EP50_12</t>
  </si>
  <si>
    <t>EP51_12</t>
  </si>
  <si>
    <t>EP52_12</t>
  </si>
  <si>
    <t>EP53_12</t>
  </si>
  <si>
    <t>EP54_12</t>
  </si>
  <si>
    <t>EP55_12</t>
  </si>
  <si>
    <t>EP56_12</t>
  </si>
  <si>
    <t>EP57_12</t>
  </si>
  <si>
    <t>EP58_12</t>
  </si>
  <si>
    <t>EP59_12</t>
  </si>
  <si>
    <t>EP60_12</t>
  </si>
  <si>
    <t>EP61_12</t>
  </si>
  <si>
    <t>EP62_12</t>
  </si>
  <si>
    <t>EP63_12</t>
  </si>
  <si>
    <t>EP18_13</t>
  </si>
  <si>
    <t>EP19_13</t>
  </si>
  <si>
    <t>EP20_13</t>
  </si>
  <si>
    <t>EP21_13</t>
  </si>
  <si>
    <t>EP22_13</t>
  </si>
  <si>
    <t>EP23_13</t>
  </si>
  <si>
    <t>EP24_13</t>
  </si>
  <si>
    <t>EP25_13</t>
  </si>
  <si>
    <t>EP26_13</t>
  </si>
  <si>
    <t>EP27_13</t>
  </si>
  <si>
    <t>EP28_13</t>
  </si>
  <si>
    <t>EP29_13</t>
  </si>
  <si>
    <t>EP30_13</t>
  </si>
  <si>
    <t>EP31_13</t>
  </si>
  <si>
    <t>EP32_13</t>
  </si>
  <si>
    <t>EP33_13</t>
  </si>
  <si>
    <t>EP34_13</t>
  </si>
  <si>
    <t>EP35_13</t>
  </si>
  <si>
    <t>EP36_13</t>
  </si>
  <si>
    <t>EP37_13</t>
  </si>
  <si>
    <t>EP38_13</t>
  </si>
  <si>
    <t>EP39_13</t>
  </si>
  <si>
    <t>EP40_13</t>
  </si>
  <si>
    <t>EP41_13</t>
  </si>
  <si>
    <t>EP42_13</t>
  </si>
  <si>
    <t>EP43_13</t>
  </si>
  <si>
    <t>EP44_13</t>
  </si>
  <si>
    <t>EP45_13</t>
  </si>
  <si>
    <t>EP46_13</t>
  </si>
  <si>
    <t>EP47_13</t>
  </si>
  <si>
    <t>EP48_13</t>
  </si>
  <si>
    <t>EP49_13</t>
  </si>
  <si>
    <t>EP50_13</t>
  </si>
  <si>
    <t>EP51_13</t>
  </si>
  <si>
    <t>EP52_13</t>
  </si>
  <si>
    <t>EP53_13</t>
  </si>
  <si>
    <t>EP54_13</t>
  </si>
  <si>
    <t>EP55_13</t>
  </si>
  <si>
    <t>EP56_13</t>
  </si>
  <si>
    <t>EP57_13</t>
  </si>
  <si>
    <t>EP58_13</t>
  </si>
  <si>
    <t>EP59_13</t>
  </si>
  <si>
    <t>EP60_13</t>
  </si>
  <si>
    <t>EP61_13</t>
  </si>
  <si>
    <t>EP62_13</t>
  </si>
  <si>
    <t>EP63_13</t>
  </si>
  <si>
    <t>EP17_14</t>
  </si>
  <si>
    <t>EP18_14</t>
  </si>
  <si>
    <t>EP19_14</t>
  </si>
  <si>
    <t>EP20_14</t>
  </si>
  <si>
    <t>EP21_14</t>
  </si>
  <si>
    <t>EP22_14</t>
  </si>
  <si>
    <t>EP23_14</t>
  </si>
  <si>
    <t>EP24_14</t>
  </si>
  <si>
    <t>EP25_14</t>
  </si>
  <si>
    <t>EP26_14</t>
  </si>
  <si>
    <t>EP27_14</t>
  </si>
  <si>
    <t>EP28_14</t>
  </si>
  <si>
    <t>EP29_14</t>
  </si>
  <si>
    <t>EP30_14</t>
  </si>
  <si>
    <t>EP31_14</t>
  </si>
  <si>
    <t>EP32_14</t>
  </si>
  <si>
    <t>EP33_14</t>
  </si>
  <si>
    <t>EP34_14</t>
  </si>
  <si>
    <t>EP35_14</t>
  </si>
  <si>
    <t>EP36_14</t>
  </si>
  <si>
    <t>EP37_14</t>
  </si>
  <si>
    <t>EP38_14</t>
  </si>
  <si>
    <t>EP39_14</t>
  </si>
  <si>
    <t>EP40_14</t>
  </si>
  <si>
    <t>EP41_14</t>
  </si>
  <si>
    <t>EP42_14</t>
  </si>
  <si>
    <t>EP43_14</t>
  </si>
  <si>
    <t>EP44_14</t>
  </si>
  <si>
    <t>EP45_14</t>
  </si>
  <si>
    <t>EP46_14</t>
  </si>
  <si>
    <t>EP47_14</t>
  </si>
  <si>
    <t>EP48_14</t>
  </si>
  <si>
    <t>EP49_14</t>
  </si>
  <si>
    <t>EP50_14</t>
  </si>
  <si>
    <t>EP51_14</t>
  </si>
  <si>
    <t>EP52_14</t>
  </si>
  <si>
    <t>EP53_14</t>
  </si>
  <si>
    <t>EP54_14</t>
  </si>
  <si>
    <t>EP55_14</t>
  </si>
  <si>
    <t>EP56_14</t>
  </si>
  <si>
    <t>EP57_14</t>
  </si>
  <si>
    <t>EP58_14</t>
  </si>
  <si>
    <t>EP59_14</t>
  </si>
  <si>
    <t>EP60_14</t>
  </si>
  <si>
    <t>EP61_14</t>
  </si>
  <si>
    <t>EP62_14</t>
  </si>
  <si>
    <t>EP63_14</t>
  </si>
  <si>
    <t>EP16_15</t>
  </si>
  <si>
    <t>EP17_15</t>
  </si>
  <si>
    <t>EP18_15</t>
  </si>
  <si>
    <t>EP19_15</t>
  </si>
  <si>
    <t>EP20_15</t>
  </si>
  <si>
    <t>EP21_15</t>
  </si>
  <si>
    <t>EP22_15</t>
  </si>
  <si>
    <t>EP23_15</t>
  </si>
  <si>
    <t>EP24_15</t>
  </si>
  <si>
    <t>EP25_15</t>
  </si>
  <si>
    <t>EP26_15</t>
  </si>
  <si>
    <t>EP27_15</t>
  </si>
  <si>
    <t>EP28_15</t>
  </si>
  <si>
    <t>EP29_15</t>
  </si>
  <si>
    <t>EP30_15</t>
  </si>
  <si>
    <t>EP31_15</t>
  </si>
  <si>
    <t>EP32_15</t>
  </si>
  <si>
    <t>EP33_15</t>
  </si>
  <si>
    <t>EP34_15</t>
  </si>
  <si>
    <t>EP35_15</t>
  </si>
  <si>
    <t>EP36_15</t>
  </si>
  <si>
    <t>EP37_15</t>
  </si>
  <si>
    <t>EP38_15</t>
  </si>
  <si>
    <t>EP39_15</t>
  </si>
  <si>
    <t>EP40_15</t>
  </si>
  <si>
    <t>EP41_15</t>
  </si>
  <si>
    <t>EP42_15</t>
  </si>
  <si>
    <t>EP43_15</t>
  </si>
  <si>
    <t>EP44_15</t>
  </si>
  <si>
    <t>EP45_15</t>
  </si>
  <si>
    <t>EP46_15</t>
  </si>
  <si>
    <t>EP47_15</t>
  </si>
  <si>
    <t>EP48_15</t>
  </si>
  <si>
    <t>EP49_15</t>
  </si>
  <si>
    <t>EP50_15</t>
  </si>
  <si>
    <t>EP51_15</t>
  </si>
  <si>
    <t>EP52_15</t>
  </si>
  <si>
    <t>EP53_15</t>
  </si>
  <si>
    <t>EP54_15</t>
  </si>
  <si>
    <t>EP55_15</t>
  </si>
  <si>
    <t>EP56_15</t>
  </si>
  <si>
    <t>EP57_15</t>
  </si>
  <si>
    <t>EP58_15</t>
  </si>
  <si>
    <t>EP59_15</t>
  </si>
  <si>
    <t>EP60_15</t>
  </si>
  <si>
    <t>EP61_15</t>
  </si>
  <si>
    <t>EP62_15</t>
  </si>
  <si>
    <t>EP63_15</t>
  </si>
  <si>
    <t>EP15_16</t>
  </si>
  <si>
    <t>EP16_16</t>
  </si>
  <si>
    <t>EP17_16</t>
  </si>
  <si>
    <t>EP18_16</t>
  </si>
  <si>
    <t>EP19_16</t>
  </si>
  <si>
    <t>EP20_16</t>
  </si>
  <si>
    <t>EP21_16</t>
  </si>
  <si>
    <t>EP22_16</t>
  </si>
  <si>
    <t>EP23_16</t>
  </si>
  <si>
    <t>EP24_16</t>
  </si>
  <si>
    <t>EP25_16</t>
  </si>
  <si>
    <t>EP26_16</t>
  </si>
  <si>
    <t>EP27_16</t>
  </si>
  <si>
    <t>EP28_16</t>
  </si>
  <si>
    <t>EP29_16</t>
  </si>
  <si>
    <t>EP30_16</t>
  </si>
  <si>
    <t>EP31_16</t>
  </si>
  <si>
    <t>EP32_16</t>
  </si>
  <si>
    <t>EP33_16</t>
  </si>
  <si>
    <t>EP34_16</t>
  </si>
  <si>
    <t>EP35_16</t>
  </si>
  <si>
    <t>EP36_16</t>
  </si>
  <si>
    <t>EP37_16</t>
  </si>
  <si>
    <t>EP38_16</t>
  </si>
  <si>
    <t>EP39_16</t>
  </si>
  <si>
    <t>EP40_16</t>
  </si>
  <si>
    <t>EP41_16</t>
  </si>
  <si>
    <t>EP42_16</t>
  </si>
  <si>
    <t>EP43_16</t>
  </si>
  <si>
    <t>EP44_16</t>
  </si>
  <si>
    <t>EP45_16</t>
  </si>
  <si>
    <t>EP46_16</t>
  </si>
  <si>
    <t>EP47_16</t>
  </si>
  <si>
    <t>EP48_16</t>
  </si>
  <si>
    <t>EP49_16</t>
  </si>
  <si>
    <t>EP50_16</t>
  </si>
  <si>
    <t>EP51_16</t>
  </si>
  <si>
    <t>EP52_16</t>
  </si>
  <si>
    <t>EP53_16</t>
  </si>
  <si>
    <t>EP54_16</t>
  </si>
  <si>
    <t>EP55_16</t>
  </si>
  <si>
    <t>EP56_16</t>
  </si>
  <si>
    <t>EP57_16</t>
  </si>
  <si>
    <t>EP58_16</t>
  </si>
  <si>
    <t>EP59_16</t>
  </si>
  <si>
    <t>EP60_16</t>
  </si>
  <si>
    <t>EP61_16</t>
  </si>
  <si>
    <t>EP62_16</t>
  </si>
  <si>
    <t>EP63_16</t>
  </si>
  <si>
    <t>EP14_17</t>
  </si>
  <si>
    <t>EP15_17</t>
  </si>
  <si>
    <t>EP16_17</t>
  </si>
  <si>
    <t>EP17_17</t>
  </si>
  <si>
    <t>EP18_17</t>
  </si>
  <si>
    <t>EP19_17</t>
  </si>
  <si>
    <t>EP20_17</t>
  </si>
  <si>
    <t>EP21_17</t>
  </si>
  <si>
    <t>EP22_17</t>
  </si>
  <si>
    <t>EP23_17</t>
  </si>
  <si>
    <t>EP24_17</t>
  </si>
  <si>
    <t>EP25_17</t>
  </si>
  <si>
    <t>EP26_17</t>
  </si>
  <si>
    <t>EP27_17</t>
  </si>
  <si>
    <t>EP28_17</t>
  </si>
  <si>
    <t>EP29_17</t>
  </si>
  <si>
    <t>EP30_17</t>
  </si>
  <si>
    <t>EP31_17</t>
  </si>
  <si>
    <t>EP32_17</t>
  </si>
  <si>
    <t>EP33_17</t>
  </si>
  <si>
    <t>EP34_17</t>
  </si>
  <si>
    <t>EP35_17</t>
  </si>
  <si>
    <t>EP36_17</t>
  </si>
  <si>
    <t>EP37_17</t>
  </si>
  <si>
    <t>EP38_17</t>
  </si>
  <si>
    <t>EP39_17</t>
  </si>
  <si>
    <t>EP40_17</t>
  </si>
  <si>
    <t>EP41_17</t>
  </si>
  <si>
    <t>EP42_17</t>
  </si>
  <si>
    <t>EP43_17</t>
  </si>
  <si>
    <t>EP44_17</t>
  </si>
  <si>
    <t>EP45_17</t>
  </si>
  <si>
    <t>EP46_17</t>
  </si>
  <si>
    <t>EP47_17</t>
  </si>
  <si>
    <t>EP48_17</t>
  </si>
  <si>
    <t>EP49_17</t>
  </si>
  <si>
    <t>EP50_17</t>
  </si>
  <si>
    <t>EP51_17</t>
  </si>
  <si>
    <t>EP52_17</t>
  </si>
  <si>
    <t>EP53_17</t>
  </si>
  <si>
    <t>EP54_17</t>
  </si>
  <si>
    <t>EP55_17</t>
  </si>
  <si>
    <t>EP56_17</t>
  </si>
  <si>
    <t>EP57_17</t>
  </si>
  <si>
    <t>EP58_17</t>
  </si>
  <si>
    <t>EP59_17</t>
  </si>
  <si>
    <t>EP60_17</t>
  </si>
  <si>
    <t>EP61_17</t>
  </si>
  <si>
    <t>EP62_17</t>
  </si>
  <si>
    <t>EP63_17</t>
  </si>
  <si>
    <t>EP13_18</t>
  </si>
  <si>
    <t>EP14_18</t>
  </si>
  <si>
    <t>EP15_18</t>
  </si>
  <si>
    <t>EP16_18</t>
  </si>
  <si>
    <t>EP17_18</t>
  </si>
  <si>
    <t>EP18_18</t>
  </si>
  <si>
    <t>EP19_18</t>
  </si>
  <si>
    <t>EP20_18</t>
  </si>
  <si>
    <t>EP21_18</t>
  </si>
  <si>
    <t>EP22_18</t>
  </si>
  <si>
    <t>EP23_18</t>
  </si>
  <si>
    <t>EP24_18</t>
  </si>
  <si>
    <t>EP25_18</t>
  </si>
  <si>
    <t>EP26_18</t>
  </si>
  <si>
    <t>EP27_18</t>
  </si>
  <si>
    <t>EP28_18</t>
  </si>
  <si>
    <t>EP29_18</t>
  </si>
  <si>
    <t>EP30_18</t>
  </si>
  <si>
    <t>EP31_18</t>
  </si>
  <si>
    <t>EP32_18</t>
  </si>
  <si>
    <t>EP33_18</t>
  </si>
  <si>
    <t>EP34_18</t>
  </si>
  <si>
    <t>EP35_18</t>
  </si>
  <si>
    <t>EP36_18</t>
  </si>
  <si>
    <t>EP37_18</t>
  </si>
  <si>
    <t>EP38_18</t>
  </si>
  <si>
    <t>EP39_18</t>
  </si>
  <si>
    <t>EP40_18</t>
  </si>
  <si>
    <t>EP41_18</t>
  </si>
  <si>
    <t>EP42_18</t>
  </si>
  <si>
    <t>EP43_18</t>
  </si>
  <si>
    <t>EP44_18</t>
  </si>
  <si>
    <t>EP45_18</t>
  </si>
  <si>
    <t>EP46_18</t>
  </si>
  <si>
    <t>EP47_18</t>
  </si>
  <si>
    <t>EP48_18</t>
  </si>
  <si>
    <t>EP49_18</t>
  </si>
  <si>
    <t>EP50_18</t>
  </si>
  <si>
    <t>EP51_18</t>
  </si>
  <si>
    <t>EP52_18</t>
  </si>
  <si>
    <t>EP53_18</t>
  </si>
  <si>
    <t>EP54_18</t>
  </si>
  <si>
    <t>EP55_18</t>
  </si>
  <si>
    <t>EP56_18</t>
  </si>
  <si>
    <t>EP57_18</t>
  </si>
  <si>
    <t>EP58_18</t>
  </si>
  <si>
    <t>EP59_18</t>
  </si>
  <si>
    <t>EP60_18</t>
  </si>
  <si>
    <t>EP61_18</t>
  </si>
  <si>
    <t>EP62_18</t>
  </si>
  <si>
    <t>EP63_18</t>
  </si>
  <si>
    <t>EP12_19</t>
  </si>
  <si>
    <t>EP13_19</t>
  </si>
  <si>
    <t>EP14_19</t>
  </si>
  <si>
    <t>EP15_19</t>
  </si>
  <si>
    <t>EP16_19</t>
  </si>
  <si>
    <t>EP17_19</t>
  </si>
  <si>
    <t>EP18_19</t>
  </si>
  <si>
    <t>EP19_19</t>
  </si>
  <si>
    <t>EP20_19</t>
  </si>
  <si>
    <t>EP21_19</t>
  </si>
  <si>
    <t>EP22_19</t>
  </si>
  <si>
    <t>EP23_19</t>
  </si>
  <si>
    <t>EP24_19</t>
  </si>
  <si>
    <t>EP25_19</t>
  </si>
  <si>
    <t>EP26_19</t>
  </si>
  <si>
    <t>EP27_19</t>
  </si>
  <si>
    <t>EP28_19</t>
  </si>
  <si>
    <t>EP29_19</t>
  </si>
  <si>
    <t>EP30_19</t>
  </si>
  <si>
    <t>EP31_19</t>
  </si>
  <si>
    <t>EP32_19</t>
  </si>
  <si>
    <t>EP33_19</t>
  </si>
  <si>
    <t>EP34_19</t>
  </si>
  <si>
    <t>EP35_19</t>
  </si>
  <si>
    <t>EP36_19</t>
  </si>
  <si>
    <t>EP37_19</t>
  </si>
  <si>
    <t>EP38_19</t>
  </si>
  <si>
    <t>EP39_19</t>
  </si>
  <si>
    <t>EP40_19</t>
  </si>
  <si>
    <t>EP41_19</t>
  </si>
  <si>
    <t>EP42_19</t>
  </si>
  <si>
    <t>EP43_19</t>
  </si>
  <si>
    <t>EP44_19</t>
  </si>
  <si>
    <t>EP45_19</t>
  </si>
  <si>
    <t>EP46_19</t>
  </si>
  <si>
    <t>EP47_19</t>
  </si>
  <si>
    <t>EP48_19</t>
  </si>
  <si>
    <t>EP49_19</t>
  </si>
  <si>
    <t>EP50_19</t>
  </si>
  <si>
    <t>EP51_19</t>
  </si>
  <si>
    <t>EP52_19</t>
  </si>
  <si>
    <t>EP53_19</t>
  </si>
  <si>
    <t>EP54_19</t>
  </si>
  <si>
    <t>EP55_19</t>
  </si>
  <si>
    <t>EP56_19</t>
  </si>
  <si>
    <t>EP57_19</t>
  </si>
  <si>
    <t>EP58_19</t>
  </si>
  <si>
    <t>EP59_19</t>
  </si>
  <si>
    <t>EP60_19</t>
  </si>
  <si>
    <t>EP61_19</t>
  </si>
  <si>
    <t>EP62_19</t>
  </si>
  <si>
    <t>EP63_19</t>
  </si>
  <si>
    <t>EP11_20</t>
  </si>
  <si>
    <t>EP12_20</t>
  </si>
  <si>
    <t>EP13_20</t>
  </si>
  <si>
    <t>EP14_20</t>
  </si>
  <si>
    <t>EP15_20</t>
  </si>
  <si>
    <t>EP16_20</t>
  </si>
  <si>
    <t>EP17_20</t>
  </si>
  <si>
    <t>EP18_20</t>
  </si>
  <si>
    <t>EP19_20</t>
  </si>
  <si>
    <t>EP20_20</t>
  </si>
  <si>
    <t>EP21_20</t>
  </si>
  <si>
    <t>EP22_20</t>
  </si>
  <si>
    <t>EP23_20</t>
  </si>
  <si>
    <t>EP24_20</t>
  </si>
  <si>
    <t>EP25_20</t>
  </si>
  <si>
    <t>EP26_20</t>
  </si>
  <si>
    <t>EP27_20</t>
  </si>
  <si>
    <t>EP28_20</t>
  </si>
  <si>
    <t>EP29_20</t>
  </si>
  <si>
    <t>EP30_20</t>
  </si>
  <si>
    <t>EP31_20</t>
  </si>
  <si>
    <t>EP32_20</t>
  </si>
  <si>
    <t>EP33_20</t>
  </si>
  <si>
    <t>EP34_20</t>
  </si>
  <si>
    <t>EP35_20</t>
  </si>
  <si>
    <t>EP36_20</t>
  </si>
  <si>
    <t>EP37_20</t>
  </si>
  <si>
    <t>EP38_20</t>
  </si>
  <si>
    <t>EP39_20</t>
  </si>
  <si>
    <t>EP40_20</t>
  </si>
  <si>
    <t>EP41_20</t>
  </si>
  <si>
    <t>EP42_20</t>
  </si>
  <si>
    <t>EP43_20</t>
  </si>
  <si>
    <t>EP44_20</t>
  </si>
  <si>
    <t>EP45_20</t>
  </si>
  <si>
    <t>EP46_20</t>
  </si>
  <si>
    <t>EP47_20</t>
  </si>
  <si>
    <t>EP48_20</t>
  </si>
  <si>
    <t>EP49_20</t>
  </si>
  <si>
    <t>EP50_20</t>
  </si>
  <si>
    <t>EP51_20</t>
  </si>
  <si>
    <t>EP52_20</t>
  </si>
  <si>
    <t>EP13_30</t>
  </si>
  <si>
    <t>EP23_30</t>
  </si>
  <si>
    <t>EP33_30</t>
  </si>
  <si>
    <t>EP43_30</t>
  </si>
  <si>
    <t>EP53_20</t>
  </si>
  <si>
    <t>EP54_20</t>
  </si>
  <si>
    <t>EP55_20</t>
  </si>
  <si>
    <t>EP56_20</t>
  </si>
  <si>
    <t>EP57_20</t>
  </si>
  <si>
    <t>EP58_20</t>
  </si>
  <si>
    <t>EP59_20</t>
  </si>
  <si>
    <t>EP60_20</t>
  </si>
  <si>
    <t>EP61_20</t>
  </si>
  <si>
    <t>EP62_20</t>
  </si>
  <si>
    <t>EP63_20</t>
  </si>
  <si>
    <t>EP10_21</t>
  </si>
  <si>
    <t>EP11_21</t>
  </si>
  <si>
    <t>EP12_21</t>
  </si>
  <si>
    <t>EP13_21</t>
  </si>
  <si>
    <t>EP14_21</t>
  </si>
  <si>
    <t>EP15_21</t>
  </si>
  <si>
    <t>EP16_21</t>
  </si>
  <si>
    <t>EP17_21</t>
  </si>
  <si>
    <t>EP18_21</t>
  </si>
  <si>
    <t>EP19_21</t>
  </si>
  <si>
    <t>EP20_21</t>
  </si>
  <si>
    <t>EP21_21</t>
  </si>
  <si>
    <t>EP22_21</t>
  </si>
  <si>
    <t>EP23_21</t>
  </si>
  <si>
    <t>EP24_21</t>
  </si>
  <si>
    <t>EP25_21</t>
  </si>
  <si>
    <t>EP26_21</t>
  </si>
  <si>
    <t>EP27_21</t>
  </si>
  <si>
    <t>EP28_21</t>
  </si>
  <si>
    <t>EP29_21</t>
  </si>
  <si>
    <t>EP30_21</t>
  </si>
  <si>
    <t>EP31_21</t>
  </si>
  <si>
    <t>EP32_21</t>
  </si>
  <si>
    <t>EP33_21</t>
  </si>
  <si>
    <t>EP34_21</t>
  </si>
  <si>
    <t>EP35_21</t>
  </si>
  <si>
    <t>EP36_21</t>
  </si>
  <si>
    <t>EP37_21</t>
  </si>
  <si>
    <t>EP38_21</t>
  </si>
  <si>
    <t>EP39_21</t>
  </si>
  <si>
    <t>EP40_21</t>
  </si>
  <si>
    <t>EP41_21</t>
  </si>
  <si>
    <t>EP42_21</t>
  </si>
  <si>
    <t>EP43_21</t>
  </si>
  <si>
    <t>EP44_21</t>
  </si>
  <si>
    <t>EP45_21</t>
  </si>
  <si>
    <t>EP46_21</t>
  </si>
  <si>
    <t>EP47_21</t>
  </si>
  <si>
    <t>EP48_21</t>
  </si>
  <si>
    <t>EP49_21</t>
  </si>
  <si>
    <t>EP50_21</t>
  </si>
  <si>
    <t>EP51_21</t>
  </si>
  <si>
    <t>EP52_21</t>
  </si>
  <si>
    <t>EP53_21</t>
  </si>
  <si>
    <t>EP54_21</t>
  </si>
  <si>
    <t>EP55_21</t>
  </si>
  <si>
    <t>EP56_21</t>
  </si>
  <si>
    <t>EP57_21</t>
  </si>
  <si>
    <t>EP58_21</t>
  </si>
  <si>
    <t>EP59_21</t>
  </si>
  <si>
    <t>EP60_21</t>
  </si>
  <si>
    <t>EP61_21</t>
  </si>
  <si>
    <t>EP62_21</t>
  </si>
  <si>
    <t>EP63_21</t>
  </si>
  <si>
    <t>EP9_22</t>
  </si>
  <si>
    <t>EP10_22</t>
  </si>
  <si>
    <t>EP11_22</t>
  </si>
  <si>
    <t>EP12_22</t>
  </si>
  <si>
    <t>EP13_22</t>
  </si>
  <si>
    <t>EP14_22</t>
  </si>
  <si>
    <t>EP15_22</t>
  </si>
  <si>
    <t>EP16_22</t>
  </si>
  <si>
    <t>EP17_22</t>
  </si>
  <si>
    <t>EP18_22</t>
  </si>
  <si>
    <t>EP19_22</t>
  </si>
  <si>
    <t>EP20_22</t>
  </si>
  <si>
    <t>EP21_22</t>
  </si>
  <si>
    <t>EP22_22</t>
  </si>
  <si>
    <t>EP23_22</t>
  </si>
  <si>
    <t>EP24_22</t>
  </si>
  <si>
    <t>EP25_22</t>
  </si>
  <si>
    <t>EP26_22</t>
  </si>
  <si>
    <t>EP27_22</t>
  </si>
  <si>
    <t>EP28_22</t>
  </si>
  <si>
    <t>EP29_22</t>
  </si>
  <si>
    <t>EP30_22</t>
  </si>
  <si>
    <t>EP31_22</t>
  </si>
  <si>
    <t>EP32_22</t>
  </si>
  <si>
    <t>EP33_22</t>
  </si>
  <si>
    <t>EP34_22</t>
  </si>
  <si>
    <t>EP35_22</t>
  </si>
  <si>
    <t>EP36_22</t>
  </si>
  <si>
    <t>EP37_22</t>
  </si>
  <si>
    <t>EP38_22</t>
  </si>
  <si>
    <t>EP39_22</t>
  </si>
  <si>
    <t>EP40_22</t>
  </si>
  <si>
    <t>EP41_22</t>
  </si>
  <si>
    <t>EP42_22</t>
  </si>
  <si>
    <t>EP43_22</t>
  </si>
  <si>
    <t>EP44_22</t>
  </si>
  <si>
    <t>EP45_22</t>
  </si>
  <si>
    <t>EP46_22</t>
  </si>
  <si>
    <t>EP47_22</t>
  </si>
  <si>
    <t>EP48_22</t>
  </si>
  <si>
    <t>EP49_22</t>
  </si>
  <si>
    <t>EP50_22</t>
  </si>
  <si>
    <t>EP51_22</t>
  </si>
  <si>
    <t>EP52_22</t>
  </si>
  <si>
    <t>EP53_22</t>
  </si>
  <si>
    <t>EP54_22</t>
  </si>
  <si>
    <t>EP55_22</t>
  </si>
  <si>
    <t>EP56_22</t>
  </si>
  <si>
    <t>EP57_22</t>
  </si>
  <si>
    <t>EP58_22</t>
  </si>
  <si>
    <t>EP59_22</t>
  </si>
  <si>
    <t>EP60_22</t>
  </si>
  <si>
    <t>EP61_22</t>
  </si>
  <si>
    <t>EP62_22</t>
  </si>
  <si>
    <t>EP63_22</t>
  </si>
  <si>
    <t>EP8_23</t>
  </si>
  <si>
    <t>EP9_23</t>
  </si>
  <si>
    <t>EP10_23</t>
  </si>
  <si>
    <t>EP11_23</t>
  </si>
  <si>
    <t>EP12_23</t>
  </si>
  <si>
    <t>EP13_23</t>
  </si>
  <si>
    <t>EP14_23</t>
  </si>
  <si>
    <t>EP15_23</t>
  </si>
  <si>
    <t>EP16_23</t>
  </si>
  <si>
    <t>EP17_23</t>
  </si>
  <si>
    <t>EP18_23</t>
  </si>
  <si>
    <t>EP19_23</t>
  </si>
  <si>
    <t>EP20_23</t>
  </si>
  <si>
    <t>EP21_23</t>
  </si>
  <si>
    <t>EP22_23</t>
  </si>
  <si>
    <t>EP23_23</t>
  </si>
  <si>
    <t>EP24_23</t>
  </si>
  <si>
    <t>EP25_23</t>
  </si>
  <si>
    <t>EP26_23</t>
  </si>
  <si>
    <t>EP27_23</t>
  </si>
  <si>
    <t>EP28_23</t>
  </si>
  <si>
    <t>EP29_23</t>
  </si>
  <si>
    <t>EP30_23</t>
  </si>
  <si>
    <t>EP31_23</t>
  </si>
  <si>
    <t>EP32_23</t>
  </si>
  <si>
    <t>EP33_23</t>
  </si>
  <si>
    <t>EP34_23</t>
  </si>
  <si>
    <t>EP35_23</t>
  </si>
  <si>
    <t>EP36_23</t>
  </si>
  <si>
    <t>EP37_23</t>
  </si>
  <si>
    <t>EP38_23</t>
  </si>
  <si>
    <t>EP39_23</t>
  </si>
  <si>
    <t>EP40_23</t>
  </si>
  <si>
    <t>EP41_23</t>
  </si>
  <si>
    <t>EP42_23</t>
  </si>
  <si>
    <t>EP43_23</t>
  </si>
  <si>
    <t>EP44_23</t>
  </si>
  <si>
    <t>EP45_23</t>
  </si>
  <si>
    <t>EP46_23</t>
  </si>
  <si>
    <t>EP47_23</t>
  </si>
  <si>
    <t>EP48_23</t>
  </si>
  <si>
    <t>EP49_23</t>
  </si>
  <si>
    <t>EP50_23</t>
  </si>
  <si>
    <t>EP51_23</t>
  </si>
  <si>
    <t>EP52_23</t>
  </si>
  <si>
    <t>EP53_23</t>
  </si>
  <si>
    <t>EP54_23</t>
  </si>
  <si>
    <t>EP55_23</t>
  </si>
  <si>
    <t>EP56_23</t>
  </si>
  <si>
    <t>EP57_23</t>
  </si>
  <si>
    <t>EP58_23</t>
  </si>
  <si>
    <t>EP59_23</t>
  </si>
  <si>
    <t>EP60_23</t>
  </si>
  <si>
    <t>EP61_23</t>
  </si>
  <si>
    <t>EP62_23</t>
  </si>
  <si>
    <t>EP63_23</t>
  </si>
  <si>
    <t>EP7_24</t>
  </si>
  <si>
    <t>EP8_24</t>
  </si>
  <si>
    <t>EP9_24</t>
  </si>
  <si>
    <t>EP10_24</t>
  </si>
  <si>
    <t>EP11_24</t>
  </si>
  <si>
    <t>EP12_24</t>
  </si>
  <si>
    <t>EP13_24</t>
  </si>
  <si>
    <t>EP14_24</t>
  </si>
  <si>
    <t>EP15_24</t>
  </si>
  <si>
    <t>EP16_24</t>
  </si>
  <si>
    <t>EP17_24</t>
  </si>
  <si>
    <t>EP18_24</t>
  </si>
  <si>
    <t>EP19_24</t>
  </si>
  <si>
    <t>EP20_24</t>
  </si>
  <si>
    <t>EP21_24</t>
  </si>
  <si>
    <t>EP22_24</t>
  </si>
  <si>
    <t>EP23_24</t>
  </si>
  <si>
    <t>EP24_24</t>
  </si>
  <si>
    <t>EP25_24</t>
  </si>
  <si>
    <t>EP26_24</t>
  </si>
  <si>
    <t>EP27_24</t>
  </si>
  <si>
    <t>EP28_24</t>
  </si>
  <si>
    <t>EP29_24</t>
  </si>
  <si>
    <t>EP30_24</t>
  </si>
  <si>
    <t>EP31_24</t>
  </si>
  <si>
    <t>EP32_24</t>
  </si>
  <si>
    <t>EP33_24</t>
  </si>
  <si>
    <t>EP34_24</t>
  </si>
  <si>
    <t>EP35_24</t>
  </si>
  <si>
    <t>EP36_24</t>
  </si>
  <si>
    <t>EP37_24</t>
  </si>
  <si>
    <t>EP38_24</t>
  </si>
  <si>
    <t>EP39_24</t>
  </si>
  <si>
    <t>EP40_24</t>
  </si>
  <si>
    <t>EP41_24</t>
  </si>
  <si>
    <t>EP42_24</t>
  </si>
  <si>
    <t>EP43_24</t>
  </si>
  <si>
    <t>EP44_24</t>
  </si>
  <si>
    <t>EP45_24</t>
  </si>
  <si>
    <t>EP46_24</t>
  </si>
  <si>
    <t>EP47_24</t>
  </si>
  <si>
    <t>EP48_24</t>
  </si>
  <si>
    <t>EP49_24</t>
  </si>
  <si>
    <t>EP50_24</t>
  </si>
  <si>
    <t>EP51_24</t>
  </si>
  <si>
    <t>EP52_24</t>
  </si>
  <si>
    <t>EP53_24</t>
  </si>
  <si>
    <t>EP54_24</t>
  </si>
  <si>
    <t>EP55_24</t>
  </si>
  <si>
    <t>EP56_24</t>
  </si>
  <si>
    <t>EP57_24</t>
  </si>
  <si>
    <t>EP58_24</t>
  </si>
  <si>
    <t>EP59_24</t>
  </si>
  <si>
    <t>EP60_24</t>
  </si>
  <si>
    <t>EP61_24</t>
  </si>
  <si>
    <t>EP62_24</t>
  </si>
  <si>
    <t>EP63_24</t>
  </si>
  <si>
    <t>EP6_25</t>
  </si>
  <si>
    <t>EP7_25</t>
  </si>
  <si>
    <t>EP8_25</t>
  </si>
  <si>
    <t>EP9_25</t>
  </si>
  <si>
    <t>EP10_25</t>
  </si>
  <si>
    <t>EP11_25</t>
  </si>
  <si>
    <t>EP12_25</t>
  </si>
  <si>
    <t>EP13_25</t>
  </si>
  <si>
    <t>EP14_25</t>
  </si>
  <si>
    <t>EP15_25</t>
  </si>
  <si>
    <t>EP16_25</t>
  </si>
  <si>
    <t>EP17_25</t>
  </si>
  <si>
    <t>EP18_25</t>
  </si>
  <si>
    <t>EP19_25</t>
  </si>
  <si>
    <t>EP20_25</t>
  </si>
  <si>
    <t>EP21_25</t>
  </si>
  <si>
    <t>EP22_25</t>
  </si>
  <si>
    <t>EP23_25</t>
  </si>
  <si>
    <t>EP24_25</t>
  </si>
  <si>
    <t>EP25_25</t>
  </si>
  <si>
    <t>EP26_25</t>
  </si>
  <si>
    <t>EP27_25</t>
  </si>
  <si>
    <t>EP28_25</t>
  </si>
  <si>
    <t>EP29_25</t>
  </si>
  <si>
    <t>EP30_25</t>
  </si>
  <si>
    <t>EP31_25</t>
  </si>
  <si>
    <t>EP32_25</t>
  </si>
  <si>
    <t>EP33_25</t>
  </si>
  <si>
    <t>EP34_25</t>
  </si>
  <si>
    <t>EP35_25</t>
  </si>
  <si>
    <t>EP36_25</t>
  </si>
  <si>
    <t>EP37_25</t>
  </si>
  <si>
    <t>EP38_25</t>
  </si>
  <si>
    <t>EP39_25</t>
  </si>
  <si>
    <t>EP40_25</t>
  </si>
  <si>
    <t>EP41_25</t>
  </si>
  <si>
    <t>EP42_25</t>
  </si>
  <si>
    <t>EP43_25</t>
  </si>
  <si>
    <t>EP44_25</t>
  </si>
  <si>
    <t>EP45_25</t>
  </si>
  <si>
    <t>EP46_25</t>
  </si>
  <si>
    <t>EP47_25</t>
  </si>
  <si>
    <t>EP48_25</t>
  </si>
  <si>
    <t>EP49_25</t>
  </si>
  <si>
    <t>EP50_25</t>
  </si>
  <si>
    <t>EP51_25</t>
  </si>
  <si>
    <t>EP52_25</t>
  </si>
  <si>
    <t>EP53_25</t>
  </si>
  <si>
    <t>EP54_25</t>
  </si>
  <si>
    <t>EP55_25</t>
  </si>
  <si>
    <t>EP56_25</t>
  </si>
  <si>
    <t>EP57_25</t>
  </si>
  <si>
    <t>EP58_25</t>
  </si>
  <si>
    <t>EP59_25</t>
  </si>
  <si>
    <t>EP60_25</t>
  </si>
  <si>
    <t>EP61_25</t>
  </si>
  <si>
    <t>EP62_25</t>
  </si>
  <si>
    <t>EP63_25</t>
  </si>
  <si>
    <t>EP5_26</t>
  </si>
  <si>
    <t>EP6_26</t>
  </si>
  <si>
    <t>EP7_26</t>
  </si>
  <si>
    <t>EP8_26</t>
  </si>
  <si>
    <t>EP9_26</t>
  </si>
  <si>
    <t>EP10_26</t>
  </si>
  <si>
    <t>EP11_26</t>
  </si>
  <si>
    <t>EP12_26</t>
  </si>
  <si>
    <t>EP13_26</t>
  </si>
  <si>
    <t>EP14_26</t>
  </si>
  <si>
    <t>EP15_26</t>
  </si>
  <si>
    <t>EP16_26</t>
  </si>
  <si>
    <t>EP17_26</t>
  </si>
  <si>
    <t>EP18_26</t>
  </si>
  <si>
    <t>EP19_26</t>
  </si>
  <si>
    <t>EP20_26</t>
  </si>
  <si>
    <t>EP21_26</t>
  </si>
  <si>
    <t>EP22_26</t>
  </si>
  <si>
    <t>EP23_26</t>
  </si>
  <si>
    <t>EP24_26</t>
  </si>
  <si>
    <t>EP25_26</t>
  </si>
  <si>
    <t>EP26_26</t>
  </si>
  <si>
    <t>EP27_26</t>
  </si>
  <si>
    <t>EP28_26</t>
  </si>
  <si>
    <t>EP29_26</t>
  </si>
  <si>
    <t>EP30_26</t>
  </si>
  <si>
    <t>EP31_26</t>
  </si>
  <si>
    <t>EP32_26</t>
  </si>
  <si>
    <t>EP33_26</t>
  </si>
  <si>
    <t>EP34_26</t>
  </si>
  <si>
    <t>EP35_26</t>
  </si>
  <si>
    <t>EP36_26</t>
  </si>
  <si>
    <t>EP37_26</t>
  </si>
  <si>
    <t>EP38_26</t>
  </si>
  <si>
    <t>EP39_26</t>
  </si>
  <si>
    <t>EP40_26</t>
  </si>
  <si>
    <t>EP41_26</t>
  </si>
  <si>
    <t>EP42_26</t>
  </si>
  <si>
    <t>EP43_26</t>
  </si>
  <si>
    <t>EP44_26</t>
  </si>
  <si>
    <t>EP45_26</t>
  </si>
  <si>
    <t>EP46_26</t>
  </si>
  <si>
    <t>EP47_26</t>
  </si>
  <si>
    <t>EP48_26</t>
  </si>
  <si>
    <t>EP49_26</t>
  </si>
  <si>
    <t>EP50_26</t>
  </si>
  <si>
    <t>EP51_26</t>
  </si>
  <si>
    <t>EP52_26</t>
  </si>
  <si>
    <t>EP53_26</t>
  </si>
  <si>
    <t>EP54_26</t>
  </si>
  <si>
    <t>EP55_26</t>
  </si>
  <si>
    <t>EP56_26</t>
  </si>
  <si>
    <t>EP57_26</t>
  </si>
  <si>
    <t>EP58_26</t>
  </si>
  <si>
    <t>EP59_26</t>
  </si>
  <si>
    <t>EP60_26</t>
  </si>
  <si>
    <t>EP61_26</t>
  </si>
  <si>
    <t>EP62_26</t>
  </si>
  <si>
    <t>EP63_26</t>
  </si>
  <si>
    <t>EP4_27</t>
  </si>
  <si>
    <t>EP5_27</t>
  </si>
  <si>
    <t>EP6_27</t>
  </si>
  <si>
    <t>EP7_27</t>
  </si>
  <si>
    <t>EP8_27</t>
  </si>
  <si>
    <t>EP9_27</t>
  </si>
  <si>
    <t>EP10_27</t>
  </si>
  <si>
    <t>EP11_27</t>
  </si>
  <si>
    <t>EP12_27</t>
  </si>
  <si>
    <t>EP13_27</t>
  </si>
  <si>
    <t>EP14_27</t>
  </si>
  <si>
    <t>EP15_27</t>
  </si>
  <si>
    <t>EP16_27</t>
  </si>
  <si>
    <t>EP17_27</t>
  </si>
  <si>
    <t>EP18_27</t>
  </si>
  <si>
    <t>EP19_27</t>
  </si>
  <si>
    <t>EP20_27</t>
  </si>
  <si>
    <t>EP21_27</t>
  </si>
  <si>
    <t>EP22_27</t>
  </si>
  <si>
    <t>EP23_27</t>
  </si>
  <si>
    <t>EP24_27</t>
  </si>
  <si>
    <t>EP25_27</t>
  </si>
  <si>
    <t>EP26_27</t>
  </si>
  <si>
    <t>EP27_27</t>
  </si>
  <si>
    <t>EP28_27</t>
  </si>
  <si>
    <t>EP29_27</t>
  </si>
  <si>
    <t>EP30_27</t>
  </si>
  <si>
    <t>EP31_27</t>
  </si>
  <si>
    <t>EP32_27</t>
  </si>
  <si>
    <t>EP33_27</t>
  </si>
  <si>
    <t>EP34_27</t>
  </si>
  <si>
    <t>EP35_27</t>
  </si>
  <si>
    <t>EP36_27</t>
  </si>
  <si>
    <t>EP37_27</t>
  </si>
  <si>
    <t>EP38_27</t>
  </si>
  <si>
    <t>EP39_27</t>
  </si>
  <si>
    <t>EP40_27</t>
  </si>
  <si>
    <t>EP41_27</t>
  </si>
  <si>
    <t>EP42_27</t>
  </si>
  <si>
    <t>EP43_27</t>
  </si>
  <si>
    <t>EP44_27</t>
  </si>
  <si>
    <t>EP45_27</t>
  </si>
  <si>
    <t>EP46_27</t>
  </si>
  <si>
    <t>EP47_27</t>
  </si>
  <si>
    <t>EP48_27</t>
  </si>
  <si>
    <t>EP49_27</t>
  </si>
  <si>
    <t>EP50_27</t>
  </si>
  <si>
    <t>EP51_27</t>
  </si>
  <si>
    <t>EP52_27</t>
  </si>
  <si>
    <t>EP53_27</t>
  </si>
  <si>
    <t>EP54_27</t>
  </si>
  <si>
    <t>EP55_27</t>
  </si>
  <si>
    <t>EP56_27</t>
  </si>
  <si>
    <t>EP57_27</t>
  </si>
  <si>
    <t>EP58_27</t>
  </si>
  <si>
    <t>EP59_27</t>
  </si>
  <si>
    <t>EP60_27</t>
  </si>
  <si>
    <t>EP61_27</t>
  </si>
  <si>
    <t>EP62_27</t>
  </si>
  <si>
    <t>EP63_27</t>
  </si>
  <si>
    <t>EP3_28</t>
  </si>
  <si>
    <t>EP4_28</t>
  </si>
  <si>
    <t>EP5_28</t>
  </si>
  <si>
    <t>EP6_28</t>
  </si>
  <si>
    <t>EP7_28</t>
  </si>
  <si>
    <t>EP8_28</t>
  </si>
  <si>
    <t>EP9_28</t>
  </si>
  <si>
    <t>EP10_28</t>
  </si>
  <si>
    <t>EP11_28</t>
  </si>
  <si>
    <t>EP12_28</t>
  </si>
  <si>
    <t>EP13_28</t>
  </si>
  <si>
    <t>EP14_28</t>
  </si>
  <si>
    <t>EP15_28</t>
  </si>
  <si>
    <t>EP16_28</t>
  </si>
  <si>
    <t>EP17_28</t>
  </si>
  <si>
    <t>EP18_28</t>
  </si>
  <si>
    <t>EP19_28</t>
  </si>
  <si>
    <t>EP20_28</t>
  </si>
  <si>
    <t>EP21_28</t>
  </si>
  <si>
    <t>EP22_28</t>
  </si>
  <si>
    <t>EP23_28</t>
  </si>
  <si>
    <t>EP24_28</t>
  </si>
  <si>
    <t>EP25_28</t>
  </si>
  <si>
    <t>EP26_28</t>
  </si>
  <si>
    <t>EP27_28</t>
  </si>
  <si>
    <t>EP28_28</t>
  </si>
  <si>
    <t>EP29_28</t>
  </si>
  <si>
    <t>EP30_28</t>
  </si>
  <si>
    <t>EP31_28</t>
  </si>
  <si>
    <t>EP32_28</t>
  </si>
  <si>
    <t>EP33_28</t>
  </si>
  <si>
    <t>EP34_28</t>
  </si>
  <si>
    <t>EP35_28</t>
  </si>
  <si>
    <t>EP36_28</t>
  </si>
  <si>
    <t>EP37_28</t>
  </si>
  <si>
    <t>EP38_28</t>
  </si>
  <si>
    <t>EP39_28</t>
  </si>
  <si>
    <t>EP40_28</t>
  </si>
  <si>
    <t>EP41_28</t>
  </si>
  <si>
    <t>EP42_28</t>
  </si>
  <si>
    <t>EP43_28</t>
  </si>
  <si>
    <t>EP44_28</t>
  </si>
  <si>
    <t>EP45_28</t>
  </si>
  <si>
    <t>EP46_28</t>
  </si>
  <si>
    <t>EP47_28</t>
  </si>
  <si>
    <t>EP48_28</t>
  </si>
  <si>
    <t>EP49_28</t>
  </si>
  <si>
    <t>EP50_28</t>
  </si>
  <si>
    <t>EP51_28</t>
  </si>
  <si>
    <t>EP52_28</t>
  </si>
  <si>
    <t>EP53_28</t>
  </si>
  <si>
    <t>EP54_28</t>
  </si>
  <si>
    <t>EP55_28</t>
  </si>
  <si>
    <t>EP56_28</t>
  </si>
  <si>
    <t>EP57_28</t>
  </si>
  <si>
    <t>EP58_28</t>
  </si>
  <si>
    <t>EP59_28</t>
  </si>
  <si>
    <t>EP60_28</t>
  </si>
  <si>
    <t>EP61_28</t>
  </si>
  <si>
    <t>EP62_28</t>
  </si>
  <si>
    <t>EP63_28</t>
  </si>
  <si>
    <t>EP2_29</t>
  </si>
  <si>
    <t>EP3_29</t>
  </si>
  <si>
    <t>EP4_29</t>
  </si>
  <si>
    <t>EP5_29</t>
  </si>
  <si>
    <t>EP6_29</t>
  </si>
  <si>
    <t>EP7_29</t>
  </si>
  <si>
    <t>EP8_29</t>
  </si>
  <si>
    <t>EP9_29</t>
  </si>
  <si>
    <t>EP10_29</t>
  </si>
  <si>
    <t>EP11_29</t>
  </si>
  <si>
    <t>EP12_29</t>
  </si>
  <si>
    <t>EP13_29</t>
  </si>
  <si>
    <t>EP14_29</t>
  </si>
  <si>
    <t>EP15_29</t>
  </si>
  <si>
    <t>EP16_29</t>
  </si>
  <si>
    <t>EP17_29</t>
  </si>
  <si>
    <t>EP18_29</t>
  </si>
  <si>
    <t>EP19_29</t>
  </si>
  <si>
    <t>EP20_29</t>
  </si>
  <si>
    <t>EP21_29</t>
  </si>
  <si>
    <t>EP22_29</t>
  </si>
  <si>
    <t>EP23_29</t>
  </si>
  <si>
    <t>EP24_29</t>
  </si>
  <si>
    <t>EP25_29</t>
  </si>
  <si>
    <t>EP26_29</t>
  </si>
  <si>
    <t>EP27_29</t>
  </si>
  <si>
    <t>EP28_29</t>
  </si>
  <si>
    <t>EP29_29</t>
  </si>
  <si>
    <t>EP30_29</t>
  </si>
  <si>
    <t>EP31_29</t>
  </si>
  <si>
    <t>EP32_29</t>
  </si>
  <si>
    <t>EP33_29</t>
  </si>
  <si>
    <t>EP34_29</t>
  </si>
  <si>
    <t>EP35_29</t>
  </si>
  <si>
    <t>EP36_29</t>
  </si>
  <si>
    <t>EP37_29</t>
  </si>
  <si>
    <t>EP38_29</t>
  </si>
  <si>
    <t>EP39_29</t>
  </si>
  <si>
    <t>EP40_29</t>
  </si>
  <si>
    <t>EP41_29</t>
  </si>
  <si>
    <t>EP42_29</t>
  </si>
  <si>
    <t>EP43_29</t>
  </si>
  <si>
    <t>EP44_29</t>
  </si>
  <si>
    <t>EP45_29</t>
  </si>
  <si>
    <t>EP46_29</t>
  </si>
  <si>
    <t>EP47_29</t>
  </si>
  <si>
    <t>EP48_29</t>
  </si>
  <si>
    <t>EP49_29</t>
  </si>
  <si>
    <t>EP50_29</t>
  </si>
  <si>
    <t>EP51_29</t>
  </si>
  <si>
    <t>EP52_29</t>
  </si>
  <si>
    <t>EP53_29</t>
  </si>
  <si>
    <t>EP54_29</t>
  </si>
  <si>
    <t>EP55_29</t>
  </si>
  <si>
    <t>EP56_29</t>
  </si>
  <si>
    <t>EP57_29</t>
  </si>
  <si>
    <t>EP58_29</t>
  </si>
  <si>
    <t>EP59_29</t>
  </si>
  <si>
    <t>EP60_29</t>
  </si>
  <si>
    <t>EP61_29</t>
  </si>
  <si>
    <t>EP62_29</t>
  </si>
  <si>
    <t>EP63_29</t>
  </si>
  <si>
    <t>EP1_30</t>
  </si>
  <si>
    <t>EP2_30</t>
  </si>
  <si>
    <t>EP3_30</t>
  </si>
  <si>
    <t>EP4_30</t>
  </si>
  <si>
    <t>EP5_30</t>
  </si>
  <si>
    <t>EP6_30</t>
  </si>
  <si>
    <t>EP7_30</t>
  </si>
  <si>
    <t>EP8_30</t>
  </si>
  <si>
    <t>EP9_30</t>
  </si>
  <si>
    <t>EP10_30</t>
  </si>
  <si>
    <t>EP11_30</t>
  </si>
  <si>
    <t>EP12_30</t>
  </si>
  <si>
    <t>EP14_30</t>
  </si>
  <si>
    <t>EP15_30</t>
  </si>
  <si>
    <t>EP16_30</t>
  </si>
  <si>
    <t>EP17_30</t>
  </si>
  <si>
    <t>EP18_30</t>
  </si>
  <si>
    <t>EP19_30</t>
  </si>
  <si>
    <t>EP20_30</t>
  </si>
  <si>
    <t>EP21_30</t>
  </si>
  <si>
    <t>EP22_30</t>
  </si>
  <si>
    <t>EP24_30</t>
  </si>
  <si>
    <t>EP25_30</t>
  </si>
  <si>
    <t>EP26_30</t>
  </si>
  <si>
    <t>EP27_30</t>
  </si>
  <si>
    <t>EP28_30</t>
  </si>
  <si>
    <t>EP29_30</t>
  </si>
  <si>
    <t>EP30_30</t>
  </si>
  <si>
    <t>EP31_30</t>
  </si>
  <si>
    <t>EP32_30</t>
  </si>
  <si>
    <t>EP34_30</t>
  </si>
  <si>
    <t>EP35_30</t>
  </si>
  <si>
    <t>EP36_30</t>
  </si>
  <si>
    <t>EP37_30</t>
  </si>
  <si>
    <t>EP38_30</t>
  </si>
  <si>
    <t>EP39_30</t>
  </si>
  <si>
    <t>EP40_30</t>
  </si>
  <si>
    <t>EP41_30</t>
  </si>
  <si>
    <t>EP42_30</t>
  </si>
  <si>
    <t>EP44_30</t>
  </si>
  <si>
    <t>EP45_30</t>
  </si>
  <si>
    <t>EP46_30</t>
  </si>
  <si>
    <t>EP47_30</t>
  </si>
  <si>
    <t>EP48_30</t>
  </si>
  <si>
    <t>EP49_30</t>
  </si>
  <si>
    <t>EP50_30</t>
  </si>
  <si>
    <t>EP51_30</t>
  </si>
  <si>
    <t>EP52_30</t>
  </si>
  <si>
    <t>EP53_30</t>
  </si>
  <si>
    <t>EP54_30</t>
  </si>
  <si>
    <t>EP55_30</t>
  </si>
  <si>
    <t>EP56_30</t>
  </si>
  <si>
    <t>EP57_30</t>
  </si>
  <si>
    <t>EP58_30</t>
  </si>
  <si>
    <t>EP59_30</t>
  </si>
  <si>
    <t>EP60_30</t>
  </si>
  <si>
    <t>EP61_30</t>
  </si>
  <si>
    <t>EP62_30</t>
  </si>
  <si>
    <t>EP63_30</t>
  </si>
  <si>
    <t>EP0_31</t>
  </si>
  <si>
    <t>EP1_31</t>
  </si>
  <si>
    <t>EP2_31</t>
  </si>
  <si>
    <t>EP3_31</t>
  </si>
  <si>
    <t>EP4_31</t>
  </si>
  <si>
    <t>EP5_31</t>
  </si>
  <si>
    <t>EP6_31</t>
  </si>
  <si>
    <t>EP7_31</t>
  </si>
  <si>
    <t>EP8_31</t>
  </si>
  <si>
    <t>EP9_31</t>
  </si>
  <si>
    <t>EP10_31</t>
  </si>
  <si>
    <t>EP11_31</t>
  </si>
  <si>
    <t>EP12_31</t>
  </si>
  <si>
    <t>EP13_31</t>
  </si>
  <si>
    <t>EP14_31</t>
  </si>
  <si>
    <t>EP15_31</t>
  </si>
  <si>
    <t>EP16_31</t>
  </si>
  <si>
    <t>EP17_31</t>
  </si>
  <si>
    <t>EP18_31</t>
  </si>
  <si>
    <t>EP19_31</t>
  </si>
  <si>
    <t>EP20_31</t>
  </si>
  <si>
    <t>EP21_31</t>
  </si>
  <si>
    <t>EP22_31</t>
  </si>
  <si>
    <t>EP23_31</t>
  </si>
  <si>
    <t>EP24_31</t>
  </si>
  <si>
    <t>EP25_31</t>
  </si>
  <si>
    <t>EP26_31</t>
  </si>
  <si>
    <t>EP27_31</t>
  </si>
  <si>
    <t>EP28_31</t>
  </si>
  <si>
    <t>EP29_31</t>
  </si>
  <si>
    <t>EP30_31</t>
  </si>
  <si>
    <t>EP31_31</t>
  </si>
  <si>
    <t>EP32_31</t>
  </si>
  <si>
    <t>EP33_31</t>
  </si>
  <si>
    <t>EP34_31</t>
  </si>
  <si>
    <t>EP35_31</t>
  </si>
  <si>
    <t>EP36_31</t>
  </si>
  <si>
    <t>EP37_31</t>
  </si>
  <si>
    <t>EP38_31</t>
  </si>
  <si>
    <t>EP39_31</t>
  </si>
  <si>
    <t>EP40_31</t>
  </si>
  <si>
    <t>EP41_31</t>
  </si>
  <si>
    <t>EP42_31</t>
  </si>
  <si>
    <t>EP43_31</t>
  </si>
  <si>
    <t>EP44_31</t>
  </si>
  <si>
    <t>EP45_31</t>
  </si>
  <si>
    <t>EP46_31</t>
  </si>
  <si>
    <t>EP47_31</t>
  </si>
  <si>
    <t>EP48_31</t>
  </si>
  <si>
    <t>EP49_31</t>
  </si>
  <si>
    <t>EP50_31</t>
  </si>
  <si>
    <t>EP51_31</t>
  </si>
  <si>
    <t>EP52_31</t>
  </si>
  <si>
    <t>EP53_31</t>
  </si>
  <si>
    <t>EP54_31</t>
  </si>
  <si>
    <t>EP55_31</t>
  </si>
  <si>
    <t>EP56_31</t>
  </si>
  <si>
    <t>EP57_31</t>
  </si>
  <si>
    <t>EP58_31</t>
  </si>
  <si>
    <t>EP59_31</t>
  </si>
  <si>
    <t>EP60_31</t>
  </si>
  <si>
    <t>EP61_31</t>
  </si>
  <si>
    <t>EP62_31</t>
  </si>
  <si>
    <t>EP63_31</t>
  </si>
  <si>
    <t>FlexCAN Prop Jump Values_FD</t>
  </si>
  <si>
    <t>FlexCAN Jump Values_FD</t>
  </si>
  <si>
    <t>F0_4</t>
  </si>
  <si>
    <t>F1_4</t>
  </si>
  <si>
    <t>F2_4</t>
  </si>
  <si>
    <t>F3_4</t>
  </si>
  <si>
    <t>F4_4</t>
  </si>
  <si>
    <t>F5_4</t>
  </si>
  <si>
    <t>F6_4</t>
  </si>
  <si>
    <t>F7_4</t>
  </si>
  <si>
    <t>F0_5</t>
  </si>
  <si>
    <t>F1_5</t>
  </si>
  <si>
    <t>F2_5</t>
  </si>
  <si>
    <t>F3_5</t>
  </si>
  <si>
    <t>F4_5</t>
  </si>
  <si>
    <t>F5_5</t>
  </si>
  <si>
    <t>F6_5</t>
  </si>
  <si>
    <t>F7_5</t>
  </si>
  <si>
    <t>F0_6</t>
  </si>
  <si>
    <t>F1_6</t>
  </si>
  <si>
    <t>F2_6</t>
  </si>
  <si>
    <t>F3_6</t>
  </si>
  <si>
    <t>F4_6</t>
  </si>
  <si>
    <t>F5_6</t>
  </si>
  <si>
    <t>F6_6</t>
  </si>
  <si>
    <t>F7_6</t>
  </si>
  <si>
    <t>F0_7</t>
  </si>
  <si>
    <t>F1_7</t>
  </si>
  <si>
    <t>F2_7</t>
  </si>
  <si>
    <t>F3_7</t>
  </si>
  <si>
    <t>F4_7</t>
  </si>
  <si>
    <t>F5_7</t>
  </si>
  <si>
    <t>F6_7</t>
  </si>
  <si>
    <t>F7_7</t>
  </si>
  <si>
    <t>E1_30</t>
  </si>
  <si>
    <t>E2_30</t>
  </si>
  <si>
    <t>E3_30</t>
  </si>
  <si>
    <t>E4_30</t>
  </si>
  <si>
    <t>E5_30</t>
  </si>
  <si>
    <t>E6_30</t>
  </si>
  <si>
    <t>E7_30</t>
  </si>
  <si>
    <t>E8_30</t>
  </si>
  <si>
    <t>E9_30</t>
  </si>
  <si>
    <t>E10_30</t>
  </si>
  <si>
    <t>E11_30</t>
  </si>
  <si>
    <t>E12_30</t>
  </si>
  <si>
    <t>E13_30</t>
  </si>
  <si>
    <t>E14_30</t>
  </si>
  <si>
    <t>E15_30</t>
  </si>
  <si>
    <t>E16_30</t>
  </si>
  <si>
    <t>E17_30</t>
  </si>
  <si>
    <t>E18_30</t>
  </si>
  <si>
    <t>E19_30</t>
  </si>
  <si>
    <t>E20_30</t>
  </si>
  <si>
    <t>E21_30</t>
  </si>
  <si>
    <t>E22_30</t>
  </si>
  <si>
    <t>E23_30</t>
  </si>
  <si>
    <t>E24_30</t>
  </si>
  <si>
    <t>E25_30</t>
  </si>
  <si>
    <t>E26_30</t>
  </si>
  <si>
    <t>E27_30</t>
  </si>
  <si>
    <t>E28_30</t>
  </si>
  <si>
    <t>E29_30</t>
  </si>
  <si>
    <t>E30_30</t>
  </si>
  <si>
    <t>E31_30</t>
  </si>
  <si>
    <t>Block</t>
  </si>
  <si>
    <t>Reset</t>
  </si>
  <si>
    <t>Max</t>
  </si>
  <si>
    <t>System Clock Selector</t>
  </si>
  <si>
    <t>SAI0 TX BCLK Divide</t>
  </si>
  <si>
    <t>SAI0 RX BCLK Divide</t>
  </si>
  <si>
    <t>SAI0 TX BCLK Select</t>
  </si>
  <si>
    <t>SAI0 RX BCLK Select</t>
  </si>
  <si>
    <t>SAI0 TX BCLK Enable</t>
  </si>
  <si>
    <t>SAI0 RX BCLK Enable</t>
  </si>
  <si>
    <t>SAI0 TX BCLK Swap</t>
  </si>
  <si>
    <t>SAI0 RX BCLK Swap</t>
  </si>
  <si>
    <t>SAI1 TX BCLK Divide</t>
  </si>
  <si>
    <t>SAI1 RX BCLK Divide</t>
  </si>
  <si>
    <t>SAI1 TX BCLK Select</t>
  </si>
  <si>
    <t>SAI1 RX BCLK Select</t>
  </si>
  <si>
    <t>SAI1 TX BCLK Enable</t>
  </si>
  <si>
    <t>SAI1 RX BCLK Enable</t>
  </si>
  <si>
    <t>SAI1 TX BCLK Swap</t>
  </si>
  <si>
    <t>SAI1 RX BCLK Swap</t>
  </si>
  <si>
    <t>48 MHz FIRC</t>
  </si>
  <si>
    <t>FIRC Enable</t>
  </si>
  <si>
    <t>8 MHz SIRC</t>
  </si>
  <si>
    <t>SIRC Enable</t>
  </si>
  <si>
    <t>SIRC LP Enable</t>
  </si>
  <si>
    <t>SIRC STOP Enable</t>
  </si>
  <si>
    <t>LP Biasing</t>
  </si>
  <si>
    <t>Clock Bias Disable</t>
  </si>
  <si>
    <t>SOSC Range</t>
  </si>
  <si>
    <t>SOSC Enable</t>
  </si>
  <si>
    <t>Ext. Ref. Select</t>
  </si>
  <si>
    <t>LPO Control</t>
  </si>
  <si>
    <t>LPO Trim</t>
  </si>
  <si>
    <t>HSRUN Enable</t>
  </si>
  <si>
    <t>VLPR/VLPS Enable</t>
  </si>
  <si>
    <t>S32K Power Mode</t>
  </si>
  <si>
    <t>SPLL Enable</t>
  </si>
  <si>
    <t>SPLL Prediv</t>
  </si>
  <si>
    <t>SPLL Multiplier</t>
  </si>
  <si>
    <t>DIVCORE</t>
  </si>
  <si>
    <t>DIVBUS</t>
  </si>
  <si>
    <t>DIVSLOW</t>
  </si>
  <si>
    <t>SPLLDIV1</t>
  </si>
  <si>
    <t>SPLLDIV2</t>
  </si>
  <si>
    <t>FIRCDIV1</t>
  </si>
  <si>
    <t>FIRCDIV2</t>
  </si>
  <si>
    <t>SIRCDIV1</t>
  </si>
  <si>
    <t>SIRCDIV2</t>
  </si>
  <si>
    <t>SOSCDIV1</t>
  </si>
  <si>
    <t>SOSCDIV2</t>
  </si>
  <si>
    <t>SCG CLKOUT Select</t>
  </si>
  <si>
    <t>LPO32K_CLK Enable</t>
  </si>
  <si>
    <t>LPO1K_CLK Enable</t>
  </si>
  <si>
    <t>RTC Clock Select</t>
  </si>
  <si>
    <t>LPO Clock Select</t>
  </si>
  <si>
    <t>CLKOUT Select</t>
  </si>
  <si>
    <t>CLKOUT Divide</t>
  </si>
  <si>
    <t>CLKOUT Enable</t>
  </si>
  <si>
    <t>LPSPI0 Clock Enable</t>
  </si>
  <si>
    <t>LPSPI0 Per. Clk. Select</t>
  </si>
  <si>
    <t>LPIT Clock Enable</t>
  </si>
  <si>
    <t>LPIT Per. Clk. Select</t>
  </si>
  <si>
    <t>FlexIO Clock Enable</t>
  </si>
  <si>
    <t>FlexIO Per. Clk. Select</t>
  </si>
  <si>
    <t>FlexIO Fast Access</t>
  </si>
  <si>
    <t>LPI2C0 Clock Enable</t>
  </si>
  <si>
    <t>LPI2C0 Per. Clk. Select</t>
  </si>
  <si>
    <t>LPUART0 Clock Enable</t>
  </si>
  <si>
    <t>LPUART0 Per. Clk. Select</t>
  </si>
  <si>
    <t>EWM Clock Enable</t>
  </si>
  <si>
    <t>WDOG Clock Select</t>
  </si>
  <si>
    <t>WDOG STOP1 Enable</t>
  </si>
  <si>
    <t>Reset Pin Filter Clock Select</t>
  </si>
  <si>
    <t>FTFC Clock Enable</t>
  </si>
  <si>
    <t>LPSPI1 Clock Enable</t>
  </si>
  <si>
    <t>LPSPI1 Per. Clk. Select</t>
  </si>
  <si>
    <t>LPSPI2 Clock Enable</t>
  </si>
  <si>
    <t>LPSPI2 Per. Clk. Select</t>
  </si>
  <si>
    <t>LPI2C1 Clock Enable</t>
  </si>
  <si>
    <t>LPI2C1 Per. Clk. Select</t>
  </si>
  <si>
    <t>LPUART1 Clock Enable</t>
  </si>
  <si>
    <t>LPUART1 Per. Clk. Select</t>
  </si>
  <si>
    <t>LPUART2 Clock Enable</t>
  </si>
  <si>
    <t>LPUART2 Per. Clk. Select</t>
  </si>
  <si>
    <t>PDB0 Clock Enable</t>
  </si>
  <si>
    <t>DMAMUX0 Clock Enable</t>
  </si>
  <si>
    <t>CMP0 Clock Enable</t>
  </si>
  <si>
    <t>CRC Clock Enable</t>
  </si>
  <si>
    <t>PORTA Clock Enable</t>
  </si>
  <si>
    <t>PORTA Filter Clock Select</t>
  </si>
  <si>
    <t>FlexCAN0 Clock Enable</t>
  </si>
  <si>
    <t>FlexCAN0 PE Clock Select</t>
  </si>
  <si>
    <t>EIM Clock Enable</t>
  </si>
  <si>
    <t>ERM Clock Enable</t>
  </si>
  <si>
    <t>MSCM Clock Enable</t>
  </si>
  <si>
    <t>DMA Clock Enable</t>
  </si>
  <si>
    <t>MPU Clock Enable</t>
  </si>
  <si>
    <t>ADC0 Clock Enable</t>
  </si>
  <si>
    <t>ADC0 Per. Clk. Select</t>
  </si>
  <si>
    <t>ADC0 Alt. Clk. Select</t>
  </si>
  <si>
    <t>ADC0 Clock Divider</t>
  </si>
  <si>
    <t>FTM0 Clock Enable</t>
  </si>
  <si>
    <t>FTM0 Ext. Clk. Pin Select</t>
  </si>
  <si>
    <t>FTM0 Ext. Clk. Select</t>
  </si>
  <si>
    <t>FTM0 Clock Select</t>
  </si>
  <si>
    <t>FTM0 Clock Prescaler</t>
  </si>
  <si>
    <t>LPTMR Clock Enable</t>
  </si>
  <si>
    <t>LPTMR Per. Clk. Select</t>
  </si>
  <si>
    <t>LPTMR Per. Frac. Numerator</t>
  </si>
  <si>
    <t>LPTMR Per. Frac. Denominator</t>
  </si>
  <si>
    <t>LPTMR Counter/Glitch Fil. Clk. Sel.</t>
  </si>
  <si>
    <t>LPTMR Glitch Counter/Glitch Filter Divider</t>
  </si>
  <si>
    <t>LPTMR Glitch Filter Bypass</t>
  </si>
  <si>
    <t>LPTMR Pulse Input</t>
  </si>
  <si>
    <t>PDB1 Clock Enable</t>
  </si>
  <si>
    <t>PORTB Clock Enable</t>
  </si>
  <si>
    <t>PORTB Filter Clock Select</t>
  </si>
  <si>
    <t>PORTC Clock Enable</t>
  </si>
  <si>
    <t>PORTC Filter Clock Select</t>
  </si>
  <si>
    <t>PORTD Clock Enable</t>
  </si>
  <si>
    <t>PORTD Filter Clock Enable</t>
  </si>
  <si>
    <t>PORTE Clock Enable</t>
  </si>
  <si>
    <t>PORTE Filter Clock Select</t>
  </si>
  <si>
    <t>FlexCAN1 Clock Enable</t>
  </si>
  <si>
    <t>FlexCAN1 PE Clock Select</t>
  </si>
  <si>
    <t>FlexCAN2 Clock Enable</t>
  </si>
  <si>
    <t>FlexCAN2 PE Clock Select</t>
  </si>
  <si>
    <t>ADC1 Clock Enable</t>
  </si>
  <si>
    <t>ADC1 Per. Clk. Select</t>
  </si>
  <si>
    <t>ADC1 Alt. Clk. Select</t>
  </si>
  <si>
    <t>ADC1 Clock Divider</t>
  </si>
  <si>
    <t>FTM1 Clock Enable</t>
  </si>
  <si>
    <t>FTM1 Ext. Clk. Pin Select</t>
  </si>
  <si>
    <t>FTM1 Ext. Clk Select</t>
  </si>
  <si>
    <t>FTM1 Clock Select</t>
  </si>
  <si>
    <t>FTM1 Clock Prescaler</t>
  </si>
  <si>
    <t>FTM2 Clock Enable</t>
  </si>
  <si>
    <t>FTM2 Ext. Clk. Pin Select</t>
  </si>
  <si>
    <t>FTM2 Ext. Clk Select</t>
  </si>
  <si>
    <t>FTM2 Clock Select</t>
  </si>
  <si>
    <t>FTM2 Clock Prescaler</t>
  </si>
  <si>
    <t>FTM3 Clock Enable</t>
  </si>
  <si>
    <t>FTM3 Ext. Clk. Pin Select</t>
  </si>
  <si>
    <t>FTM3 Ext. Clk Select</t>
  </si>
  <si>
    <t>FTM3 Clock Select</t>
  </si>
  <si>
    <t>FTM3 Clock Prescaler</t>
  </si>
  <si>
    <t>FTM4 Clock Enable</t>
  </si>
  <si>
    <t>FTM4 Ext. Clk. Pin Select</t>
  </si>
  <si>
    <t>FTM4 Ext. Clk Select</t>
  </si>
  <si>
    <t>FTM4 Clock Select</t>
  </si>
  <si>
    <t>FTM4 Clock Prescaler</t>
  </si>
  <si>
    <t>FTM5 Clock Enable</t>
  </si>
  <si>
    <t>FTM5 Ext. Clk. Pin Select</t>
  </si>
  <si>
    <t>FTM5 Ext. Clk Select</t>
  </si>
  <si>
    <t>FTM5 Clock Prescaler</t>
  </si>
  <si>
    <t>FTM6 Clock Enable</t>
  </si>
  <si>
    <t>FTM6 Ext. Clk. Pin Select</t>
  </si>
  <si>
    <t>FTM6 Ext. Clk Select</t>
  </si>
  <si>
    <t>FTM6 Clock Prescaler</t>
  </si>
  <si>
    <t>FTM7 Clock Enable</t>
  </si>
  <si>
    <t>FTM7 Ext. Clk. Pin Select</t>
  </si>
  <si>
    <t>FTM7 Ext. Clk Select</t>
  </si>
  <si>
    <t>FTM7 Clock Prescaler</t>
  </si>
  <si>
    <t>RTC CLKOUT Prescaler Select</t>
  </si>
  <si>
    <t>RTC Enable</t>
  </si>
  <si>
    <t>RTC CLKOUT Select</t>
  </si>
  <si>
    <t>RTC CLKOUT Enable</t>
  </si>
  <si>
    <t>SAI0 Clock Enable</t>
  </si>
  <si>
    <t>SAI0 RX Master Clock Select</t>
  </si>
  <si>
    <t>SAI0 RX BCLK Sync Mode</t>
  </si>
  <si>
    <t>SAI0 TX Master Clock Select</t>
  </si>
  <si>
    <t>SAI0 TX BCLK Sync Mode</t>
  </si>
  <si>
    <t>SAI1 Clock Enable</t>
  </si>
  <si>
    <t>SAI1 RX Master Clock Select</t>
  </si>
  <si>
    <t>SAI1 RX BCLK Sync Mode</t>
  </si>
  <si>
    <t>SAI1 TX Master Clock Select</t>
  </si>
  <si>
    <t>SAI1 TX BCLK Sync Mode</t>
  </si>
  <si>
    <t>QSPI Clocking Mode Select</t>
  </si>
  <si>
    <t>QSPI Clock Enable</t>
  </si>
  <si>
    <t>QSPI Internal Ref. Clock Sel.</t>
  </si>
  <si>
    <t>QSPI Async. Clk. Enable</t>
  </si>
  <si>
    <t>Programmable Divider Disable</t>
  </si>
  <si>
    <t>Programmable Divider</t>
  </si>
  <si>
    <t>SFIF/HyperRAM Selection</t>
  </si>
  <si>
    <t>DQS-A  Clk. Sel.</t>
  </si>
  <si>
    <t>DQS-B Clk. Sel.</t>
  </si>
  <si>
    <t>ENET Clock Enable</t>
  </si>
  <si>
    <t>ENET Per. Clk. Select</t>
  </si>
  <si>
    <t>ENET Fractional Numerator</t>
  </si>
  <si>
    <t>ENET Fractional Denominator</t>
  </si>
  <si>
    <t>RMII Clk. Enable</t>
  </si>
  <si>
    <t>RMII Clk. Select</t>
  </si>
  <si>
    <t>CAN0 Prescaler</t>
  </si>
  <si>
    <t>CAN0 Jump Width</t>
  </si>
  <si>
    <t>CAN0 Prop Seg</t>
  </si>
  <si>
    <t>CAN0 Phase Seg 1</t>
  </si>
  <si>
    <t>CAN0 Phase Seg 2</t>
  </si>
  <si>
    <t>CAN0 Ext. Enable</t>
  </si>
  <si>
    <t>CAN0 Ext. Prescaler</t>
  </si>
  <si>
    <t>CAN0 Ext. Jump Width</t>
  </si>
  <si>
    <t>CAN0 FD Enable</t>
  </si>
  <si>
    <t>CAN0 FD Bit Rate Switch</t>
  </si>
  <si>
    <t>CAN0 BRS</t>
  </si>
  <si>
    <t>CAN0 FD Prescaler</t>
  </si>
  <si>
    <t>CAN0 FD Jump Width</t>
  </si>
  <si>
    <t>CAN0 FD Prop Seg</t>
  </si>
  <si>
    <t>CAN0 FD Phase Seg 1</t>
  </si>
  <si>
    <t>CAN0 FD Phase Seg 2</t>
  </si>
  <si>
    <t>CAN1 Prescaler</t>
  </si>
  <si>
    <t>CAN1 Jump Width</t>
  </si>
  <si>
    <t>CAN1 Prop Seg</t>
  </si>
  <si>
    <t>CAN1 Phase Seg 1</t>
  </si>
  <si>
    <t>CAN1 Phase Seg 2</t>
  </si>
  <si>
    <t>CAN1 Ext. Enable</t>
  </si>
  <si>
    <t>CAN1 Ext. Prescaler</t>
  </si>
  <si>
    <t>CAN1 Ext. Jump Width</t>
  </si>
  <si>
    <t>CAN1 FD Enable</t>
  </si>
  <si>
    <t>CAN1 FD Bit Rate Switch</t>
  </si>
  <si>
    <t>CAN1 BRS</t>
  </si>
  <si>
    <t>CAN1 FD Prescaler</t>
  </si>
  <si>
    <t>CAN1 FD Jump Width</t>
  </si>
  <si>
    <t>CAN1 FD Prop Seg</t>
  </si>
  <si>
    <t>CAN1 FD Phase Seg 1</t>
  </si>
  <si>
    <t>CAN1 FD Phase Seg 2</t>
  </si>
  <si>
    <t>CAN2 Prescaler</t>
  </si>
  <si>
    <t>CAN2 Jump Width</t>
  </si>
  <si>
    <t>CAN2 Prop Seg</t>
  </si>
  <si>
    <t>CAN2 Phase Seg 1</t>
  </si>
  <si>
    <t>CAN2 Phase Seg 2</t>
  </si>
  <si>
    <t>CAN2 Ext. Enable</t>
  </si>
  <si>
    <t>CAN2 Ext. Prescaler</t>
  </si>
  <si>
    <t>CAN2 Ext. Jump Width</t>
  </si>
  <si>
    <t>CAN2 FD Enable</t>
  </si>
  <si>
    <t>CAN2 FD Bit Rate Switch</t>
  </si>
  <si>
    <t>CAN2 BRS</t>
  </si>
  <si>
    <t>CAN2 FD Prescaler</t>
  </si>
  <si>
    <t>CAN2 FD Jump Width</t>
  </si>
  <si>
    <t>CAN2 FD Prop Seg</t>
  </si>
  <si>
    <t>CAN2 FD Phase Seg 1</t>
  </si>
  <si>
    <t>CAN2 FD Phase Seg 2</t>
  </si>
  <si>
    <t>EXTAL</t>
  </si>
  <si>
    <t>RTC_CLKIN</t>
  </si>
  <si>
    <t>MCLK[x]</t>
  </si>
  <si>
    <t>MCLK[y]</t>
  </si>
  <si>
    <t>BCLK_SAI0</t>
  </si>
  <si>
    <t>BCLK_SAI1</t>
  </si>
  <si>
    <t>Tx_clk</t>
  </si>
  <si>
    <t>Rx_clk</t>
  </si>
  <si>
    <t>TCLK[0]</t>
  </si>
  <si>
    <t>TCLK[1]</t>
  </si>
  <si>
    <t>TCLK[2]</t>
  </si>
  <si>
    <t>TRGMUX_LPTMR0</t>
  </si>
  <si>
    <t>LPTMR_ALT1</t>
  </si>
  <si>
    <t>LPTMR_ALT2</t>
  </si>
  <si>
    <t>LPTMR_ALT3</t>
  </si>
  <si>
    <t>PCC_SAI0</t>
  </si>
  <si>
    <t>SAI0_RCR2</t>
  </si>
  <si>
    <t>SAI0_RCSR</t>
  </si>
  <si>
    <t>SAI0_TCR2</t>
  </si>
  <si>
    <t>SAI0_TCSR</t>
  </si>
  <si>
    <t>SAI1_RCR2</t>
  </si>
  <si>
    <t>SAI1_RCSR</t>
  </si>
  <si>
    <t>SAI1_TCR2</t>
  </si>
  <si>
    <t>SAI1_TCSR</t>
  </si>
  <si>
    <t>PCC_SAI1</t>
  </si>
  <si>
    <t>PCC_ENET</t>
  </si>
  <si>
    <t>SIM_MISCTRL0</t>
  </si>
  <si>
    <t>CAN0_CBT</t>
  </si>
  <si>
    <t>CAN0_MCR</t>
  </si>
  <si>
    <t>CAN0_FDCTRL</t>
  </si>
  <si>
    <t>CAN0_FDCBT</t>
  </si>
  <si>
    <t>CAN1_CBT</t>
  </si>
  <si>
    <t>CAN1_MCR</t>
  </si>
  <si>
    <t>CAN1_FDCTRL</t>
  </si>
  <si>
    <t>CAN1_FDCBT</t>
  </si>
  <si>
    <t>CAN2_CBT</t>
  </si>
  <si>
    <t>CAN2_MCR</t>
  </si>
  <si>
    <t>CAN2_FDCTRL</t>
  </si>
  <si>
    <t>CAN2_FDCBT</t>
  </si>
  <si>
    <t>PCC_QSPI</t>
  </si>
  <si>
    <t>QuadSPI_MCR</t>
  </si>
  <si>
    <t>QuadSPI_SOCCR</t>
  </si>
  <si>
    <t>Limit</t>
  </si>
  <si>
    <t>QSPI</t>
  </si>
  <si>
    <t>Clock domain out of range for DDR mode</t>
  </si>
  <si>
    <t>FTM5 Clock Select</t>
  </si>
  <si>
    <t>FTM6 Clock Select</t>
  </si>
  <si>
    <t>FTM7 Clock Select</t>
  </si>
  <si>
    <t>Added code generation and Visual Basic features. Split modules into individual instances.</t>
  </si>
  <si>
    <t>Corrected FlexCAN CANFD bit time generation diagram</t>
  </si>
  <si>
    <t>Corrected error in summary tab</t>
  </si>
  <si>
    <t>S32K14x Clock Calculator</t>
  </si>
  <si>
    <t>S32K1xx Clock Calculator</t>
  </si>
  <si>
    <t>Added S32K11x support, making this version the first S32K1xx clock calculator</t>
  </si>
  <si>
    <t>Name</t>
  </si>
  <si>
    <t>S32K11x</t>
  </si>
  <si>
    <t>S32K14x</t>
  </si>
  <si>
    <t>Device Select</t>
  </si>
  <si>
    <t>Run_S32K11x</t>
  </si>
  <si>
    <t>SCG Clock Select</t>
  </si>
  <si>
    <t>SCG Clock Select Options</t>
  </si>
  <si>
    <t>CLKOUT Select Options</t>
  </si>
  <si>
    <t>Corrected mistake in S32K1xx module instantiation.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</si>
</sst>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0"/>
  </numFmts>
  <fonts count="12" x14ac:knownFonts="1">
    <font>
      <sz val="11"/>
      <color theme="1"/>
      <name val="宋体"/>
      <family val="2"/>
      <scheme val="minor"/>
    </font>
    <font>
      <b/>
      <sz val="11"/>
      <color theme="1"/>
      <name val="宋体"/>
      <family val="2"/>
      <scheme val="minor"/>
    </font>
    <font>
      <sz val="20"/>
      <color theme="1"/>
      <name val="宋体"/>
      <family val="2"/>
      <scheme val="minor"/>
    </font>
    <font>
      <b/>
      <sz val="16"/>
      <color theme="1"/>
      <name val="宋体"/>
      <family val="2"/>
      <scheme val="minor"/>
    </font>
    <font>
      <b/>
      <sz val="18"/>
      <color theme="1"/>
      <name val="宋体"/>
      <family val="2"/>
      <scheme val="minor"/>
    </font>
    <font>
      <b/>
      <sz val="14"/>
      <color theme="1"/>
      <name val="宋体"/>
      <family val="2"/>
      <scheme val="minor"/>
    </font>
    <font>
      <sz val="10"/>
      <color theme="1"/>
      <name val="宋体"/>
      <family val="2"/>
      <scheme val="minor"/>
    </font>
    <font>
      <u/>
      <sz val="11"/>
      <color theme="10"/>
      <name val="宋体"/>
      <family val="2"/>
      <scheme val="minor"/>
    </font>
    <font>
      <b/>
      <i/>
      <sz val="16"/>
      <color theme="1"/>
      <name val="宋体"/>
      <family val="2"/>
      <scheme val="minor"/>
    </font>
    <font>
      <b/>
      <i/>
      <sz val="14"/>
      <color theme="1"/>
      <name val="宋体"/>
      <family val="2"/>
      <scheme val="minor"/>
    </font>
    <font>
      <sz val="11"/>
      <color rgb="FF000000"/>
      <name val="Calibri"/>
      <family val="2"/>
    </font>
    <font>
      <sz val="9"/>
      <name val="宋体"/>
      <family val="3"/>
      <charset val="134"/>
      <scheme val="minor"/>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lightDown">
        <bgColor rgb="FFFF0000"/>
      </patternFill>
    </fill>
    <fill>
      <patternFill patternType="solid">
        <fgColor rgb="FF00B05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rgb="FFC0F8F8"/>
        <bgColor indexed="64"/>
      </patternFill>
    </fill>
  </fills>
  <borders count="4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bottom/>
      <diagonal/>
    </border>
    <border>
      <left style="medium">
        <color indexed="64"/>
      </left>
      <right/>
      <top/>
      <bottom style="medium">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top/>
      <bottom style="thin">
        <color rgb="FFB2B2B2"/>
      </bottom>
      <diagonal/>
    </border>
    <border>
      <left style="thick">
        <color auto="1"/>
      </left>
      <right style="thick">
        <color auto="1"/>
      </right>
      <top style="thick">
        <color auto="1"/>
      </top>
      <bottom style="thick">
        <color auto="1"/>
      </bottom>
      <diagonal/>
    </border>
    <border>
      <left style="hair">
        <color auto="1"/>
      </left>
      <right style="hair">
        <color auto="1"/>
      </right>
      <top style="hair">
        <color auto="1"/>
      </top>
      <bottom style="hair">
        <color auto="1"/>
      </bottom>
      <diagonal/>
    </border>
    <border>
      <left style="thick">
        <color theme="3" tint="0.39994506668294322"/>
      </left>
      <right style="thick">
        <color theme="3" tint="0.39994506668294322"/>
      </right>
      <top style="thick">
        <color theme="3" tint="0.39994506668294322"/>
      </top>
      <bottom style="thick">
        <color theme="3" tint="0.39994506668294322"/>
      </bottom>
      <diagonal/>
    </border>
    <border>
      <left/>
      <right style="thick">
        <color auto="1"/>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ck">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s>
  <cellStyleXfs count="2">
    <xf numFmtId="0" fontId="0" fillId="0" borderId="0"/>
    <xf numFmtId="0" fontId="7" fillId="0" borderId="0" applyNumberFormat="0" applyFill="0" applyBorder="0" applyAlignment="0" applyProtection="0"/>
  </cellStyleXfs>
  <cellXfs count="133">
    <xf numFmtId="0" fontId="0" fillId="0" borderId="0" xfId="0"/>
    <xf numFmtId="0" fontId="0" fillId="0" borderId="1" xfId="0" applyBorder="1"/>
    <xf numFmtId="0" fontId="1" fillId="0" borderId="0" xfId="0" applyFont="1" applyBorder="1"/>
    <xf numFmtId="0" fontId="2" fillId="0" borderId="0" xfId="0" applyFont="1"/>
    <xf numFmtId="0" fontId="0" fillId="4" borderId="0" xfId="0" applyFill="1"/>
    <xf numFmtId="0" fontId="0" fillId="3" borderId="0" xfId="0" applyFill="1"/>
    <xf numFmtId="0" fontId="0" fillId="2" borderId="0" xfId="0" applyFill="1"/>
    <xf numFmtId="0" fontId="0" fillId="0" borderId="0" xfId="0" applyFill="1" applyBorder="1"/>
    <xf numFmtId="0" fontId="4" fillId="0" borderId="0" xfId="0" applyFont="1" applyAlignment="1">
      <alignment horizontal="center" vertical="center" wrapText="1"/>
    </xf>
    <xf numFmtId="0" fontId="1" fillId="0" borderId="3" xfId="0" applyFont="1" applyBorder="1"/>
    <xf numFmtId="0" fontId="1" fillId="0" borderId="4" xfId="0" applyFont="1" applyBorder="1" applyAlignment="1">
      <alignment horizontal="center" vertical="center"/>
    </xf>
    <xf numFmtId="0" fontId="1" fillId="0" borderId="1" xfId="0" applyFont="1" applyBorder="1" applyAlignment="1">
      <alignment horizontal="center" vertical="center"/>
    </xf>
    <xf numFmtId="0" fontId="0" fillId="0" borderId="0" xfId="0" applyFill="1"/>
    <xf numFmtId="0" fontId="1" fillId="0" borderId="1" xfId="0" applyNumberFormat="1" applyFont="1" applyBorder="1" applyAlignment="1">
      <alignment horizontal="center" vertical="center"/>
    </xf>
    <xf numFmtId="0" fontId="1" fillId="0" borderId="1" xfId="0" applyFont="1" applyBorder="1" applyAlignment="1">
      <alignment horizontal="center"/>
    </xf>
    <xf numFmtId="0" fontId="0" fillId="5" borderId="0" xfId="0" applyFill="1"/>
    <xf numFmtId="0" fontId="0" fillId="7" borderId="7" xfId="0" applyFill="1" applyBorder="1"/>
    <xf numFmtId="0" fontId="0" fillId="7" borderId="8" xfId="0" applyFill="1" applyBorder="1"/>
    <xf numFmtId="0" fontId="1" fillId="0" borderId="0" xfId="0" applyFont="1" applyFill="1" applyBorder="1" applyAlignment="1">
      <alignment vertical="center" wrapText="1"/>
    </xf>
    <xf numFmtId="0" fontId="0" fillId="7" borderId="10" xfId="0" applyFill="1" applyBorder="1"/>
    <xf numFmtId="0" fontId="0" fillId="7" borderId="11" xfId="0" applyFill="1" applyBorder="1"/>
    <xf numFmtId="0" fontId="6" fillId="0" borderId="0" xfId="0" applyFont="1"/>
    <xf numFmtId="0" fontId="0" fillId="7" borderId="4" xfId="0" applyFill="1" applyBorder="1"/>
    <xf numFmtId="0" fontId="0" fillId="7" borderId="5" xfId="0" applyFill="1" applyBorder="1"/>
    <xf numFmtId="0" fontId="0" fillId="7" borderId="6" xfId="0" applyFill="1" applyBorder="1"/>
    <xf numFmtId="0" fontId="1" fillId="7" borderId="15" xfId="0" applyFont="1" applyFill="1" applyBorder="1" applyAlignment="1">
      <alignment horizontal="center"/>
    </xf>
    <xf numFmtId="0" fontId="1" fillId="7" borderId="14" xfId="0" applyFont="1" applyFill="1" applyBorder="1" applyAlignment="1">
      <alignment horizont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0" xfId="0" applyNumberFormat="1" applyBorder="1"/>
    <xf numFmtId="0" fontId="0" fillId="6" borderId="1" xfId="0" applyFill="1" applyBorder="1" applyAlignment="1">
      <alignment horizontal="center" vertical="center"/>
    </xf>
    <xf numFmtId="0" fontId="7" fillId="0" borderId="0" xfId="1"/>
    <xf numFmtId="0" fontId="3" fillId="0" borderId="0" xfId="0" applyFont="1" applyBorder="1" applyAlignment="1">
      <alignment horizontal="center" vertical="center"/>
    </xf>
    <xf numFmtId="0" fontId="7" fillId="0" borderId="0" xfId="1" applyFill="1" applyBorder="1" applyAlignment="1">
      <alignment horizontal="right" vertical="top"/>
    </xf>
    <xf numFmtId="0" fontId="7" fillId="0" borderId="0" xfId="1" applyFill="1" applyBorder="1" applyAlignment="1">
      <alignment horizontal="right"/>
    </xf>
    <xf numFmtId="0" fontId="0" fillId="0" borderId="0" xfId="0" applyFill="1" applyBorder="1" applyAlignment="1">
      <alignment horizontal="center" vertical="center"/>
    </xf>
    <xf numFmtId="0" fontId="7" fillId="0" borderId="21" xfId="1" applyFill="1" applyBorder="1" applyAlignment="1">
      <alignment horizontal="right"/>
    </xf>
    <xf numFmtId="0" fontId="0" fillId="0" borderId="22" xfId="0" applyBorder="1" applyAlignment="1">
      <alignment horizontal="center" vertical="center"/>
    </xf>
    <xf numFmtId="0" fontId="0" fillId="0" borderId="0" xfId="0" applyFill="1" applyBorder="1" applyAlignment="1"/>
    <xf numFmtId="0" fontId="6" fillId="0" borderId="0" xfId="0" applyFont="1" applyFill="1" applyBorder="1"/>
    <xf numFmtId="176" fontId="1" fillId="0" borderId="0" xfId="0" applyNumberFormat="1" applyFont="1" applyFill="1" applyBorder="1" applyAlignment="1">
      <alignment horizontal="center"/>
    </xf>
    <xf numFmtId="0" fontId="1" fillId="0" borderId="0" xfId="0" applyFont="1" applyFill="1" applyBorder="1" applyAlignment="1">
      <alignment horizontal="center"/>
    </xf>
    <xf numFmtId="0" fontId="0" fillId="0" borderId="22" xfId="0" applyFill="1" applyBorder="1" applyAlignment="1">
      <alignment horizontal="center" vertical="center"/>
    </xf>
    <xf numFmtId="0" fontId="0" fillId="6" borderId="22" xfId="0" applyFill="1" applyBorder="1" applyAlignment="1">
      <alignment horizontal="center" vertical="center"/>
    </xf>
    <xf numFmtId="0" fontId="1" fillId="7" borderId="7" xfId="0" applyFont="1" applyFill="1" applyBorder="1"/>
    <xf numFmtId="0" fontId="0" fillId="0" borderId="23" xfId="0" applyFill="1" applyBorder="1" applyAlignment="1">
      <alignment horizontal="center" vertical="center"/>
    </xf>
    <xf numFmtId="49" fontId="1" fillId="0" borderId="9" xfId="0" applyNumberFormat="1" applyFont="1" applyBorder="1" applyAlignment="1">
      <alignment horizontal="left" vertical="center"/>
    </xf>
    <xf numFmtId="0" fontId="0" fillId="0" borderId="9" xfId="0" applyBorder="1" applyAlignment="1">
      <alignment horizontal="left" vertical="center"/>
    </xf>
    <xf numFmtId="0" fontId="0" fillId="0" borderId="0" xfId="0" applyAlignment="1"/>
    <xf numFmtId="0" fontId="0" fillId="0" borderId="0" xfId="0" applyAlignment="1">
      <alignment vertical="top"/>
    </xf>
    <xf numFmtId="0" fontId="7" fillId="0" borderId="0" xfId="1" applyAlignment="1"/>
    <xf numFmtId="0" fontId="0" fillId="7" borderId="12" xfId="0" applyFont="1" applyFill="1" applyBorder="1"/>
    <xf numFmtId="0" fontId="0" fillId="7" borderId="13" xfId="0" applyFont="1" applyFill="1" applyBorder="1"/>
    <xf numFmtId="0" fontId="0" fillId="7" borderId="7" xfId="0" applyFont="1" applyFill="1" applyBorder="1"/>
    <xf numFmtId="0" fontId="0" fillId="7" borderId="8" xfId="0" applyFont="1" applyFill="1" applyBorder="1"/>
    <xf numFmtId="0" fontId="1" fillId="0" borderId="22" xfId="0" applyFont="1" applyBorder="1"/>
    <xf numFmtId="0" fontId="0" fillId="0" borderId="22" xfId="0" applyBorder="1"/>
    <xf numFmtId="15" fontId="0" fillId="0" borderId="22" xfId="0" applyNumberFormat="1" applyBorder="1"/>
    <xf numFmtId="0" fontId="0" fillId="6" borderId="24" xfId="0" applyFill="1" applyBorder="1" applyAlignment="1">
      <alignment horizontal="center" vertical="center"/>
    </xf>
    <xf numFmtId="0" fontId="0" fillId="0" borderId="24" xfId="0" applyBorder="1" applyAlignment="1">
      <alignment horizontal="center" vertical="center"/>
    </xf>
    <xf numFmtId="0" fontId="0" fillId="0" borderId="24" xfId="0" applyFill="1" applyBorder="1" applyAlignment="1">
      <alignment horizontal="center" vertical="center"/>
    </xf>
    <xf numFmtId="0" fontId="0" fillId="0" borderId="24" xfId="0" applyNumberFormat="1" applyBorder="1" applyAlignment="1">
      <alignment horizontal="center" vertical="center"/>
    </xf>
    <xf numFmtId="0" fontId="1" fillId="0" borderId="1" xfId="0" applyFont="1" applyBorder="1"/>
    <xf numFmtId="0" fontId="0" fillId="7" borderId="10" xfId="0" applyFill="1" applyBorder="1" applyAlignment="1">
      <alignment horizontal="right"/>
    </xf>
    <xf numFmtId="0" fontId="0" fillId="0" borderId="0" xfId="0" applyFill="1" applyBorder="1"/>
    <xf numFmtId="0" fontId="1" fillId="7" borderId="14" xfId="0" applyFont="1" applyFill="1" applyBorder="1" applyAlignment="1">
      <alignment horizontal="center"/>
    </xf>
    <xf numFmtId="0" fontId="0" fillId="0" borderId="22" xfId="0" applyBorder="1"/>
    <xf numFmtId="15" fontId="0" fillId="0" borderId="22" xfId="0" applyNumberFormat="1" applyBorder="1"/>
    <xf numFmtId="0" fontId="0" fillId="7" borderId="10" xfId="0" applyFill="1" applyBorder="1" applyAlignment="1">
      <alignment horizontal="right"/>
    </xf>
    <xf numFmtId="0" fontId="0" fillId="7" borderId="11" xfId="0" applyFill="1" applyBorder="1" applyAlignment="1">
      <alignment horizontal="right"/>
    </xf>
    <xf numFmtId="0" fontId="0" fillId="7" borderId="10" xfId="0" applyFill="1" applyBorder="1" applyAlignment="1">
      <alignment horizontal="left"/>
    </xf>
    <xf numFmtId="0" fontId="0" fillId="7" borderId="11" xfId="0" applyFill="1" applyBorder="1" applyAlignment="1">
      <alignment horizontal="left"/>
    </xf>
    <xf numFmtId="0" fontId="0" fillId="7" borderId="29" xfId="0" applyFill="1" applyBorder="1" applyAlignment="1">
      <alignment horizontal="center" vertical="center"/>
    </xf>
    <xf numFmtId="0" fontId="0" fillId="7" borderId="29" xfId="0" applyFill="1" applyBorder="1" applyAlignment="1">
      <alignment horizontal="left"/>
    </xf>
    <xf numFmtId="0" fontId="0" fillId="7" borderId="27" xfId="0" applyFill="1" applyBorder="1" applyAlignment="1">
      <alignment horizontal="center" vertical="center"/>
    </xf>
    <xf numFmtId="0" fontId="0" fillId="7" borderId="27" xfId="0" applyFill="1" applyBorder="1" applyAlignment="1">
      <alignment horizontal="left"/>
    </xf>
    <xf numFmtId="0" fontId="0" fillId="7" borderId="11" xfId="0" applyFill="1" applyBorder="1" applyAlignment="1">
      <alignment horizontal="center" vertical="center"/>
    </xf>
    <xf numFmtId="0" fontId="0" fillId="7" borderId="26" xfId="0" applyFill="1" applyBorder="1" applyAlignment="1">
      <alignment horizontal="center" vertical="center"/>
    </xf>
    <xf numFmtId="0" fontId="0" fillId="7" borderId="30" xfId="0" applyFill="1" applyBorder="1" applyAlignment="1">
      <alignment horizontal="left"/>
    </xf>
    <xf numFmtId="0" fontId="0" fillId="7" borderId="30" xfId="0" applyFill="1" applyBorder="1" applyAlignment="1">
      <alignment horizontal="right"/>
    </xf>
    <xf numFmtId="0" fontId="0" fillId="7" borderId="27" xfId="0" applyFill="1" applyBorder="1" applyAlignment="1">
      <alignment horizontal="right"/>
    </xf>
    <xf numFmtId="0" fontId="0" fillId="7" borderId="29" xfId="0" applyFill="1" applyBorder="1" applyAlignment="1">
      <alignment horizontal="right"/>
    </xf>
    <xf numFmtId="0" fontId="1" fillId="7" borderId="27" xfId="0" applyFont="1" applyFill="1" applyBorder="1" applyAlignment="1">
      <alignment horizontal="center"/>
    </xf>
    <xf numFmtId="0" fontId="1" fillId="7" borderId="26" xfId="0" applyFont="1" applyFill="1" applyBorder="1" applyAlignment="1">
      <alignment horizontal="center"/>
    </xf>
    <xf numFmtId="0" fontId="1" fillId="7" borderId="31" xfId="0" applyFont="1" applyFill="1" applyBorder="1" applyAlignment="1">
      <alignment horizontal="center"/>
    </xf>
    <xf numFmtId="0" fontId="0" fillId="7" borderId="32" xfId="0" applyFill="1" applyBorder="1"/>
    <xf numFmtId="0" fontId="0" fillId="7" borderId="33" xfId="0" applyFill="1" applyBorder="1"/>
    <xf numFmtId="0" fontId="0" fillId="7" borderId="35" xfId="0" applyFill="1" applyBorder="1"/>
    <xf numFmtId="0" fontId="0" fillId="7" borderId="0" xfId="0" applyFill="1" applyBorder="1"/>
    <xf numFmtId="0" fontId="0" fillId="7" borderId="36" xfId="0" applyFill="1" applyBorder="1"/>
    <xf numFmtId="0" fontId="1" fillId="7" borderId="34" xfId="0" applyFont="1" applyFill="1" applyBorder="1" applyAlignment="1">
      <alignment horizontal="center"/>
    </xf>
    <xf numFmtId="0" fontId="0" fillId="7" borderId="37" xfId="0" applyFont="1" applyFill="1" applyBorder="1" applyAlignment="1">
      <alignment horizontal="center"/>
    </xf>
    <xf numFmtId="0" fontId="0" fillId="7" borderId="35" xfId="0" applyFont="1" applyFill="1" applyBorder="1" applyAlignment="1">
      <alignment horizontal="center"/>
    </xf>
    <xf numFmtId="0" fontId="0" fillId="7" borderId="38" xfId="0" applyFont="1" applyFill="1" applyBorder="1" applyAlignment="1">
      <alignment horizontal="center"/>
    </xf>
    <xf numFmtId="0" fontId="0" fillId="7" borderId="7" xfId="0" applyFont="1" applyFill="1" applyBorder="1" applyAlignment="1">
      <alignment horizontal="center"/>
    </xf>
    <xf numFmtId="0" fontId="0" fillId="7" borderId="0" xfId="0" applyFont="1" applyFill="1" applyBorder="1" applyAlignment="1">
      <alignment horizontal="center"/>
    </xf>
    <xf numFmtId="0" fontId="0" fillId="7" borderId="32" xfId="0" applyFont="1" applyFill="1" applyBorder="1" applyAlignment="1">
      <alignment horizontal="center"/>
    </xf>
    <xf numFmtId="0" fontId="0" fillId="7" borderId="8" xfId="0" applyFont="1" applyFill="1" applyBorder="1" applyAlignment="1">
      <alignment horizontal="center"/>
    </xf>
    <xf numFmtId="0" fontId="0" fillId="7" borderId="36" xfId="0" applyFont="1" applyFill="1" applyBorder="1" applyAlignment="1">
      <alignment horizontal="center"/>
    </xf>
    <xf numFmtId="0" fontId="0" fillId="7" borderId="33" xfId="0" applyFont="1" applyFill="1" applyBorder="1" applyAlignment="1">
      <alignment horizontal="center"/>
    </xf>
    <xf numFmtId="0" fontId="0" fillId="0" borderId="0" xfId="0" applyAlignment="1">
      <alignment horizontal="center" vertical="center"/>
    </xf>
    <xf numFmtId="0" fontId="0" fillId="0" borderId="22" xfId="0" applyBorder="1" applyAlignment="1">
      <alignment horizontal="center"/>
    </xf>
    <xf numFmtId="0" fontId="0" fillId="0" borderId="24" xfId="0" applyBorder="1" applyAlignment="1">
      <alignment horizontal="center"/>
    </xf>
    <xf numFmtId="0" fontId="1" fillId="7" borderId="40" xfId="0" applyFont="1" applyFill="1" applyBorder="1"/>
    <xf numFmtId="0" fontId="0" fillId="7" borderId="39" xfId="0" applyFill="1" applyBorder="1"/>
    <xf numFmtId="0" fontId="0" fillId="11" borderId="0" xfId="0" applyFill="1"/>
    <xf numFmtId="0" fontId="1" fillId="11" borderId="0" xfId="0" applyFont="1" applyFill="1" applyAlignment="1">
      <alignment horizontal="center" vertical="center"/>
    </xf>
    <xf numFmtId="0" fontId="1" fillId="12" borderId="0" xfId="0" applyFont="1" applyFill="1" applyAlignment="1">
      <alignment horizontal="center" vertical="center"/>
    </xf>
    <xf numFmtId="0" fontId="1" fillId="10" borderId="0" xfId="0" applyFont="1" applyFill="1" applyAlignment="1">
      <alignment horizontal="center" vertical="center"/>
    </xf>
    <xf numFmtId="0" fontId="1" fillId="9" borderId="0" xfId="0" applyFont="1" applyFill="1" applyAlignment="1">
      <alignment horizontal="center" vertical="center"/>
    </xf>
    <xf numFmtId="0" fontId="1" fillId="0" borderId="4" xfId="0" applyFont="1" applyBorder="1" applyAlignment="1">
      <alignment horizontal="center" vertical="top" textRotation="90"/>
    </xf>
    <xf numFmtId="0" fontId="0" fillId="0" borderId="5" xfId="0" applyBorder="1" applyAlignment="1">
      <alignment vertical="top"/>
    </xf>
    <xf numFmtId="0" fontId="0" fillId="0" borderId="6" xfId="0" applyBorder="1" applyAlignment="1">
      <alignment vertical="top"/>
    </xf>
    <xf numFmtId="0" fontId="3" fillId="0" borderId="17"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5" xfId="0" applyFont="1" applyBorder="1" applyAlignment="1">
      <alignment horizontal="center" vertical="center"/>
    </xf>
    <xf numFmtId="0" fontId="5" fillId="0" borderId="0" xfId="0" applyFont="1" applyAlignment="1">
      <alignment vertical="top" wrapText="1"/>
    </xf>
    <xf numFmtId="0" fontId="5" fillId="0" borderId="0" xfId="0" applyFont="1" applyAlignment="1">
      <alignment vertical="top"/>
    </xf>
    <xf numFmtId="0" fontId="0" fillId="0" borderId="0" xfId="0" applyAlignment="1">
      <alignment vertical="top"/>
    </xf>
    <xf numFmtId="0" fontId="3" fillId="0" borderId="0" xfId="0" applyFont="1" applyAlignment="1">
      <alignment horizontal="center" vertical="center" wrapText="1"/>
    </xf>
    <xf numFmtId="0" fontId="0" fillId="0" borderId="0" xfId="0" applyAlignment="1"/>
    <xf numFmtId="0" fontId="0" fillId="8" borderId="0" xfId="0" applyFill="1"/>
    <xf numFmtId="0" fontId="0" fillId="0" borderId="0" xfId="0" applyFill="1" applyBorder="1"/>
    <xf numFmtId="0" fontId="0" fillId="7" borderId="29" xfId="0" applyFill="1"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30" xfId="0" applyBorder="1" applyAlignment="1">
      <alignment horizontal="center" vertical="center"/>
    </xf>
    <xf numFmtId="0" fontId="0" fillId="7" borderId="28" xfId="0" applyFill="1" applyBorder="1" applyAlignment="1">
      <alignment horizontal="center" vertical="center"/>
    </xf>
    <xf numFmtId="0" fontId="1" fillId="7" borderId="2" xfId="0" applyFont="1" applyFill="1" applyBorder="1" applyAlignment="1">
      <alignment horizontal="center" vertical="center"/>
    </xf>
    <xf numFmtId="0" fontId="1" fillId="7" borderId="3" xfId="0" applyFont="1" applyFill="1" applyBorder="1" applyAlignment="1">
      <alignment horizontal="center" vertical="center"/>
    </xf>
  </cellXfs>
  <cellStyles count="2">
    <cellStyle name="常规" xfId="0" builtinId="0"/>
    <cellStyle name="超链接" xfId="1" builtinId="8"/>
  </cellStyles>
  <dxfs count="64">
    <dxf>
      <fill>
        <patternFill>
          <bgColor rgb="FFFF0000"/>
        </patternFill>
      </fill>
    </dxf>
    <dxf>
      <fill>
        <patternFill>
          <bgColor rgb="FF00B050"/>
        </patternFill>
      </fill>
    </dxf>
    <dxf>
      <fill>
        <patternFill>
          <bgColor rgb="FFFFFF00"/>
        </patternFill>
      </fill>
    </dxf>
    <dxf>
      <fill>
        <patternFill patternType="lightDown">
          <bgColor rgb="FFFF0000"/>
        </patternFill>
      </fill>
    </dxf>
    <dxf>
      <fill>
        <patternFill>
          <bgColor rgb="FFFF0000"/>
        </patternFill>
      </fill>
    </dxf>
    <dxf>
      <fill>
        <patternFill patternType="lightUp">
          <bgColor rgb="FFFF0000"/>
        </patternFill>
      </fill>
    </dxf>
    <dxf>
      <fill>
        <patternFill>
          <bgColor rgb="FFFF0000"/>
        </patternFill>
      </fill>
    </dxf>
    <dxf>
      <fill>
        <patternFill patternType="lightDown">
          <bgColor rgb="FFFF0000"/>
        </patternFill>
      </fill>
    </dxf>
    <dxf>
      <fill>
        <patternFill patternType="lightDown">
          <bgColor rgb="FFFF0000"/>
        </patternFill>
      </fill>
    </dxf>
    <dxf>
      <fill>
        <patternFill>
          <bgColor rgb="FFFF0000"/>
        </patternFill>
      </fill>
    </dxf>
    <dxf>
      <fill>
        <patternFill patternType="none">
          <bgColor auto="1"/>
        </patternFill>
      </fill>
    </dxf>
    <dxf>
      <fill>
        <patternFill patternType="solid">
          <bgColor auto="1"/>
        </patternFill>
      </fill>
    </dxf>
    <dxf>
      <fill>
        <patternFill patternType="solid">
          <bgColor auto="1"/>
        </patternFill>
      </fill>
    </dxf>
    <dxf>
      <fill>
        <patternFill>
          <bgColor rgb="FFFF0000"/>
        </patternFill>
      </fill>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Down">
          <bgColor rgb="FFFF0000"/>
        </patternFill>
      </fill>
    </dxf>
    <dxf>
      <fill>
        <patternFill patternType="lightDown">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s>
  <tableStyles count="0" defaultTableStyle="TableStyleMedium9" defaultPivotStyle="PivotStyleLight16"/>
  <colors>
    <mruColors>
      <color rgb="FFC0F8F8"/>
      <color rgb="FFCC00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TC Clocking'!AK10"/><Relationship Id="rId13" Type="http://schemas.openxmlformats.org/officeDocument/2006/relationships/hyperlink" Target="#'QSPI Clocking'!AK34"/><Relationship Id="rId3" Type="http://schemas.openxmlformats.org/officeDocument/2006/relationships/hyperlink" Target="#'Power Mode Control'!M25"/><Relationship Id="rId7" Type="http://schemas.openxmlformats.org/officeDocument/2006/relationships/hyperlink" Target="#'Oscillator Source Control'!P41"/><Relationship Id="rId12" Type="http://schemas.openxmlformats.org/officeDocument/2006/relationships/hyperlink" Target="#'QSPI Clocking'!AM44"/><Relationship Id="rId2" Type="http://schemas.openxmlformats.org/officeDocument/2006/relationships/hyperlink" Target="#'Oscillator Source Control'!U23"/><Relationship Id="rId1" Type="http://schemas.openxmlformats.org/officeDocument/2006/relationships/hyperlink" Target="#'Oscillator Source Control'!D13"/><Relationship Id="rId6" Type="http://schemas.openxmlformats.org/officeDocument/2006/relationships/hyperlink" Target="#'Oscillator Source Control'!F41"/><Relationship Id="rId11" Type="http://schemas.openxmlformats.org/officeDocument/2006/relationships/hyperlink" Target="#'QSPI Clocking'!Y24"/><Relationship Id="rId5" Type="http://schemas.openxmlformats.org/officeDocument/2006/relationships/hyperlink" Target="#SPLL!V11"/><Relationship Id="rId10" Type="http://schemas.openxmlformats.org/officeDocument/2006/relationships/hyperlink" Target="#'QSPI Clocking'!AH46"/><Relationship Id="rId4" Type="http://schemas.openxmlformats.org/officeDocument/2006/relationships/hyperlink" Target="#SPLL!A1"/><Relationship Id="rId9" Type="http://schemas.openxmlformats.org/officeDocument/2006/relationships/hyperlink" Target="#'RTC Clocking'!A1"/></Relationships>
</file>

<file path=xl/drawings/_rels/drawing5.xml.rels><?xml version="1.0" encoding="UTF-8" standalone="yes"?>
<Relationships xmlns="http://schemas.openxmlformats.org/package/2006/relationships"><Relationship Id="rId8" Type="http://schemas.openxmlformats.org/officeDocument/2006/relationships/hyperlink" Target="#Tree!BB106"/><Relationship Id="rId13" Type="http://schemas.openxmlformats.org/officeDocument/2006/relationships/hyperlink" Target="#Tree!BH184"/><Relationship Id="rId18" Type="http://schemas.openxmlformats.org/officeDocument/2006/relationships/hyperlink" Target="#Tree!AM186"/><Relationship Id="rId26" Type="http://schemas.openxmlformats.org/officeDocument/2006/relationships/hyperlink" Target="#'Module Domains'!AE175"/><Relationship Id="rId3" Type="http://schemas.openxmlformats.org/officeDocument/2006/relationships/hyperlink" Target="#Tree!BB42"/><Relationship Id="rId21" Type="http://schemas.openxmlformats.org/officeDocument/2006/relationships/hyperlink" Target="#'RTC Clocking'!A1"/><Relationship Id="rId7" Type="http://schemas.openxmlformats.org/officeDocument/2006/relationships/hyperlink" Target="#Tree!BB94"/><Relationship Id="rId12" Type="http://schemas.openxmlformats.org/officeDocument/2006/relationships/hyperlink" Target="#'CAN Clocking'!D11"/><Relationship Id="rId17" Type="http://schemas.openxmlformats.org/officeDocument/2006/relationships/hyperlink" Target="#Tree!AR174"/><Relationship Id="rId25" Type="http://schemas.openxmlformats.org/officeDocument/2006/relationships/hyperlink" Target="#'Module Domains'!AE174"/><Relationship Id="rId2" Type="http://schemas.openxmlformats.org/officeDocument/2006/relationships/hyperlink" Target="#Tree!BB18"/><Relationship Id="rId16" Type="http://schemas.openxmlformats.org/officeDocument/2006/relationships/hyperlink" Target="#Tree!BB31"/><Relationship Id="rId20" Type="http://schemas.openxmlformats.org/officeDocument/2006/relationships/hyperlink" Target="#Tree!BB16"/><Relationship Id="rId29" Type="http://schemas.openxmlformats.org/officeDocument/2006/relationships/hyperlink" Target="#'QSPI Clocking'!A1"/><Relationship Id="rId1" Type="http://schemas.openxmlformats.org/officeDocument/2006/relationships/hyperlink" Target="#Tree!BB24"/><Relationship Id="rId6" Type="http://schemas.openxmlformats.org/officeDocument/2006/relationships/hyperlink" Target="#Tree!BB80"/><Relationship Id="rId11" Type="http://schemas.openxmlformats.org/officeDocument/2006/relationships/hyperlink" Target="#'Oscillator Source Control'!P41"/><Relationship Id="rId24" Type="http://schemas.openxmlformats.org/officeDocument/2006/relationships/hyperlink" Target="#'Module Domains'!AE173"/><Relationship Id="rId5" Type="http://schemas.openxmlformats.org/officeDocument/2006/relationships/hyperlink" Target="#Tree!BB68"/><Relationship Id="rId15" Type="http://schemas.openxmlformats.org/officeDocument/2006/relationships/hyperlink" Target="#Tree!X26"/><Relationship Id="rId23" Type="http://schemas.openxmlformats.org/officeDocument/2006/relationships/hyperlink" Target="#'CAN Clocking'!D196"/><Relationship Id="rId28" Type="http://schemas.openxmlformats.org/officeDocument/2006/relationships/hyperlink" Target="#'SAI Clocking'!N58"/><Relationship Id="rId10" Type="http://schemas.openxmlformats.org/officeDocument/2006/relationships/hyperlink" Target="#Tree!BB132"/><Relationship Id="rId19" Type="http://schemas.openxmlformats.org/officeDocument/2006/relationships/hyperlink" Target="#'RTC Clocking'!AK10"/><Relationship Id="rId31" Type="http://schemas.openxmlformats.org/officeDocument/2006/relationships/hyperlink" Target="#'Device Select'!G17"/><Relationship Id="rId4" Type="http://schemas.openxmlformats.org/officeDocument/2006/relationships/hyperlink" Target="#Tree!BB55"/><Relationship Id="rId9" Type="http://schemas.openxmlformats.org/officeDocument/2006/relationships/hyperlink" Target="#Tree!BB120"/><Relationship Id="rId14" Type="http://schemas.openxmlformats.org/officeDocument/2006/relationships/hyperlink" Target="#'Oscillator Source Control'!U23"/><Relationship Id="rId22" Type="http://schemas.openxmlformats.org/officeDocument/2006/relationships/hyperlink" Target="#'CAN Clocking'!D106"/><Relationship Id="rId27" Type="http://schemas.openxmlformats.org/officeDocument/2006/relationships/hyperlink" Target="#'SAI Clocking'!N15"/><Relationship Id="rId30" Type="http://schemas.openxmlformats.org/officeDocument/2006/relationships/hyperlink" Target="#'ENET Clocking'!B9"/></Relationships>
</file>

<file path=xl/drawings/_rels/drawing6.xml.rels><?xml version="1.0" encoding="UTF-8" standalone="yes"?>
<Relationships xmlns="http://schemas.openxmlformats.org/package/2006/relationships"><Relationship Id="rId3" Type="http://schemas.openxmlformats.org/officeDocument/2006/relationships/hyperlink" Target="#Tree!AR174"/><Relationship Id="rId2" Type="http://schemas.openxmlformats.org/officeDocument/2006/relationships/hyperlink" Target="#Tree!AM186"/><Relationship Id="rId1" Type="http://schemas.openxmlformats.org/officeDocument/2006/relationships/hyperlink" Target="#Tree!BB24"/></Relationships>
</file>

<file path=xl/drawings/_rels/drawing7.xml.rels><?xml version="1.0" encoding="UTF-8" standalone="yes"?>
<Relationships xmlns="http://schemas.openxmlformats.org/package/2006/relationships"><Relationship Id="rId3" Type="http://schemas.openxmlformats.org/officeDocument/2006/relationships/hyperlink" Target="#'Module Domains'!H336"/><Relationship Id="rId7" Type="http://schemas.openxmlformats.org/officeDocument/2006/relationships/hyperlink" Target="#'Device Select'!G17"/><Relationship Id="rId2" Type="http://schemas.openxmlformats.org/officeDocument/2006/relationships/hyperlink" Target="#Tree!BB120"/><Relationship Id="rId1" Type="http://schemas.openxmlformats.org/officeDocument/2006/relationships/hyperlink" Target="#Tree!BB24"/><Relationship Id="rId6" Type="http://schemas.openxmlformats.org/officeDocument/2006/relationships/hyperlink" Target="#'Module Domains'!E348"/><Relationship Id="rId5" Type="http://schemas.openxmlformats.org/officeDocument/2006/relationships/hyperlink" Target="#'Module Domains'!E335"/><Relationship Id="rId4" Type="http://schemas.openxmlformats.org/officeDocument/2006/relationships/hyperlink" Target="#'Module Domains'!J336"/></Relationships>
</file>

<file path=xl/drawings/_rels/drawing8.xml.rels><?xml version="1.0" encoding="UTF-8" standalone="yes"?>
<Relationships xmlns="http://schemas.openxmlformats.org/package/2006/relationships"><Relationship Id="rId8" Type="http://schemas.openxmlformats.org/officeDocument/2006/relationships/hyperlink" Target="#'QSPI Clocking'!AU53"/><Relationship Id="rId13" Type="http://schemas.openxmlformats.org/officeDocument/2006/relationships/hyperlink" Target="#'Device Select'!G17"/><Relationship Id="rId3" Type="http://schemas.openxmlformats.org/officeDocument/2006/relationships/hyperlink" Target="#Tree!BB42"/><Relationship Id="rId7" Type="http://schemas.openxmlformats.org/officeDocument/2006/relationships/hyperlink" Target="#'QSPI Clocking'!AP53"/><Relationship Id="rId12" Type="http://schemas.openxmlformats.org/officeDocument/2006/relationships/hyperlink" Target="#Tree!BB11"/><Relationship Id="rId2" Type="http://schemas.openxmlformats.org/officeDocument/2006/relationships/hyperlink" Target="#Tree!BB18"/><Relationship Id="rId1" Type="http://schemas.openxmlformats.org/officeDocument/2006/relationships/hyperlink" Target="#Tree!BB24"/><Relationship Id="rId6" Type="http://schemas.openxmlformats.org/officeDocument/2006/relationships/hyperlink" Target="#'QSPI Clocking'!AI38"/><Relationship Id="rId11" Type="http://schemas.openxmlformats.org/officeDocument/2006/relationships/hyperlink" Target="#'QSPI Clocking'!BW1"/><Relationship Id="rId5" Type="http://schemas.openxmlformats.org/officeDocument/2006/relationships/hyperlink" Target="#'QSPI Clocking'!R16"/><Relationship Id="rId10" Type="http://schemas.openxmlformats.org/officeDocument/2006/relationships/hyperlink" Target="#'QSPI Clocking'!AU64"/><Relationship Id="rId4" Type="http://schemas.openxmlformats.org/officeDocument/2006/relationships/hyperlink" Target="#Tree!BB68"/><Relationship Id="rId9" Type="http://schemas.openxmlformats.org/officeDocument/2006/relationships/hyperlink" Target="#'QSPI Clocking'!AU62"/></Relationships>
</file>

<file path=xl/drawings/_rels/drawing9.xml.rels><?xml version="1.0" encoding="UTF-8" standalone="yes"?>
<Relationships xmlns="http://schemas.openxmlformats.org/package/2006/relationships"><Relationship Id="rId8" Type="http://schemas.openxmlformats.org/officeDocument/2006/relationships/hyperlink" Target="#'Device Select'!G17"/><Relationship Id="rId3" Type="http://schemas.openxmlformats.org/officeDocument/2006/relationships/hyperlink" Target="#Tree!BB68"/><Relationship Id="rId7" Type="http://schemas.openxmlformats.org/officeDocument/2006/relationships/hyperlink" Target="#'Module Domains'!E362"/><Relationship Id="rId2" Type="http://schemas.openxmlformats.org/officeDocument/2006/relationships/hyperlink" Target="#Tree!BB42"/><Relationship Id="rId1" Type="http://schemas.openxmlformats.org/officeDocument/2006/relationships/hyperlink" Target="#Tree!BB18"/><Relationship Id="rId6" Type="http://schemas.openxmlformats.org/officeDocument/2006/relationships/hyperlink" Target="#'Module Domains'!E371"/><Relationship Id="rId5" Type="http://schemas.openxmlformats.org/officeDocument/2006/relationships/hyperlink" Target="#Tree!BB120"/><Relationship Id="rId4" Type="http://schemas.openxmlformats.org/officeDocument/2006/relationships/hyperlink" Target="#Tree!BB94"/></Relationships>
</file>

<file path=xl/drawings/_rels/drawing10.xml.rels><?xml version="1.0" encoding="UTF-8" standalone="yes"?>
<Relationships xmlns="http://schemas.openxmlformats.org/package/2006/relationships"><Relationship Id="rId3" Type="http://schemas.openxmlformats.org/officeDocument/2006/relationships/hyperlink" Target="#'Module Domains'!AN69"/><Relationship Id="rId7" Type="http://schemas.openxmlformats.org/officeDocument/2006/relationships/hyperlink" Target="#'Module Domains'!AN290"/><Relationship Id="rId2" Type="http://schemas.openxmlformats.org/officeDocument/2006/relationships/hyperlink" Target="#'Module Domains'!M12"/><Relationship Id="rId1" Type="http://schemas.openxmlformats.org/officeDocument/2006/relationships/hyperlink" Target="#'Module Domains'!AK57"/><Relationship Id="rId6" Type="http://schemas.openxmlformats.org/officeDocument/2006/relationships/hyperlink" Target="#'Module Domains'!AK279"/><Relationship Id="rId5" Type="http://schemas.openxmlformats.org/officeDocument/2006/relationships/hyperlink" Target="#'Module Domains'!AN273"/><Relationship Id="rId4" Type="http://schemas.openxmlformats.org/officeDocument/2006/relationships/hyperlink" Target="#'Module Domains'!AK262"/></Relationships>
</file>

<file path=xl/drawings/_rels/drawing11.xml.rels><?xml version="1.0" encoding="UTF-8" standalone="yes"?>
<Relationships xmlns="http://schemas.openxmlformats.org/package/2006/relationships"><Relationship Id="rId2" Type="http://schemas.openxmlformats.org/officeDocument/2006/relationships/hyperlink" Target="#'Device Select'!G17"/><Relationship Id="rId1" Type="http://schemas.openxmlformats.org/officeDocument/2006/relationships/hyperlink" Target="#Tree!N41"/></Relationships>
</file>

<file path=xl/drawings/drawing1.xml><?xml version="1.0" encoding="utf-8"?>
<xdr:wsDr xmlns:xdr="http://schemas.openxmlformats.org/drawingml/2006/spreadsheetDrawing" xmlns:a="http://schemas.openxmlformats.org/drawingml/2006/main">
  <xdr:oneCellAnchor>
    <xdr:from>
      <xdr:col>5</xdr:col>
      <xdr:colOff>123265</xdr:colOff>
      <xdr:row>0</xdr:row>
      <xdr:rowOff>67236</xdr:rowOff>
    </xdr:from>
    <xdr:ext cx="4840942" cy="895348"/>
    <xdr:sp macro="" textlink="">
      <xdr:nvSpPr>
        <xdr:cNvPr id="177" name="TextBox 176">
          <a:extLst>
            <a:ext uri="{FF2B5EF4-FFF2-40B4-BE49-F238E27FC236}">
              <a16:creationId xmlns:a16="http://schemas.microsoft.com/office/drawing/2014/main" xmlns="" id="{00000000-0008-0000-0000-0000B1000000}"/>
            </a:ext>
          </a:extLst>
        </xdr:cNvPr>
        <xdr:cNvSpPr txBox="1"/>
      </xdr:nvSpPr>
      <xdr:spPr>
        <a:xfrm>
          <a:off x="3148853" y="67236"/>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Clock Configuration</a:t>
          </a:r>
        </a:p>
      </xdr:txBody>
    </xdr:sp>
    <xdr:clientData/>
  </xdr:oneCellAnchor>
  <xdr:twoCellAnchor>
    <xdr:from>
      <xdr:col>1</xdr:col>
      <xdr:colOff>425822</xdr:colOff>
      <xdr:row>8</xdr:row>
      <xdr:rowOff>187054</xdr:rowOff>
    </xdr:from>
    <xdr:to>
      <xdr:col>3</xdr:col>
      <xdr:colOff>212462</xdr:colOff>
      <xdr:row>13</xdr:row>
      <xdr:rowOff>20556</xdr:rowOff>
    </xdr:to>
    <xdr:sp macro="" textlink="">
      <xdr:nvSpPr>
        <xdr:cNvPr id="180" name="Rectangle 179">
          <a:extLst>
            <a:ext uri="{FF2B5EF4-FFF2-40B4-BE49-F238E27FC236}">
              <a16:creationId xmlns:a16="http://schemas.microsoft.com/office/drawing/2014/main" xmlns="" id="{00000000-0008-0000-0000-0000B4000000}"/>
            </a:ext>
          </a:extLst>
        </xdr:cNvPr>
        <xdr:cNvSpPr/>
      </xdr:nvSpPr>
      <xdr:spPr>
        <a:xfrm>
          <a:off x="1033957" y="1857592"/>
          <a:ext cx="1002909" cy="8592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48 MHz FIRC</a:t>
          </a:r>
        </a:p>
        <a:p>
          <a:pPr algn="ctr"/>
          <a:r>
            <a:rPr lang="en-US" sz="900"/>
            <a:t>SCG_FIRCCFG[RANGE]</a:t>
          </a:r>
        </a:p>
      </xdr:txBody>
    </xdr:sp>
    <xdr:clientData/>
  </xdr:twoCellAnchor>
  <xdr:twoCellAnchor>
    <xdr:from>
      <xdr:col>5</xdr:col>
      <xdr:colOff>400825</xdr:colOff>
      <xdr:row>8</xdr:row>
      <xdr:rowOff>182744</xdr:rowOff>
    </xdr:from>
    <xdr:to>
      <xdr:col>7</xdr:col>
      <xdr:colOff>187465</xdr:colOff>
      <xdr:row>13</xdr:row>
      <xdr:rowOff>16246</xdr:rowOff>
    </xdr:to>
    <xdr:sp macro="" textlink="">
      <xdr:nvSpPr>
        <xdr:cNvPr id="181" name="Rectangle 180">
          <a:extLst>
            <a:ext uri="{FF2B5EF4-FFF2-40B4-BE49-F238E27FC236}">
              <a16:creationId xmlns:a16="http://schemas.microsoft.com/office/drawing/2014/main" xmlns="" id="{00000000-0008-0000-0000-0000B5000000}"/>
            </a:ext>
          </a:extLst>
        </xdr:cNvPr>
        <xdr:cNvSpPr/>
      </xdr:nvSpPr>
      <xdr:spPr>
        <a:xfrm>
          <a:off x="3441498" y="1853282"/>
          <a:ext cx="1002909" cy="8592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FIRC Enable</a:t>
          </a:r>
          <a:endParaRPr lang="en-US">
            <a:effectLst/>
          </a:endParaRPr>
        </a:p>
        <a:p>
          <a:pPr algn="ctr"/>
          <a:r>
            <a:rPr lang="en-US" sz="900">
              <a:solidFill>
                <a:schemeClr val="lt1"/>
              </a:solidFill>
              <a:effectLst/>
              <a:latin typeface="+mn-lt"/>
              <a:ea typeface="+mn-ea"/>
              <a:cs typeface="+mn-cs"/>
            </a:rPr>
            <a:t>SCG_FIRCCSR[FIRCEN]</a:t>
          </a:r>
          <a:endParaRPr lang="en-US" sz="900">
            <a:effectLst/>
          </a:endParaRPr>
        </a:p>
      </xdr:txBody>
    </xdr:sp>
    <xdr:clientData/>
  </xdr:twoCellAnchor>
  <xdr:twoCellAnchor>
    <xdr:from>
      <xdr:col>3</xdr:col>
      <xdr:colOff>212462</xdr:colOff>
      <xdr:row>10</xdr:row>
      <xdr:rowOff>205736</xdr:rowOff>
    </xdr:from>
    <xdr:to>
      <xdr:col>5</xdr:col>
      <xdr:colOff>400825</xdr:colOff>
      <xdr:row>10</xdr:row>
      <xdr:rowOff>210046</xdr:rowOff>
    </xdr:to>
    <xdr:cxnSp macro="">
      <xdr:nvCxnSpPr>
        <xdr:cNvPr id="183" name="Straight Arrow Connector 182">
          <a:extLst>
            <a:ext uri="{FF2B5EF4-FFF2-40B4-BE49-F238E27FC236}">
              <a16:creationId xmlns:a16="http://schemas.microsoft.com/office/drawing/2014/main" xmlns="" id="{00000000-0008-0000-0000-0000B7000000}"/>
            </a:ext>
          </a:extLst>
        </xdr:cNvPr>
        <xdr:cNvCxnSpPr>
          <a:stCxn id="180" idx="3"/>
          <a:endCxn id="181" idx="1"/>
        </xdr:cNvCxnSpPr>
      </xdr:nvCxnSpPr>
      <xdr:spPr>
        <a:xfrm flipV="1">
          <a:off x="2036866" y="2264601"/>
          <a:ext cx="1404632" cy="431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542192</xdr:colOff>
      <xdr:row>14</xdr:row>
      <xdr:rowOff>14656</xdr:rowOff>
    </xdr:from>
    <xdr:ext cx="1152526" cy="681404"/>
    <xdr:sp macro="" textlink="">
      <xdr:nvSpPr>
        <xdr:cNvPr id="184" name="TextBox 183">
          <a:extLst>
            <a:ext uri="{FF2B5EF4-FFF2-40B4-BE49-F238E27FC236}">
              <a16:creationId xmlns:a16="http://schemas.microsoft.com/office/drawing/2014/main" xmlns="" id="{00000000-0008-0000-0000-0000B8000000}"/>
            </a:ext>
          </a:extLst>
        </xdr:cNvPr>
        <xdr:cNvSpPr txBox="1"/>
      </xdr:nvSpPr>
      <xdr:spPr>
        <a:xfrm>
          <a:off x="1150327" y="2828194"/>
          <a:ext cx="1152526" cy="681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0 - 48</a:t>
          </a:r>
          <a:r>
            <a:rPr lang="en-US" sz="800" baseline="0"/>
            <a:t> MHz</a:t>
          </a:r>
        </a:p>
        <a:p>
          <a:r>
            <a:rPr lang="en-US" sz="800" baseline="0"/>
            <a:t>1 - Reserved</a:t>
          </a:r>
        </a:p>
        <a:p>
          <a:r>
            <a:rPr lang="en-US" sz="800" baseline="0"/>
            <a:t>2 - Reserved</a:t>
          </a:r>
        </a:p>
        <a:p>
          <a:r>
            <a:rPr lang="en-US" sz="800" baseline="0"/>
            <a:t>3 - Reserved</a:t>
          </a:r>
          <a:endParaRPr lang="en-US" sz="800"/>
        </a:p>
      </xdr:txBody>
    </xdr:sp>
    <xdr:clientData/>
  </xdr:oneCellAnchor>
  <xdr:oneCellAnchor>
    <xdr:from>
      <xdr:col>5</xdr:col>
      <xdr:colOff>556846</xdr:colOff>
      <xdr:row>13</xdr:row>
      <xdr:rowOff>183175</xdr:rowOff>
    </xdr:from>
    <xdr:ext cx="876300" cy="342900"/>
    <xdr:sp macro="" textlink="">
      <xdr:nvSpPr>
        <xdr:cNvPr id="185" name="TextBox 184">
          <a:extLst>
            <a:ext uri="{FF2B5EF4-FFF2-40B4-BE49-F238E27FC236}">
              <a16:creationId xmlns:a16="http://schemas.microsoft.com/office/drawing/2014/main" xmlns="" id="{00000000-0008-0000-0000-0000B9000000}"/>
            </a:ext>
          </a:extLst>
        </xdr:cNvPr>
        <xdr:cNvSpPr txBox="1"/>
      </xdr:nvSpPr>
      <xdr:spPr>
        <a:xfrm>
          <a:off x="3597519" y="2967406"/>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 </a:t>
          </a:r>
          <a:r>
            <a:rPr lang="en-US" sz="800" baseline="0"/>
            <a:t>Off</a:t>
          </a:r>
          <a:endParaRPr lang="en-US" sz="800"/>
        </a:p>
        <a:p>
          <a:r>
            <a:rPr lang="en-US" sz="800"/>
            <a:t>1 - FIRC On</a:t>
          </a:r>
        </a:p>
      </xdr:txBody>
    </xdr:sp>
    <xdr:clientData/>
  </xdr:oneCellAnchor>
  <xdr:twoCellAnchor>
    <xdr:from>
      <xdr:col>7</xdr:col>
      <xdr:colOff>181690</xdr:colOff>
      <xdr:row>11</xdr:row>
      <xdr:rowOff>1515</xdr:rowOff>
    </xdr:from>
    <xdr:to>
      <xdr:col>10</xdr:col>
      <xdr:colOff>347870</xdr:colOff>
      <xdr:row>11</xdr:row>
      <xdr:rowOff>1515</xdr:rowOff>
    </xdr:to>
    <xdr:cxnSp macro="">
      <xdr:nvCxnSpPr>
        <xdr:cNvPr id="186" name="Straight Arrow Connector 185">
          <a:extLst>
            <a:ext uri="{FF2B5EF4-FFF2-40B4-BE49-F238E27FC236}">
              <a16:creationId xmlns:a16="http://schemas.microsoft.com/office/drawing/2014/main" xmlns="" id="{00000000-0008-0000-0000-0000BA000000}"/>
            </a:ext>
          </a:extLst>
        </xdr:cNvPr>
        <xdr:cNvCxnSpPr/>
      </xdr:nvCxnSpPr>
      <xdr:spPr>
        <a:xfrm>
          <a:off x="4472081" y="2362058"/>
          <a:ext cx="2004919"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353700</xdr:colOff>
      <xdr:row>7</xdr:row>
      <xdr:rowOff>161193</xdr:rowOff>
    </xdr:from>
    <xdr:to>
      <xdr:col>13</xdr:col>
      <xdr:colOff>287756</xdr:colOff>
      <xdr:row>15</xdr:row>
      <xdr:rowOff>21981</xdr:rowOff>
    </xdr:to>
    <xdr:sp macro="" textlink="">
      <xdr:nvSpPr>
        <xdr:cNvPr id="11" name="Rectangle 10">
          <a:extLst>
            <a:ext uri="{FF2B5EF4-FFF2-40B4-BE49-F238E27FC236}">
              <a16:creationId xmlns:a16="http://schemas.microsoft.com/office/drawing/2014/main" xmlns="" id="{00000000-0008-0000-0000-00000B000000}"/>
            </a:ext>
          </a:extLst>
        </xdr:cNvPr>
        <xdr:cNvSpPr/>
      </xdr:nvSpPr>
      <xdr:spPr>
        <a:xfrm>
          <a:off x="6482830" y="1734889"/>
          <a:ext cx="1772796" cy="145933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FIRC  Voltage</a:t>
          </a:r>
          <a:r>
            <a:rPr lang="en-US" sz="1100" baseline="0">
              <a:solidFill>
                <a:schemeClr val="lt1"/>
              </a:solidFill>
              <a:effectLst/>
              <a:latin typeface="+mn-lt"/>
              <a:ea typeface="+mn-ea"/>
              <a:cs typeface="+mn-cs"/>
            </a:rPr>
            <a:t> Regulator</a:t>
          </a:r>
        </a:p>
        <a:p>
          <a:pPr algn="ctr"/>
          <a:r>
            <a:rPr lang="en-US" sz="900">
              <a:solidFill>
                <a:schemeClr val="lt1"/>
              </a:solidFill>
              <a:effectLst/>
              <a:latin typeface="+mn-lt"/>
              <a:ea typeface="+mn-ea"/>
              <a:cs typeface="+mn-cs"/>
            </a:rPr>
            <a:t>SCG_FIRCCSR[FIRCREGOFF]</a:t>
          </a:r>
        </a:p>
        <a:p>
          <a:pPr marL="0" marR="0" indent="0" algn="ctr" defTabSz="914400" eaLnBrk="1" fontAlgn="auto" latinLnBrk="0" hangingPunct="1">
            <a:lnSpc>
              <a:spcPct val="100000"/>
            </a:lnSpc>
            <a:spcBef>
              <a:spcPts val="0"/>
            </a:spcBef>
            <a:spcAft>
              <a:spcPts val="0"/>
            </a:spcAft>
            <a:buClrTx/>
            <a:buSzTx/>
            <a:buFontTx/>
            <a:buNone/>
            <a:tabLst/>
            <a:defRPr/>
          </a:pPr>
          <a:r>
            <a:rPr lang="en-US" sz="800">
              <a:effectLst/>
            </a:rPr>
            <a:t>FYI Only: Voltage regulator</a:t>
          </a:r>
          <a:r>
            <a:rPr lang="en-US" sz="800" baseline="0">
              <a:effectLst/>
            </a:rPr>
            <a:t> does not change FIRC frequency rating</a:t>
          </a:r>
          <a:endParaRPr lang="en-US" sz="800">
            <a:effectLst/>
          </a:endParaRPr>
        </a:p>
      </xdr:txBody>
    </xdr:sp>
    <xdr:clientData/>
  </xdr:twoCellAnchor>
  <xdr:twoCellAnchor>
    <xdr:from>
      <xdr:col>13</xdr:col>
      <xdr:colOff>323021</xdr:colOff>
      <xdr:row>11</xdr:row>
      <xdr:rowOff>32885</xdr:rowOff>
    </xdr:from>
    <xdr:to>
      <xdr:col>16</xdr:col>
      <xdr:colOff>364434</xdr:colOff>
      <xdr:row>11</xdr:row>
      <xdr:rowOff>32885</xdr:rowOff>
    </xdr:to>
    <xdr:cxnSp macro="">
      <xdr:nvCxnSpPr>
        <xdr:cNvPr id="15" name="Straight Arrow Connector 14">
          <a:extLst>
            <a:ext uri="{FF2B5EF4-FFF2-40B4-BE49-F238E27FC236}">
              <a16:creationId xmlns:a16="http://schemas.microsoft.com/office/drawing/2014/main" xmlns="" id="{00000000-0008-0000-0000-00000F000000}"/>
            </a:ext>
          </a:extLst>
        </xdr:cNvPr>
        <xdr:cNvCxnSpPr/>
      </xdr:nvCxnSpPr>
      <xdr:spPr>
        <a:xfrm>
          <a:off x="8290891" y="2393428"/>
          <a:ext cx="1880152"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409575</xdr:colOff>
      <xdr:row>23</xdr:row>
      <xdr:rowOff>108438</xdr:rowOff>
    </xdr:from>
    <xdr:to>
      <xdr:col>3</xdr:col>
      <xdr:colOff>196215</xdr:colOff>
      <xdr:row>27</xdr:row>
      <xdr:rowOff>192521</xdr:rowOff>
    </xdr:to>
    <xdr:sp macro="" textlink="">
      <xdr:nvSpPr>
        <xdr:cNvPr id="17" name="Rectangle 16">
          <a:extLst>
            <a:ext uri="{FF2B5EF4-FFF2-40B4-BE49-F238E27FC236}">
              <a16:creationId xmlns:a16="http://schemas.microsoft.com/office/drawing/2014/main" xmlns="" id="{00000000-0008-0000-0000-000011000000}"/>
            </a:ext>
          </a:extLst>
        </xdr:cNvPr>
        <xdr:cNvSpPr/>
      </xdr:nvSpPr>
      <xdr:spPr>
        <a:xfrm>
          <a:off x="1017710" y="4966188"/>
          <a:ext cx="1002909" cy="9340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8 MHz</a:t>
          </a:r>
          <a:r>
            <a:rPr lang="en-US" sz="1100" baseline="0"/>
            <a:t> </a:t>
          </a:r>
          <a:r>
            <a:rPr lang="en-US" sz="1100"/>
            <a:t>SIRC</a:t>
          </a:r>
        </a:p>
        <a:p>
          <a:pPr algn="ctr"/>
          <a:r>
            <a:rPr lang="en-US" sz="900"/>
            <a:t>SCG_SIRCCFG[RANGE]</a:t>
          </a:r>
        </a:p>
      </xdr:txBody>
    </xdr:sp>
    <xdr:clientData/>
  </xdr:twoCellAnchor>
  <xdr:oneCellAnchor>
    <xdr:from>
      <xdr:col>1</xdr:col>
      <xdr:colOff>569302</xdr:colOff>
      <xdr:row>29</xdr:row>
      <xdr:rowOff>8794</xdr:rowOff>
    </xdr:from>
    <xdr:ext cx="773723" cy="353156"/>
    <xdr:sp macro="" textlink="">
      <xdr:nvSpPr>
        <xdr:cNvPr id="18" name="TextBox 17">
          <a:extLst>
            <a:ext uri="{FF2B5EF4-FFF2-40B4-BE49-F238E27FC236}">
              <a16:creationId xmlns:a16="http://schemas.microsoft.com/office/drawing/2014/main" xmlns="" id="{00000000-0008-0000-0000-000012000000}"/>
            </a:ext>
          </a:extLst>
        </xdr:cNvPr>
        <xdr:cNvSpPr txBox="1"/>
      </xdr:nvSpPr>
      <xdr:spPr>
        <a:xfrm>
          <a:off x="1178902" y="5790469"/>
          <a:ext cx="773723"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Reserved</a:t>
          </a:r>
        </a:p>
        <a:p>
          <a:r>
            <a:rPr lang="en-US" sz="800"/>
            <a:t>1 - 8</a:t>
          </a:r>
          <a:r>
            <a:rPr lang="en-US" sz="800" baseline="0"/>
            <a:t> MHz</a:t>
          </a:r>
          <a:endParaRPr lang="en-US" sz="800"/>
        </a:p>
      </xdr:txBody>
    </xdr:sp>
    <xdr:clientData/>
  </xdr:oneCellAnchor>
  <xdr:twoCellAnchor>
    <xdr:from>
      <xdr:col>3</xdr:col>
      <xdr:colOff>196215</xdr:colOff>
      <xdr:row>26</xdr:row>
      <xdr:rowOff>16701</xdr:rowOff>
    </xdr:from>
    <xdr:to>
      <xdr:col>5</xdr:col>
      <xdr:colOff>412548</xdr:colOff>
      <xdr:row>26</xdr:row>
      <xdr:rowOff>18596</xdr:rowOff>
    </xdr:to>
    <xdr:cxnSp macro="">
      <xdr:nvCxnSpPr>
        <xdr:cNvPr id="19" name="Straight Arrow Connector 18">
          <a:extLst>
            <a:ext uri="{FF2B5EF4-FFF2-40B4-BE49-F238E27FC236}">
              <a16:creationId xmlns:a16="http://schemas.microsoft.com/office/drawing/2014/main" xmlns="" id="{00000000-0008-0000-0000-000013000000}"/>
            </a:ext>
          </a:extLst>
        </xdr:cNvPr>
        <xdr:cNvCxnSpPr/>
      </xdr:nvCxnSpPr>
      <xdr:spPr>
        <a:xfrm flipV="1">
          <a:off x="2020619" y="5511893"/>
          <a:ext cx="1432602" cy="1895"/>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412548</xdr:colOff>
      <xdr:row>23</xdr:row>
      <xdr:rowOff>106543</xdr:rowOff>
    </xdr:from>
    <xdr:to>
      <xdr:col>7</xdr:col>
      <xdr:colOff>199188</xdr:colOff>
      <xdr:row>27</xdr:row>
      <xdr:rowOff>190626</xdr:rowOff>
    </xdr:to>
    <xdr:sp macro="" textlink="">
      <xdr:nvSpPr>
        <xdr:cNvPr id="24" name="Rectangle 23">
          <a:extLst>
            <a:ext uri="{FF2B5EF4-FFF2-40B4-BE49-F238E27FC236}">
              <a16:creationId xmlns:a16="http://schemas.microsoft.com/office/drawing/2014/main" xmlns="" id="{00000000-0008-0000-0000-000018000000}"/>
            </a:ext>
          </a:extLst>
        </xdr:cNvPr>
        <xdr:cNvSpPr/>
      </xdr:nvSpPr>
      <xdr:spPr>
        <a:xfrm>
          <a:off x="3453221" y="4964293"/>
          <a:ext cx="1002909" cy="9340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SIRC Enable</a:t>
          </a:r>
          <a:endParaRPr lang="en-US">
            <a:effectLst/>
          </a:endParaRPr>
        </a:p>
        <a:p>
          <a:pPr algn="ctr"/>
          <a:r>
            <a:rPr lang="en-US" sz="900">
              <a:solidFill>
                <a:schemeClr val="lt1"/>
              </a:solidFill>
              <a:effectLst/>
              <a:latin typeface="+mn-lt"/>
              <a:ea typeface="+mn-ea"/>
              <a:cs typeface="+mn-cs"/>
            </a:rPr>
            <a:t>SCG_SIRCCSR[SIRCEN]</a:t>
          </a:r>
          <a:endParaRPr lang="en-US" sz="900">
            <a:effectLst/>
          </a:endParaRPr>
        </a:p>
      </xdr:txBody>
    </xdr:sp>
    <xdr:clientData/>
  </xdr:twoCellAnchor>
  <xdr:oneCellAnchor>
    <xdr:from>
      <xdr:col>5</xdr:col>
      <xdr:colOff>550252</xdr:colOff>
      <xdr:row>28</xdr:row>
      <xdr:rowOff>180244</xdr:rowOff>
    </xdr:from>
    <xdr:ext cx="773723" cy="353156"/>
    <xdr:sp macro="" textlink="">
      <xdr:nvSpPr>
        <xdr:cNvPr id="26" name="TextBox 25">
          <a:extLst>
            <a:ext uri="{FF2B5EF4-FFF2-40B4-BE49-F238E27FC236}">
              <a16:creationId xmlns:a16="http://schemas.microsoft.com/office/drawing/2014/main" xmlns="" id="{00000000-0008-0000-0000-00001A000000}"/>
            </a:ext>
          </a:extLst>
        </xdr:cNvPr>
        <xdr:cNvSpPr txBox="1"/>
      </xdr:nvSpPr>
      <xdr:spPr>
        <a:xfrm>
          <a:off x="3598252" y="5752369"/>
          <a:ext cx="773723"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a:t>
          </a:r>
          <a:r>
            <a:rPr lang="en-US" sz="800" baseline="0"/>
            <a:t> Off</a:t>
          </a:r>
          <a:endParaRPr lang="en-US" sz="800"/>
        </a:p>
        <a:p>
          <a:r>
            <a:rPr lang="en-US" sz="800"/>
            <a:t>1 - SIRC</a:t>
          </a:r>
          <a:r>
            <a:rPr lang="en-US" sz="800" baseline="0"/>
            <a:t> On</a:t>
          </a:r>
          <a:endParaRPr lang="en-US" sz="800"/>
        </a:p>
      </xdr:txBody>
    </xdr:sp>
    <xdr:clientData/>
  </xdr:oneCellAnchor>
  <xdr:twoCellAnchor>
    <xdr:from>
      <xdr:col>7</xdr:col>
      <xdr:colOff>209532</xdr:colOff>
      <xdr:row>26</xdr:row>
      <xdr:rowOff>10020</xdr:rowOff>
    </xdr:from>
    <xdr:to>
      <xdr:col>9</xdr:col>
      <xdr:colOff>409575</xdr:colOff>
      <xdr:row>26</xdr:row>
      <xdr:rowOff>10020</xdr:rowOff>
    </xdr:to>
    <xdr:cxnSp macro="">
      <xdr:nvCxnSpPr>
        <xdr:cNvPr id="27" name="Straight Arrow Connector 26">
          <a:extLst>
            <a:ext uri="{FF2B5EF4-FFF2-40B4-BE49-F238E27FC236}">
              <a16:creationId xmlns:a16="http://schemas.microsoft.com/office/drawing/2014/main" xmlns="" id="{00000000-0008-0000-0000-00001B000000}"/>
            </a:ext>
          </a:extLst>
        </xdr:cNvPr>
        <xdr:cNvCxnSpPr/>
      </xdr:nvCxnSpPr>
      <xdr:spPr>
        <a:xfrm>
          <a:off x="4476732" y="5372595"/>
          <a:ext cx="1419243"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349542</xdr:colOff>
      <xdr:row>10</xdr:row>
      <xdr:rowOff>200026</xdr:rowOff>
    </xdr:from>
    <xdr:to>
      <xdr:col>21</xdr:col>
      <xdr:colOff>349542</xdr:colOff>
      <xdr:row>16</xdr:row>
      <xdr:rowOff>140805</xdr:rowOff>
    </xdr:to>
    <xdr:cxnSp macro="">
      <xdr:nvCxnSpPr>
        <xdr:cNvPr id="29" name="Straight Arrow Connector 28">
          <a:extLst>
            <a:ext uri="{FF2B5EF4-FFF2-40B4-BE49-F238E27FC236}">
              <a16:creationId xmlns:a16="http://schemas.microsoft.com/office/drawing/2014/main" xmlns="" id="{00000000-0008-0000-0000-00001D000000}"/>
            </a:ext>
          </a:extLst>
        </xdr:cNvPr>
        <xdr:cNvCxnSpPr/>
      </xdr:nvCxnSpPr>
      <xdr:spPr>
        <a:xfrm>
          <a:off x="13220716" y="2353504"/>
          <a:ext cx="0" cy="1166605"/>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400050</xdr:colOff>
      <xdr:row>38</xdr:row>
      <xdr:rowOff>47625</xdr:rowOff>
    </xdr:from>
    <xdr:to>
      <xdr:col>3</xdr:col>
      <xdr:colOff>186690</xdr:colOff>
      <xdr:row>42</xdr:row>
      <xdr:rowOff>157352</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xmlns="" id="{00000000-0008-0000-0000-000025000000}"/>
            </a:ext>
          </a:extLst>
        </xdr:cNvPr>
        <xdr:cNvSpPr/>
      </xdr:nvSpPr>
      <xdr:spPr>
        <a:xfrm>
          <a:off x="1009650" y="759142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System Oscillator (SOSC)</a:t>
          </a:r>
        </a:p>
        <a:p>
          <a:pPr algn="ctr"/>
          <a:r>
            <a:rPr lang="en-US" sz="800"/>
            <a:t>Click</a:t>
          </a:r>
          <a:r>
            <a:rPr lang="en-US" sz="800" baseline="0"/>
            <a:t> me for more info</a:t>
          </a:r>
          <a:endParaRPr lang="en-US" sz="800"/>
        </a:p>
      </xdr:txBody>
    </xdr:sp>
    <xdr:clientData/>
  </xdr:twoCellAnchor>
  <xdr:twoCellAnchor>
    <xdr:from>
      <xdr:col>3</xdr:col>
      <xdr:colOff>209550</xdr:colOff>
      <xdr:row>40</xdr:row>
      <xdr:rowOff>28575</xdr:rowOff>
    </xdr:from>
    <xdr:to>
      <xdr:col>10</xdr:col>
      <xdr:colOff>381000</xdr:colOff>
      <xdr:row>40</xdr:row>
      <xdr:rowOff>28575</xdr:rowOff>
    </xdr:to>
    <xdr:cxnSp macro="">
      <xdr:nvCxnSpPr>
        <xdr:cNvPr id="21" name="Straight Arrow Connector 20">
          <a:extLst>
            <a:ext uri="{FF2B5EF4-FFF2-40B4-BE49-F238E27FC236}">
              <a16:creationId xmlns:a16="http://schemas.microsoft.com/office/drawing/2014/main" xmlns="" id="{00000000-0008-0000-0000-000015000000}"/>
            </a:ext>
          </a:extLst>
        </xdr:cNvPr>
        <xdr:cNvCxnSpPr/>
      </xdr:nvCxnSpPr>
      <xdr:spPr>
        <a:xfrm>
          <a:off x="2038350" y="8001000"/>
          <a:ext cx="4438650"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542925</xdr:colOff>
      <xdr:row>37</xdr:row>
      <xdr:rowOff>142875</xdr:rowOff>
    </xdr:from>
    <xdr:ext cx="769327" cy="257176"/>
    <xdr:sp macro="" textlink="">
      <xdr:nvSpPr>
        <xdr:cNvPr id="23" name="TextBox 22">
          <a:hlinkClick xmlns:r="http://schemas.openxmlformats.org/officeDocument/2006/relationships" r:id="rId2"/>
          <a:extLst>
            <a:ext uri="{FF2B5EF4-FFF2-40B4-BE49-F238E27FC236}">
              <a16:creationId xmlns:a16="http://schemas.microsoft.com/office/drawing/2014/main" xmlns="" id="{00000000-0008-0000-0000-000017000000}"/>
            </a:ext>
          </a:extLst>
        </xdr:cNvPr>
        <xdr:cNvSpPr txBox="1"/>
      </xdr:nvSpPr>
      <xdr:spPr>
        <a:xfrm>
          <a:off x="2371725" y="7496175"/>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SOSC_CLK</a:t>
          </a:r>
        </a:p>
      </xdr:txBody>
    </xdr:sp>
    <xdr:clientData/>
  </xdr:oneCellAnchor>
  <xdr:twoCellAnchor>
    <xdr:from>
      <xdr:col>21</xdr:col>
      <xdr:colOff>339587</xdr:colOff>
      <xdr:row>16</xdr:row>
      <xdr:rowOff>152400</xdr:rowOff>
    </xdr:from>
    <xdr:to>
      <xdr:col>36</xdr:col>
      <xdr:colOff>304800</xdr:colOff>
      <xdr:row>16</xdr:row>
      <xdr:rowOff>152400</xdr:rowOff>
    </xdr:to>
    <xdr:cxnSp macro="">
      <xdr:nvCxnSpPr>
        <xdr:cNvPr id="41" name="Straight Arrow Connector 40">
          <a:extLst>
            <a:ext uri="{FF2B5EF4-FFF2-40B4-BE49-F238E27FC236}">
              <a16:creationId xmlns:a16="http://schemas.microsoft.com/office/drawing/2014/main" xmlns="" id="{00000000-0008-0000-0000-000029000000}"/>
            </a:ext>
          </a:extLst>
        </xdr:cNvPr>
        <xdr:cNvCxnSpPr/>
      </xdr:nvCxnSpPr>
      <xdr:spPr>
        <a:xfrm>
          <a:off x="13210761" y="3531704"/>
          <a:ext cx="9158909"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376446</xdr:colOff>
      <xdr:row>9</xdr:row>
      <xdr:rowOff>152400</xdr:rowOff>
    </xdr:from>
    <xdr:to>
      <xdr:col>18</xdr:col>
      <xdr:colOff>163086</xdr:colOff>
      <xdr:row>13</xdr:row>
      <xdr:rowOff>176402</xdr:rowOff>
    </xdr:to>
    <xdr:sp macro="" textlink="">
      <xdr:nvSpPr>
        <xdr:cNvPr id="32" name="Rectangle 31">
          <a:hlinkClick xmlns:r="http://schemas.openxmlformats.org/officeDocument/2006/relationships" r:id="rId3"/>
          <a:extLst>
            <a:ext uri="{FF2B5EF4-FFF2-40B4-BE49-F238E27FC236}">
              <a16:creationId xmlns:a16="http://schemas.microsoft.com/office/drawing/2014/main" xmlns="" id="{00000000-0008-0000-0000-000020000000}"/>
            </a:ext>
          </a:extLst>
        </xdr:cNvPr>
        <xdr:cNvSpPr/>
      </xdr:nvSpPr>
      <xdr:spPr>
        <a:xfrm>
          <a:off x="10183055" y="2107096"/>
          <a:ext cx="1012466" cy="827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18</xdr:col>
      <xdr:colOff>207065</xdr:colOff>
      <xdr:row>10</xdr:row>
      <xdr:rowOff>207065</xdr:rowOff>
    </xdr:from>
    <xdr:to>
      <xdr:col>21</xdr:col>
      <xdr:colOff>356152</xdr:colOff>
      <xdr:row>10</xdr:row>
      <xdr:rowOff>207065</xdr:rowOff>
    </xdr:to>
    <xdr:cxnSp macro="">
      <xdr:nvCxnSpPr>
        <xdr:cNvPr id="33" name="Straight Arrow Connector 32">
          <a:extLst>
            <a:ext uri="{FF2B5EF4-FFF2-40B4-BE49-F238E27FC236}">
              <a16:creationId xmlns:a16="http://schemas.microsoft.com/office/drawing/2014/main" xmlns="" id="{00000000-0008-0000-0000-000021000000}"/>
            </a:ext>
          </a:extLst>
        </xdr:cNvPr>
        <xdr:cNvCxnSpPr/>
      </xdr:nvCxnSpPr>
      <xdr:spPr>
        <a:xfrm>
          <a:off x="11239500" y="2360543"/>
          <a:ext cx="1987826" cy="0"/>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428625</xdr:colOff>
      <xdr:row>23</xdr:row>
      <xdr:rowOff>142875</xdr:rowOff>
    </xdr:from>
    <xdr:to>
      <xdr:col>22</xdr:col>
      <xdr:colOff>215265</xdr:colOff>
      <xdr:row>27</xdr:row>
      <xdr:rowOff>176402</xdr:rowOff>
    </xdr:to>
    <xdr:sp macro="" textlink="">
      <xdr:nvSpPr>
        <xdr:cNvPr id="35" name="Rectangle 34">
          <a:hlinkClick xmlns:r="http://schemas.openxmlformats.org/officeDocument/2006/relationships" r:id="rId3"/>
          <a:extLst>
            <a:ext uri="{FF2B5EF4-FFF2-40B4-BE49-F238E27FC236}">
              <a16:creationId xmlns:a16="http://schemas.microsoft.com/office/drawing/2014/main" xmlns="" id="{00000000-0008-0000-0000-000023000000}"/>
            </a:ext>
          </a:extLst>
        </xdr:cNvPr>
        <xdr:cNvSpPr/>
      </xdr:nvSpPr>
      <xdr:spPr>
        <a:xfrm>
          <a:off x="12620625" y="4876800"/>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22</xdr:col>
      <xdr:colOff>238125</xdr:colOff>
      <xdr:row>26</xdr:row>
      <xdr:rowOff>9525</xdr:rowOff>
    </xdr:from>
    <xdr:to>
      <xdr:col>24</xdr:col>
      <xdr:colOff>238125</xdr:colOff>
      <xdr:row>26</xdr:row>
      <xdr:rowOff>9525</xdr:rowOff>
    </xdr:to>
    <xdr:cxnSp macro="">
      <xdr:nvCxnSpPr>
        <xdr:cNvPr id="36" name="Straight Arrow Connector 35">
          <a:extLst>
            <a:ext uri="{FF2B5EF4-FFF2-40B4-BE49-F238E27FC236}">
              <a16:creationId xmlns:a16="http://schemas.microsoft.com/office/drawing/2014/main" xmlns="" id="{00000000-0008-0000-0000-000024000000}"/>
            </a:ext>
          </a:extLst>
        </xdr:cNvPr>
        <xdr:cNvCxnSpPr/>
      </xdr:nvCxnSpPr>
      <xdr:spPr>
        <a:xfrm>
          <a:off x="13649325" y="5372100"/>
          <a:ext cx="1219200" cy="0"/>
        </a:xfrm>
        <a:prstGeom prst="straightConnector1">
          <a:avLst/>
        </a:prstGeom>
        <a:ln w="19050">
          <a:solidFill>
            <a:srgbClr val="FFC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390525</xdr:colOff>
      <xdr:row>38</xdr:row>
      <xdr:rowOff>133350</xdr:rowOff>
    </xdr:from>
    <xdr:to>
      <xdr:col>12</xdr:col>
      <xdr:colOff>177165</xdr:colOff>
      <xdr:row>42</xdr:row>
      <xdr:rowOff>166877</xdr:rowOff>
    </xdr:to>
    <xdr:sp macro="" textlink="">
      <xdr:nvSpPr>
        <xdr:cNvPr id="42" name="Rectangle 41">
          <a:hlinkClick xmlns:r="http://schemas.openxmlformats.org/officeDocument/2006/relationships" r:id="rId3"/>
          <a:extLst>
            <a:ext uri="{FF2B5EF4-FFF2-40B4-BE49-F238E27FC236}">
              <a16:creationId xmlns:a16="http://schemas.microsoft.com/office/drawing/2014/main" xmlns="" id="{00000000-0008-0000-0000-00002A000000}"/>
            </a:ext>
          </a:extLst>
        </xdr:cNvPr>
        <xdr:cNvSpPr/>
      </xdr:nvSpPr>
      <xdr:spPr>
        <a:xfrm>
          <a:off x="6486525" y="7696200"/>
          <a:ext cx="1005840" cy="8336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12</xdr:col>
      <xdr:colOff>200025</xdr:colOff>
      <xdr:row>41</xdr:row>
      <xdr:rowOff>0</xdr:rowOff>
    </xdr:from>
    <xdr:to>
      <xdr:col>26</xdr:col>
      <xdr:colOff>19050</xdr:colOff>
      <xdr:row>41</xdr:row>
      <xdr:rowOff>0</xdr:rowOff>
    </xdr:to>
    <xdr:cxnSp macro="">
      <xdr:nvCxnSpPr>
        <xdr:cNvPr id="43" name="Straight Arrow Connector 42">
          <a:extLst>
            <a:ext uri="{FF2B5EF4-FFF2-40B4-BE49-F238E27FC236}">
              <a16:creationId xmlns:a16="http://schemas.microsoft.com/office/drawing/2014/main" xmlns="" id="{00000000-0008-0000-0000-00002B000000}"/>
            </a:ext>
          </a:extLst>
        </xdr:cNvPr>
        <xdr:cNvCxnSpPr/>
      </xdr:nvCxnSpPr>
      <xdr:spPr>
        <a:xfrm>
          <a:off x="7515225" y="8181975"/>
          <a:ext cx="8353425" cy="0"/>
        </a:xfrm>
        <a:prstGeom prst="straightConnector1">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xdr:colOff>
      <xdr:row>12</xdr:row>
      <xdr:rowOff>152402</xdr:rowOff>
    </xdr:from>
    <xdr:to>
      <xdr:col>26</xdr:col>
      <xdr:colOff>19050</xdr:colOff>
      <xdr:row>119</xdr:row>
      <xdr:rowOff>47625</xdr:rowOff>
    </xdr:to>
    <xdr:cxnSp macro="">
      <xdr:nvCxnSpPr>
        <xdr:cNvPr id="46" name="Straight Arrow Connector 45">
          <a:extLst>
            <a:ext uri="{FF2B5EF4-FFF2-40B4-BE49-F238E27FC236}">
              <a16:creationId xmlns:a16="http://schemas.microsoft.com/office/drawing/2014/main" xmlns="" id="{00000000-0008-0000-0000-00002E000000}"/>
            </a:ext>
          </a:extLst>
        </xdr:cNvPr>
        <xdr:cNvCxnSpPr/>
      </xdr:nvCxnSpPr>
      <xdr:spPr>
        <a:xfrm flipV="1">
          <a:off x="15868650" y="2628902"/>
          <a:ext cx="0" cy="21155023"/>
        </a:xfrm>
        <a:prstGeom prst="straightConnector1">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19707</xdr:colOff>
      <xdr:row>12</xdr:row>
      <xdr:rowOff>159639</xdr:rowOff>
    </xdr:from>
    <xdr:to>
      <xdr:col>27</xdr:col>
      <xdr:colOff>390525</xdr:colOff>
      <xdr:row>12</xdr:row>
      <xdr:rowOff>159639</xdr:rowOff>
    </xdr:to>
    <xdr:cxnSp macro="">
      <xdr:nvCxnSpPr>
        <xdr:cNvPr id="52" name="Straight Arrow Connector 51">
          <a:extLst>
            <a:ext uri="{FF2B5EF4-FFF2-40B4-BE49-F238E27FC236}">
              <a16:creationId xmlns:a16="http://schemas.microsoft.com/office/drawing/2014/main" xmlns="" id="{00000000-0008-0000-0000-000034000000}"/>
            </a:ext>
          </a:extLst>
        </xdr:cNvPr>
        <xdr:cNvCxnSpPr>
          <a:endCxn id="55" idx="1"/>
        </xdr:cNvCxnSpPr>
      </xdr:nvCxnSpPr>
      <xdr:spPr>
        <a:xfrm>
          <a:off x="15903466" y="2682122"/>
          <a:ext cx="981731"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390525</xdr:colOff>
      <xdr:row>10</xdr:row>
      <xdr:rowOff>133350</xdr:rowOff>
    </xdr:from>
    <xdr:to>
      <xdr:col>29</xdr:col>
      <xdr:colOff>177165</xdr:colOff>
      <xdr:row>14</xdr:row>
      <xdr:rowOff>185927</xdr:rowOff>
    </xdr:to>
    <xdr:sp macro="" textlink="">
      <xdr:nvSpPr>
        <xdr:cNvPr id="55" name="Rectangle 54">
          <a:hlinkClick xmlns:r="http://schemas.openxmlformats.org/officeDocument/2006/relationships" r:id="rId4"/>
          <a:extLst>
            <a:ext uri="{FF2B5EF4-FFF2-40B4-BE49-F238E27FC236}">
              <a16:creationId xmlns:a16="http://schemas.microsoft.com/office/drawing/2014/main" xmlns="" id="{00000000-0008-0000-0000-000037000000}"/>
            </a:ext>
          </a:extLst>
        </xdr:cNvPr>
        <xdr:cNvSpPr/>
      </xdr:nvSpPr>
      <xdr:spPr>
        <a:xfrm>
          <a:off x="16849725" y="220027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SPLL</a:t>
          </a:r>
        </a:p>
        <a:p>
          <a:pPr algn="ctr"/>
          <a:r>
            <a:rPr lang="en-US" sz="1050">
              <a:solidFill>
                <a:schemeClr val="lt1"/>
              </a:solidFill>
              <a:effectLst/>
              <a:latin typeface="+mn-lt"/>
              <a:ea typeface="+mn-ea"/>
              <a:cs typeface="+mn-cs"/>
            </a:rPr>
            <a:t>(S32K14x</a:t>
          </a:r>
          <a:r>
            <a:rPr lang="en-US" sz="1050" baseline="0">
              <a:solidFill>
                <a:schemeClr val="lt1"/>
              </a:solidFill>
              <a:effectLst/>
              <a:latin typeface="+mn-lt"/>
              <a:ea typeface="+mn-ea"/>
              <a:cs typeface="+mn-cs"/>
            </a:rPr>
            <a:t> only)</a:t>
          </a:r>
          <a:endParaRPr lang="en-US" sz="1050">
            <a:solidFill>
              <a:schemeClr val="lt1"/>
            </a:solidFill>
            <a:effectLst/>
            <a:latin typeface="+mn-lt"/>
            <a:ea typeface="+mn-ea"/>
            <a:cs typeface="+mn-cs"/>
          </a:endParaRPr>
        </a:p>
        <a:p>
          <a:pPr algn="ctr"/>
          <a:r>
            <a:rPr lang="en-US" sz="900">
              <a:effectLst/>
            </a:rPr>
            <a:t>Click me for more info</a:t>
          </a:r>
        </a:p>
      </xdr:txBody>
    </xdr:sp>
    <xdr:clientData/>
  </xdr:twoCellAnchor>
  <xdr:twoCellAnchor>
    <xdr:from>
      <xdr:col>29</xdr:col>
      <xdr:colOff>190500</xdr:colOff>
      <xdr:row>12</xdr:row>
      <xdr:rowOff>180975</xdr:rowOff>
    </xdr:from>
    <xdr:to>
      <xdr:col>31</xdr:col>
      <xdr:colOff>400050</xdr:colOff>
      <xdr:row>12</xdr:row>
      <xdr:rowOff>180975</xdr:rowOff>
    </xdr:to>
    <xdr:cxnSp macro="">
      <xdr:nvCxnSpPr>
        <xdr:cNvPr id="63" name="Straight Arrow Connector 62">
          <a:extLst>
            <a:ext uri="{FF2B5EF4-FFF2-40B4-BE49-F238E27FC236}">
              <a16:creationId xmlns:a16="http://schemas.microsoft.com/office/drawing/2014/main" xmlns="" id="{00000000-0008-0000-0000-00003F000000}"/>
            </a:ext>
          </a:extLst>
        </xdr:cNvPr>
        <xdr:cNvCxnSpPr/>
      </xdr:nvCxnSpPr>
      <xdr:spPr>
        <a:xfrm>
          <a:off x="17868900" y="2819400"/>
          <a:ext cx="1428750"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504825</xdr:colOff>
      <xdr:row>11</xdr:row>
      <xdr:rowOff>123825</xdr:rowOff>
    </xdr:from>
    <xdr:ext cx="847725" cy="266700"/>
    <xdr:sp macro="" textlink="">
      <xdr:nvSpPr>
        <xdr:cNvPr id="64" name="TextBox 63">
          <a:hlinkClick xmlns:r="http://schemas.openxmlformats.org/officeDocument/2006/relationships" r:id="rId5"/>
          <a:extLst>
            <a:ext uri="{FF2B5EF4-FFF2-40B4-BE49-F238E27FC236}">
              <a16:creationId xmlns:a16="http://schemas.microsoft.com/office/drawing/2014/main" xmlns="" id="{00000000-0008-0000-0000-000040000000}"/>
            </a:ext>
          </a:extLst>
        </xdr:cNvPr>
        <xdr:cNvSpPr txBox="1"/>
      </xdr:nvSpPr>
      <xdr:spPr>
        <a:xfrm>
          <a:off x="18183225" y="24003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SPLL_CLK</a:t>
          </a:r>
        </a:p>
      </xdr:txBody>
    </xdr:sp>
    <xdr:clientData/>
  </xdr:oneCellAnchor>
  <xdr:oneCellAnchor>
    <xdr:from>
      <xdr:col>7</xdr:col>
      <xdr:colOff>552450</xdr:colOff>
      <xdr:row>23</xdr:row>
      <xdr:rowOff>152400</xdr:rowOff>
    </xdr:from>
    <xdr:ext cx="769327" cy="257176"/>
    <xdr:sp macro="" textlink="">
      <xdr:nvSpPr>
        <xdr:cNvPr id="65" name="TextBox 64">
          <a:extLst>
            <a:ext uri="{FF2B5EF4-FFF2-40B4-BE49-F238E27FC236}">
              <a16:creationId xmlns:a16="http://schemas.microsoft.com/office/drawing/2014/main" xmlns="" id="{00000000-0008-0000-0000-000041000000}"/>
            </a:ext>
          </a:extLst>
        </xdr:cNvPr>
        <xdr:cNvSpPr txBox="1"/>
      </xdr:nvSpPr>
      <xdr:spPr>
        <a:xfrm>
          <a:off x="4819650" y="4886325"/>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SIRC_CLK</a:t>
          </a:r>
        </a:p>
      </xdr:txBody>
    </xdr:sp>
    <xdr:clientData/>
  </xdr:oneCellAnchor>
  <xdr:oneCellAnchor>
    <xdr:from>
      <xdr:col>7</xdr:col>
      <xdr:colOff>533400</xdr:colOff>
      <xdr:row>8</xdr:row>
      <xdr:rowOff>161925</xdr:rowOff>
    </xdr:from>
    <xdr:ext cx="769327" cy="257176"/>
    <xdr:sp macro="" textlink="">
      <xdr:nvSpPr>
        <xdr:cNvPr id="66" name="TextBox 65">
          <a:extLst>
            <a:ext uri="{FF2B5EF4-FFF2-40B4-BE49-F238E27FC236}">
              <a16:creationId xmlns:a16="http://schemas.microsoft.com/office/drawing/2014/main" xmlns="" id="{00000000-0008-0000-0000-000042000000}"/>
            </a:ext>
          </a:extLst>
        </xdr:cNvPr>
        <xdr:cNvSpPr txBox="1"/>
      </xdr:nvSpPr>
      <xdr:spPr>
        <a:xfrm>
          <a:off x="4800600" y="1838325"/>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FIRC_CLK</a:t>
          </a:r>
        </a:p>
      </xdr:txBody>
    </xdr:sp>
    <xdr:clientData/>
  </xdr:oneCellAnchor>
  <xdr:twoCellAnchor>
    <xdr:from>
      <xdr:col>31</xdr:col>
      <xdr:colOff>409575</xdr:colOff>
      <xdr:row>10</xdr:row>
      <xdr:rowOff>171450</xdr:rowOff>
    </xdr:from>
    <xdr:to>
      <xdr:col>33</xdr:col>
      <xdr:colOff>196215</xdr:colOff>
      <xdr:row>14</xdr:row>
      <xdr:rowOff>185927</xdr:rowOff>
    </xdr:to>
    <xdr:sp macro="" textlink="">
      <xdr:nvSpPr>
        <xdr:cNvPr id="69" name="Rectangle 68">
          <a:hlinkClick xmlns:r="http://schemas.openxmlformats.org/officeDocument/2006/relationships" r:id="rId3"/>
          <a:extLst>
            <a:ext uri="{FF2B5EF4-FFF2-40B4-BE49-F238E27FC236}">
              <a16:creationId xmlns:a16="http://schemas.microsoft.com/office/drawing/2014/main" xmlns="" id="{00000000-0008-0000-0000-000045000000}"/>
            </a:ext>
          </a:extLst>
        </xdr:cNvPr>
        <xdr:cNvSpPr/>
      </xdr:nvSpPr>
      <xdr:spPr>
        <a:xfrm>
          <a:off x="19307175" y="2238375"/>
          <a:ext cx="1005840" cy="8336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33</xdr:col>
      <xdr:colOff>238125</xdr:colOff>
      <xdr:row>13</xdr:row>
      <xdr:rowOff>9525</xdr:rowOff>
    </xdr:from>
    <xdr:to>
      <xdr:col>35</xdr:col>
      <xdr:colOff>447675</xdr:colOff>
      <xdr:row>13</xdr:row>
      <xdr:rowOff>9525</xdr:rowOff>
    </xdr:to>
    <xdr:cxnSp macro="">
      <xdr:nvCxnSpPr>
        <xdr:cNvPr id="73" name="Straight Arrow Connector 72">
          <a:extLst>
            <a:ext uri="{FF2B5EF4-FFF2-40B4-BE49-F238E27FC236}">
              <a16:creationId xmlns:a16="http://schemas.microsoft.com/office/drawing/2014/main" xmlns="" id="{00000000-0008-0000-0000-000049000000}"/>
            </a:ext>
          </a:extLst>
        </xdr:cNvPr>
        <xdr:cNvCxnSpPr/>
      </xdr:nvCxnSpPr>
      <xdr:spPr>
        <a:xfrm>
          <a:off x="20354925" y="2686050"/>
          <a:ext cx="1428750" cy="0"/>
        </a:xfrm>
        <a:prstGeom prst="straightConnector1">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247650</xdr:colOff>
      <xdr:row>18</xdr:row>
      <xdr:rowOff>161925</xdr:rowOff>
    </xdr:from>
    <xdr:to>
      <xdr:col>24</xdr:col>
      <xdr:colOff>247650</xdr:colOff>
      <xdr:row>93</xdr:row>
      <xdr:rowOff>123825</xdr:rowOff>
    </xdr:to>
    <xdr:cxnSp macro="">
      <xdr:nvCxnSpPr>
        <xdr:cNvPr id="75" name="Straight Arrow Connector 74">
          <a:extLst>
            <a:ext uri="{FF2B5EF4-FFF2-40B4-BE49-F238E27FC236}">
              <a16:creationId xmlns:a16="http://schemas.microsoft.com/office/drawing/2014/main" xmlns="" id="{00000000-0008-0000-0000-00004B000000}"/>
            </a:ext>
          </a:extLst>
        </xdr:cNvPr>
        <xdr:cNvCxnSpPr/>
      </xdr:nvCxnSpPr>
      <xdr:spPr>
        <a:xfrm>
          <a:off x="14878050" y="3886200"/>
          <a:ext cx="0" cy="14868525"/>
        </a:xfrm>
        <a:prstGeom prst="straightConnector1">
          <a:avLst/>
        </a:prstGeom>
        <a:ln w="19050">
          <a:solidFill>
            <a:srgbClr val="FFC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257175</xdr:colOff>
      <xdr:row>34</xdr:row>
      <xdr:rowOff>125168</xdr:rowOff>
    </xdr:from>
    <xdr:to>
      <xdr:col>27</xdr:col>
      <xdr:colOff>200025</xdr:colOff>
      <xdr:row>34</xdr:row>
      <xdr:rowOff>128588</xdr:rowOff>
    </xdr:to>
    <xdr:cxnSp macro="">
      <xdr:nvCxnSpPr>
        <xdr:cNvPr id="78" name="Straight Arrow Connector 77">
          <a:extLst>
            <a:ext uri="{FF2B5EF4-FFF2-40B4-BE49-F238E27FC236}">
              <a16:creationId xmlns:a16="http://schemas.microsoft.com/office/drawing/2014/main" xmlns="" id="{00000000-0008-0000-0000-00004E000000}"/>
            </a:ext>
          </a:extLst>
        </xdr:cNvPr>
        <xdr:cNvCxnSpPr>
          <a:endCxn id="83" idx="1"/>
        </xdr:cNvCxnSpPr>
      </xdr:nvCxnSpPr>
      <xdr:spPr>
        <a:xfrm>
          <a:off x="14887575" y="6945068"/>
          <a:ext cx="1771650" cy="342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9525</xdr:colOff>
      <xdr:row>31</xdr:row>
      <xdr:rowOff>28576</xdr:rowOff>
    </xdr:from>
    <xdr:to>
      <xdr:col>27</xdr:col>
      <xdr:colOff>190499</xdr:colOff>
      <xdr:row>31</xdr:row>
      <xdr:rowOff>28576</xdr:rowOff>
    </xdr:to>
    <xdr:cxnSp macro="">
      <xdr:nvCxnSpPr>
        <xdr:cNvPr id="80" name="Straight Arrow Connector 79">
          <a:extLst>
            <a:ext uri="{FF2B5EF4-FFF2-40B4-BE49-F238E27FC236}">
              <a16:creationId xmlns:a16="http://schemas.microsoft.com/office/drawing/2014/main" xmlns="" id="{00000000-0008-0000-0000-000050000000}"/>
            </a:ext>
          </a:extLst>
        </xdr:cNvPr>
        <xdr:cNvCxnSpPr>
          <a:endCxn id="88" idx="1"/>
        </xdr:cNvCxnSpPr>
      </xdr:nvCxnSpPr>
      <xdr:spPr>
        <a:xfrm>
          <a:off x="15859125" y="6276976"/>
          <a:ext cx="790574"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200025</xdr:colOff>
      <xdr:row>30</xdr:row>
      <xdr:rowOff>104775</xdr:rowOff>
    </xdr:from>
    <xdr:to>
      <xdr:col>29</xdr:col>
      <xdr:colOff>361950</xdr:colOff>
      <xdr:row>35</xdr:row>
      <xdr:rowOff>123825</xdr:rowOff>
    </xdr:to>
    <xdr:grpSp>
      <xdr:nvGrpSpPr>
        <xdr:cNvPr id="76" name="Group 75">
          <a:extLst>
            <a:ext uri="{FF2B5EF4-FFF2-40B4-BE49-F238E27FC236}">
              <a16:creationId xmlns:a16="http://schemas.microsoft.com/office/drawing/2014/main" xmlns="" id="{00000000-0008-0000-0000-00004C000000}"/>
            </a:ext>
          </a:extLst>
        </xdr:cNvPr>
        <xdr:cNvGrpSpPr/>
      </xdr:nvGrpSpPr>
      <xdr:grpSpPr>
        <a:xfrm>
          <a:off x="16704945" y="6155055"/>
          <a:ext cx="1381125" cy="986790"/>
          <a:chOff x="16659225" y="6162675"/>
          <a:chExt cx="1381125" cy="971550"/>
        </a:xfrm>
      </xdr:grpSpPr>
      <xdr:sp macro="" textlink="">
        <xdr:nvSpPr>
          <xdr:cNvPr id="82" name="Rectangle 81">
            <a:extLst>
              <a:ext uri="{FF2B5EF4-FFF2-40B4-BE49-F238E27FC236}">
                <a16:creationId xmlns:a16="http://schemas.microsoft.com/office/drawing/2014/main" xmlns="" id="{00000000-0008-0000-0000-000052000000}"/>
              </a:ext>
            </a:extLst>
          </xdr:cNvPr>
          <xdr:cNvSpPr/>
        </xdr:nvSpPr>
        <xdr:spPr>
          <a:xfrm>
            <a:off x="16668751" y="6162675"/>
            <a:ext cx="1371599"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SOSC Clock Monitor</a:t>
            </a:r>
            <a:endParaRPr lang="en-US" sz="1100" baseline="0">
              <a:solidFill>
                <a:schemeClr val="lt1"/>
              </a:solidFill>
              <a:effectLst/>
              <a:latin typeface="+mn-lt"/>
              <a:ea typeface="+mn-ea"/>
              <a:cs typeface="+mn-cs"/>
            </a:endParaRPr>
          </a:p>
          <a:p>
            <a:pPr algn="ctr"/>
            <a:r>
              <a:rPr lang="en-US" sz="900">
                <a:solidFill>
                  <a:schemeClr val="lt1"/>
                </a:solidFill>
                <a:effectLst/>
                <a:latin typeface="+mn-lt"/>
                <a:ea typeface="+mn-ea"/>
                <a:cs typeface="+mn-cs"/>
              </a:rPr>
              <a:t>SCG_SOSCCSR[SOSCCM]</a:t>
            </a:r>
          </a:p>
        </xdr:txBody>
      </xdr:sp>
      <xdr:sp macro="" textlink="">
        <xdr:nvSpPr>
          <xdr:cNvPr id="83" name="TextBox 82">
            <a:extLst>
              <a:ext uri="{FF2B5EF4-FFF2-40B4-BE49-F238E27FC236}">
                <a16:creationId xmlns:a16="http://schemas.microsoft.com/office/drawing/2014/main" xmlns="" id="{00000000-0008-0000-0000-000053000000}"/>
              </a:ext>
            </a:extLst>
          </xdr:cNvPr>
          <xdr:cNvSpPr txBox="1"/>
        </xdr:nvSpPr>
        <xdr:spPr>
          <a:xfrm>
            <a:off x="16659225" y="6858000"/>
            <a:ext cx="6316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Module Clock</a:t>
            </a:r>
          </a:p>
        </xdr:txBody>
      </xdr:sp>
    </xdr:grpSp>
    <xdr:clientData/>
  </xdr:twoCellAnchor>
  <xdr:twoCellAnchor>
    <xdr:from>
      <xdr:col>27</xdr:col>
      <xdr:colOff>190499</xdr:colOff>
      <xdr:row>30</xdr:row>
      <xdr:rowOff>123826</xdr:rowOff>
    </xdr:from>
    <xdr:to>
      <xdr:col>28</xdr:col>
      <xdr:colOff>314324</xdr:colOff>
      <xdr:row>31</xdr:row>
      <xdr:rowOff>123825</xdr:rowOff>
    </xdr:to>
    <xdr:sp macro="" textlink="">
      <xdr:nvSpPr>
        <xdr:cNvPr id="88" name="TextBox 87">
          <a:extLst>
            <a:ext uri="{FF2B5EF4-FFF2-40B4-BE49-F238E27FC236}">
              <a16:creationId xmlns:a16="http://schemas.microsoft.com/office/drawing/2014/main" xmlns="" id="{00000000-0008-0000-0000-000058000000}"/>
            </a:ext>
          </a:extLst>
        </xdr:cNvPr>
        <xdr:cNvSpPr txBox="1"/>
      </xdr:nvSpPr>
      <xdr:spPr>
        <a:xfrm>
          <a:off x="16649699" y="6181726"/>
          <a:ext cx="733425"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Monitored</a:t>
          </a:r>
          <a:r>
            <a:rPr lang="en-US" sz="600" baseline="0">
              <a:solidFill>
                <a:schemeClr val="bg1"/>
              </a:solidFill>
            </a:rPr>
            <a:t> Clock</a:t>
          </a:r>
          <a:endParaRPr lang="en-US" sz="600">
            <a:solidFill>
              <a:schemeClr val="bg1"/>
            </a:solidFill>
          </a:endParaRPr>
        </a:p>
      </xdr:txBody>
    </xdr:sp>
    <xdr:clientData/>
  </xdr:twoCellAnchor>
  <xdr:twoCellAnchor>
    <xdr:from>
      <xdr:col>9</xdr:col>
      <xdr:colOff>400050</xdr:colOff>
      <xdr:row>23</xdr:row>
      <xdr:rowOff>114300</xdr:rowOff>
    </xdr:from>
    <xdr:to>
      <xdr:col>11</xdr:col>
      <xdr:colOff>186690</xdr:colOff>
      <xdr:row>27</xdr:row>
      <xdr:rowOff>185927</xdr:rowOff>
    </xdr:to>
    <xdr:sp macro="" textlink="">
      <xdr:nvSpPr>
        <xdr:cNvPr id="95" name="Rectangle 94">
          <a:extLst>
            <a:ext uri="{FF2B5EF4-FFF2-40B4-BE49-F238E27FC236}">
              <a16:creationId xmlns:a16="http://schemas.microsoft.com/office/drawing/2014/main" xmlns="" id="{00000000-0008-0000-0000-00005F000000}"/>
            </a:ext>
          </a:extLst>
        </xdr:cNvPr>
        <xdr:cNvSpPr/>
      </xdr:nvSpPr>
      <xdr:spPr>
        <a:xfrm>
          <a:off x="5886450" y="4848225"/>
          <a:ext cx="1005840" cy="9098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SIRC LP Enable</a:t>
          </a:r>
          <a:endParaRPr lang="en-US">
            <a:effectLst/>
          </a:endParaRPr>
        </a:p>
        <a:p>
          <a:pPr algn="ctr"/>
          <a:r>
            <a:rPr lang="en-US" sz="900">
              <a:solidFill>
                <a:schemeClr val="lt1"/>
              </a:solidFill>
              <a:effectLst/>
              <a:latin typeface="+mn-lt"/>
              <a:ea typeface="+mn-ea"/>
              <a:cs typeface="+mn-cs"/>
            </a:rPr>
            <a:t>SCG_SIRCCSR[SIRCLPEN]</a:t>
          </a:r>
          <a:endParaRPr lang="en-US" sz="900">
            <a:effectLst/>
          </a:endParaRPr>
        </a:p>
      </xdr:txBody>
    </xdr:sp>
    <xdr:clientData/>
  </xdr:twoCellAnchor>
  <xdr:oneCellAnchor>
    <xdr:from>
      <xdr:col>9</xdr:col>
      <xdr:colOff>571500</xdr:colOff>
      <xdr:row>28</xdr:row>
      <xdr:rowOff>200025</xdr:rowOff>
    </xdr:from>
    <xdr:ext cx="1590675" cy="353156"/>
    <xdr:sp macro="" textlink="">
      <xdr:nvSpPr>
        <xdr:cNvPr id="96" name="TextBox 95">
          <a:extLst>
            <a:ext uri="{FF2B5EF4-FFF2-40B4-BE49-F238E27FC236}">
              <a16:creationId xmlns:a16="http://schemas.microsoft.com/office/drawing/2014/main" xmlns="" id="{00000000-0008-0000-0000-000060000000}"/>
            </a:ext>
          </a:extLst>
        </xdr:cNvPr>
        <xdr:cNvSpPr txBox="1"/>
      </xdr:nvSpPr>
      <xdr:spPr>
        <a:xfrm>
          <a:off x="6057900" y="5981700"/>
          <a:ext cx="1590675"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a:t>
          </a:r>
          <a:r>
            <a:rPr lang="en-US" sz="800" baseline="0"/>
            <a:t> disabled in VLPR/VLPS</a:t>
          </a:r>
          <a:endParaRPr lang="en-US" sz="800"/>
        </a:p>
        <a:p>
          <a:r>
            <a:rPr lang="en-US" sz="800"/>
            <a:t>1 - SIRC</a:t>
          </a:r>
          <a:r>
            <a:rPr lang="en-US" sz="800" baseline="0"/>
            <a:t> enabled in VLPR/VLPS</a:t>
          </a:r>
          <a:endParaRPr lang="en-US" sz="800"/>
        </a:p>
      </xdr:txBody>
    </xdr:sp>
    <xdr:clientData/>
  </xdr:oneCellAnchor>
  <xdr:twoCellAnchor>
    <xdr:from>
      <xdr:col>11</xdr:col>
      <xdr:colOff>209550</xdr:colOff>
      <xdr:row>26</xdr:row>
      <xdr:rowOff>19050</xdr:rowOff>
    </xdr:from>
    <xdr:to>
      <xdr:col>12</xdr:col>
      <xdr:colOff>381000</xdr:colOff>
      <xdr:row>26</xdr:row>
      <xdr:rowOff>19050</xdr:rowOff>
    </xdr:to>
    <xdr:cxnSp macro="">
      <xdr:nvCxnSpPr>
        <xdr:cNvPr id="97" name="Straight Arrow Connector 96">
          <a:extLst>
            <a:ext uri="{FF2B5EF4-FFF2-40B4-BE49-F238E27FC236}">
              <a16:creationId xmlns:a16="http://schemas.microsoft.com/office/drawing/2014/main" xmlns="" id="{00000000-0008-0000-0000-000061000000}"/>
            </a:ext>
          </a:extLst>
        </xdr:cNvPr>
        <xdr:cNvCxnSpPr/>
      </xdr:nvCxnSpPr>
      <xdr:spPr>
        <a:xfrm>
          <a:off x="6915150" y="5381625"/>
          <a:ext cx="781050"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400050</xdr:colOff>
      <xdr:row>23</xdr:row>
      <xdr:rowOff>114300</xdr:rowOff>
    </xdr:from>
    <xdr:to>
      <xdr:col>14</xdr:col>
      <xdr:colOff>186690</xdr:colOff>
      <xdr:row>27</xdr:row>
      <xdr:rowOff>185927</xdr:rowOff>
    </xdr:to>
    <xdr:sp macro="" textlink="">
      <xdr:nvSpPr>
        <xdr:cNvPr id="101" name="Rectangle 100">
          <a:extLst>
            <a:ext uri="{FF2B5EF4-FFF2-40B4-BE49-F238E27FC236}">
              <a16:creationId xmlns:a16="http://schemas.microsoft.com/office/drawing/2014/main" xmlns="" id="{00000000-0008-0000-0000-000065000000}"/>
            </a:ext>
          </a:extLst>
        </xdr:cNvPr>
        <xdr:cNvSpPr/>
      </xdr:nvSpPr>
      <xdr:spPr>
        <a:xfrm>
          <a:off x="7715250" y="4848225"/>
          <a:ext cx="1005840" cy="9098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SIRC STOP</a:t>
          </a:r>
          <a:r>
            <a:rPr lang="en-US" sz="1100" baseline="0">
              <a:solidFill>
                <a:schemeClr val="lt1"/>
              </a:solidFill>
              <a:effectLst/>
              <a:latin typeface="+mn-lt"/>
              <a:ea typeface="+mn-ea"/>
              <a:cs typeface="+mn-cs"/>
            </a:rPr>
            <a:t> Mode</a:t>
          </a:r>
          <a:r>
            <a:rPr lang="en-US" sz="1100">
              <a:solidFill>
                <a:schemeClr val="lt1"/>
              </a:solidFill>
              <a:effectLst/>
              <a:latin typeface="+mn-lt"/>
              <a:ea typeface="+mn-ea"/>
              <a:cs typeface="+mn-cs"/>
            </a:rPr>
            <a:t> Enable</a:t>
          </a:r>
          <a:endParaRPr lang="en-US">
            <a:effectLst/>
          </a:endParaRPr>
        </a:p>
        <a:p>
          <a:pPr algn="ctr"/>
          <a:r>
            <a:rPr lang="en-US" sz="900">
              <a:solidFill>
                <a:schemeClr val="lt1"/>
              </a:solidFill>
              <a:effectLst/>
              <a:latin typeface="+mn-lt"/>
              <a:ea typeface="+mn-ea"/>
              <a:cs typeface="+mn-cs"/>
            </a:rPr>
            <a:t>SCG_SIRCCSR[SIRCSTEN]</a:t>
          </a:r>
          <a:endParaRPr lang="en-US" sz="900">
            <a:effectLst/>
          </a:endParaRPr>
        </a:p>
      </xdr:txBody>
    </xdr:sp>
    <xdr:clientData/>
  </xdr:twoCellAnchor>
  <xdr:oneCellAnchor>
    <xdr:from>
      <xdr:col>12</xdr:col>
      <xdr:colOff>571500</xdr:colOff>
      <xdr:row>28</xdr:row>
      <xdr:rowOff>200025</xdr:rowOff>
    </xdr:from>
    <xdr:ext cx="1676400" cy="353156"/>
    <xdr:sp macro="" textlink="">
      <xdr:nvSpPr>
        <xdr:cNvPr id="104" name="TextBox 103">
          <a:extLst>
            <a:ext uri="{FF2B5EF4-FFF2-40B4-BE49-F238E27FC236}">
              <a16:creationId xmlns:a16="http://schemas.microsoft.com/office/drawing/2014/main" xmlns="" id="{00000000-0008-0000-0000-000068000000}"/>
            </a:ext>
          </a:extLst>
        </xdr:cNvPr>
        <xdr:cNvSpPr txBox="1"/>
      </xdr:nvSpPr>
      <xdr:spPr>
        <a:xfrm>
          <a:off x="7886700" y="5981700"/>
          <a:ext cx="1676400"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a:t>
          </a:r>
          <a:r>
            <a:rPr lang="en-US" sz="800" baseline="0"/>
            <a:t> disabled in STOP modes</a:t>
          </a:r>
          <a:endParaRPr lang="en-US" sz="800"/>
        </a:p>
        <a:p>
          <a:r>
            <a:rPr lang="en-US" sz="800"/>
            <a:t>1 - SIRC</a:t>
          </a:r>
          <a:r>
            <a:rPr lang="en-US" sz="800" baseline="0"/>
            <a:t> enabled in STOP modes</a:t>
          </a:r>
          <a:endParaRPr lang="en-US" sz="800"/>
        </a:p>
      </xdr:txBody>
    </xdr:sp>
    <xdr:clientData/>
  </xdr:oneCellAnchor>
  <xdr:twoCellAnchor>
    <xdr:from>
      <xdr:col>19</xdr:col>
      <xdr:colOff>276225</xdr:colOff>
      <xdr:row>26</xdr:row>
      <xdr:rowOff>9525</xdr:rowOff>
    </xdr:from>
    <xdr:to>
      <xdr:col>20</xdr:col>
      <xdr:colOff>419100</xdr:colOff>
      <xdr:row>26</xdr:row>
      <xdr:rowOff>9525</xdr:rowOff>
    </xdr:to>
    <xdr:cxnSp macro="">
      <xdr:nvCxnSpPr>
        <xdr:cNvPr id="105" name="Straight Arrow Connector 104">
          <a:extLst>
            <a:ext uri="{FF2B5EF4-FFF2-40B4-BE49-F238E27FC236}">
              <a16:creationId xmlns:a16="http://schemas.microsoft.com/office/drawing/2014/main" xmlns="" id="{00000000-0008-0000-0000-000069000000}"/>
            </a:ext>
          </a:extLst>
        </xdr:cNvPr>
        <xdr:cNvCxnSpPr/>
      </xdr:nvCxnSpPr>
      <xdr:spPr>
        <a:xfrm>
          <a:off x="11858625" y="5372100"/>
          <a:ext cx="752475"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438150</xdr:colOff>
      <xdr:row>13</xdr:row>
      <xdr:rowOff>0</xdr:rowOff>
    </xdr:from>
    <xdr:to>
      <xdr:col>35</xdr:col>
      <xdr:colOff>438150</xdr:colOff>
      <xdr:row>42</xdr:row>
      <xdr:rowOff>19050</xdr:rowOff>
    </xdr:to>
    <xdr:cxnSp macro="">
      <xdr:nvCxnSpPr>
        <xdr:cNvPr id="107" name="Straight Arrow Connector 106">
          <a:extLst>
            <a:ext uri="{FF2B5EF4-FFF2-40B4-BE49-F238E27FC236}">
              <a16:creationId xmlns:a16="http://schemas.microsoft.com/office/drawing/2014/main" xmlns="" id="{00000000-0008-0000-0000-00006B000000}"/>
            </a:ext>
          </a:extLst>
        </xdr:cNvPr>
        <xdr:cNvCxnSpPr/>
      </xdr:nvCxnSpPr>
      <xdr:spPr>
        <a:xfrm>
          <a:off x="21774150" y="2676525"/>
          <a:ext cx="0" cy="5953125"/>
        </a:xfrm>
        <a:prstGeom prst="straightConnector1">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428625</xdr:colOff>
      <xdr:row>14</xdr:row>
      <xdr:rowOff>171450</xdr:rowOff>
    </xdr:from>
    <xdr:to>
      <xdr:col>36</xdr:col>
      <xdr:colOff>314325</xdr:colOff>
      <xdr:row>14</xdr:row>
      <xdr:rowOff>171450</xdr:rowOff>
    </xdr:to>
    <xdr:cxnSp macro="">
      <xdr:nvCxnSpPr>
        <xdr:cNvPr id="111" name="Straight Arrow Connector 110">
          <a:extLst>
            <a:ext uri="{FF2B5EF4-FFF2-40B4-BE49-F238E27FC236}">
              <a16:creationId xmlns:a16="http://schemas.microsoft.com/office/drawing/2014/main" xmlns="" id="{00000000-0008-0000-0000-00006F000000}"/>
            </a:ext>
          </a:extLst>
        </xdr:cNvPr>
        <xdr:cNvCxnSpPr/>
      </xdr:nvCxnSpPr>
      <xdr:spPr>
        <a:xfrm>
          <a:off x="21764625" y="3057525"/>
          <a:ext cx="495300"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228600</xdr:colOff>
      <xdr:row>18</xdr:row>
      <xdr:rowOff>158573</xdr:rowOff>
    </xdr:from>
    <xdr:to>
      <xdr:col>36</xdr:col>
      <xdr:colOff>304800</xdr:colOff>
      <xdr:row>18</xdr:row>
      <xdr:rowOff>171452</xdr:rowOff>
    </xdr:to>
    <xdr:cxnSp macro="">
      <xdr:nvCxnSpPr>
        <xdr:cNvPr id="117" name="Straight Arrow Connector 116">
          <a:extLst>
            <a:ext uri="{FF2B5EF4-FFF2-40B4-BE49-F238E27FC236}">
              <a16:creationId xmlns:a16="http://schemas.microsoft.com/office/drawing/2014/main" xmlns="" id="{00000000-0008-0000-0000-000075000000}"/>
            </a:ext>
          </a:extLst>
        </xdr:cNvPr>
        <xdr:cNvCxnSpPr/>
      </xdr:nvCxnSpPr>
      <xdr:spPr>
        <a:xfrm flipV="1">
          <a:off x="14859000" y="3854273"/>
          <a:ext cx="7391400" cy="12879"/>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314325</xdr:colOff>
      <xdr:row>13</xdr:row>
      <xdr:rowOff>200024</xdr:rowOff>
    </xdr:from>
    <xdr:to>
      <xdr:col>38</xdr:col>
      <xdr:colOff>304802</xdr:colOff>
      <xdr:row>22</xdr:row>
      <xdr:rowOff>179380</xdr:rowOff>
    </xdr:to>
    <xdr:sp macro="" textlink="">
      <xdr:nvSpPr>
        <xdr:cNvPr id="124" name="Rectangle 123">
          <a:extLst>
            <a:ext uri="{FF2B5EF4-FFF2-40B4-BE49-F238E27FC236}">
              <a16:creationId xmlns:a16="http://schemas.microsoft.com/office/drawing/2014/main" xmlns="" id="{00000000-0008-0000-0000-00007C000000}"/>
            </a:ext>
          </a:extLst>
        </xdr:cNvPr>
        <xdr:cNvSpPr/>
      </xdr:nvSpPr>
      <xdr:spPr>
        <a:xfrm rot="16200000">
          <a:off x="21984498" y="3151976"/>
          <a:ext cx="1760531" cy="12096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System Clock</a:t>
          </a:r>
        </a:p>
        <a:p>
          <a:pPr algn="ctr"/>
          <a:r>
            <a:rPr lang="en-US" sz="1100" baseline="0"/>
            <a:t>Selector</a:t>
          </a:r>
        </a:p>
        <a:p>
          <a:pPr algn="ctr"/>
          <a:r>
            <a:rPr lang="en-US" sz="900" baseline="0"/>
            <a:t>SCG_RCCR[SCS],</a:t>
          </a:r>
        </a:p>
        <a:p>
          <a:pPr algn="ctr"/>
          <a:r>
            <a:rPr lang="en-US" sz="900" baseline="0"/>
            <a:t>SCG_VCCR[SCS],</a:t>
          </a:r>
        </a:p>
        <a:p>
          <a:pPr algn="ctr"/>
          <a:r>
            <a:rPr lang="en-US" sz="900" baseline="0"/>
            <a:t>SCG_HCCR[SCS]</a:t>
          </a:r>
          <a:r>
            <a:rPr lang="en-US" sz="1100" baseline="0"/>
            <a:t> </a:t>
          </a:r>
          <a:endParaRPr lang="en-US" sz="1100"/>
        </a:p>
      </xdr:txBody>
    </xdr:sp>
    <xdr:clientData/>
  </xdr:twoCellAnchor>
  <xdr:twoCellAnchor>
    <xdr:from>
      <xdr:col>26</xdr:col>
      <xdr:colOff>28575</xdr:colOff>
      <xdr:row>21</xdr:row>
      <xdr:rowOff>66675</xdr:rowOff>
    </xdr:from>
    <xdr:to>
      <xdr:col>36</xdr:col>
      <xdr:colOff>295275</xdr:colOff>
      <xdr:row>21</xdr:row>
      <xdr:rowOff>66675</xdr:rowOff>
    </xdr:to>
    <xdr:cxnSp macro="">
      <xdr:nvCxnSpPr>
        <xdr:cNvPr id="130" name="Straight Arrow Connector 129">
          <a:extLst>
            <a:ext uri="{FF2B5EF4-FFF2-40B4-BE49-F238E27FC236}">
              <a16:creationId xmlns:a16="http://schemas.microsoft.com/office/drawing/2014/main" xmlns="" id="{00000000-0008-0000-0000-000082000000}"/>
            </a:ext>
          </a:extLst>
        </xdr:cNvPr>
        <xdr:cNvCxnSpPr/>
      </xdr:nvCxnSpPr>
      <xdr:spPr>
        <a:xfrm>
          <a:off x="15878175" y="4333875"/>
          <a:ext cx="6362700"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504825</xdr:colOff>
      <xdr:row>24</xdr:row>
      <xdr:rowOff>7452</xdr:rowOff>
    </xdr:from>
    <xdr:ext cx="1152526" cy="590550"/>
    <xdr:sp macro="" textlink="">
      <xdr:nvSpPr>
        <xdr:cNvPr id="132" name="TextBox 131">
          <a:extLst>
            <a:ext uri="{FF2B5EF4-FFF2-40B4-BE49-F238E27FC236}">
              <a16:creationId xmlns:a16="http://schemas.microsoft.com/office/drawing/2014/main" xmlns="" id="{00000000-0008-0000-0000-000084000000}"/>
            </a:ext>
          </a:extLst>
        </xdr:cNvPr>
        <xdr:cNvSpPr txBox="1"/>
      </xdr:nvSpPr>
      <xdr:spPr>
        <a:xfrm>
          <a:off x="22450425" y="5112852"/>
          <a:ext cx="11525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1 - SOSC_CLK</a:t>
          </a:r>
        </a:p>
        <a:p>
          <a:r>
            <a:rPr lang="en-US" sz="800"/>
            <a:t>2 - SIRC_CLK</a:t>
          </a:r>
        </a:p>
        <a:p>
          <a:r>
            <a:rPr lang="en-US" sz="800"/>
            <a:t>3</a:t>
          </a:r>
          <a:r>
            <a:rPr lang="en-US" sz="800" baseline="0"/>
            <a:t> - FIRC_CLK</a:t>
          </a:r>
          <a:r>
            <a:rPr lang="en-US" sz="800"/>
            <a:t/>
          </a:r>
          <a:br>
            <a:rPr lang="en-US" sz="800"/>
          </a:br>
          <a:r>
            <a:rPr lang="en-US" sz="800"/>
            <a:t>6</a:t>
          </a:r>
          <a:r>
            <a:rPr lang="en-US" sz="800" baseline="0"/>
            <a:t> - SPLL_CLK</a:t>
          </a:r>
          <a:endParaRPr lang="en-US" sz="800"/>
        </a:p>
      </xdr:txBody>
    </xdr:sp>
    <xdr:clientData/>
  </xdr:oneCellAnchor>
  <xdr:twoCellAnchor>
    <xdr:from>
      <xdr:col>40</xdr:col>
      <xdr:colOff>304800</xdr:colOff>
      <xdr:row>15</xdr:row>
      <xdr:rowOff>123825</xdr:rowOff>
    </xdr:from>
    <xdr:to>
      <xdr:col>43</xdr:col>
      <xdr:colOff>409575</xdr:colOff>
      <xdr:row>15</xdr:row>
      <xdr:rowOff>123825</xdr:rowOff>
    </xdr:to>
    <xdr:cxnSp macro="">
      <xdr:nvCxnSpPr>
        <xdr:cNvPr id="133" name="Straight Arrow Connector 132">
          <a:extLst>
            <a:ext uri="{FF2B5EF4-FFF2-40B4-BE49-F238E27FC236}">
              <a16:creationId xmlns:a16="http://schemas.microsoft.com/office/drawing/2014/main" xmlns="" id="{00000000-0008-0000-0000-000085000000}"/>
            </a:ext>
          </a:extLst>
        </xdr:cNvPr>
        <xdr:cNvCxnSpPr/>
      </xdr:nvCxnSpPr>
      <xdr:spPr>
        <a:xfrm>
          <a:off x="24688800" y="3219450"/>
          <a:ext cx="19335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323850</xdr:colOff>
      <xdr:row>18</xdr:row>
      <xdr:rowOff>95250</xdr:rowOff>
    </xdr:from>
    <xdr:to>
      <xdr:col>40</xdr:col>
      <xdr:colOff>333375</xdr:colOff>
      <xdr:row>18</xdr:row>
      <xdr:rowOff>95250</xdr:rowOff>
    </xdr:to>
    <xdr:cxnSp macro="">
      <xdr:nvCxnSpPr>
        <xdr:cNvPr id="136" name="Straight Arrow Connector 135">
          <a:extLst>
            <a:ext uri="{FF2B5EF4-FFF2-40B4-BE49-F238E27FC236}">
              <a16:creationId xmlns:a16="http://schemas.microsoft.com/office/drawing/2014/main" xmlns="" id="{00000000-0008-0000-0000-000088000000}"/>
            </a:ext>
          </a:extLst>
        </xdr:cNvPr>
        <xdr:cNvCxnSpPr/>
      </xdr:nvCxnSpPr>
      <xdr:spPr>
        <a:xfrm>
          <a:off x="23488650" y="3790950"/>
          <a:ext cx="122872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323850</xdr:colOff>
      <xdr:row>15</xdr:row>
      <xdr:rowOff>114300</xdr:rowOff>
    </xdr:from>
    <xdr:to>
      <xdr:col>40</xdr:col>
      <xdr:colOff>323850</xdr:colOff>
      <xdr:row>18</xdr:row>
      <xdr:rowOff>114300</xdr:rowOff>
    </xdr:to>
    <xdr:cxnSp macro="">
      <xdr:nvCxnSpPr>
        <xdr:cNvPr id="138" name="Straight Arrow Connector 137">
          <a:extLst>
            <a:ext uri="{FF2B5EF4-FFF2-40B4-BE49-F238E27FC236}">
              <a16:creationId xmlns:a16="http://schemas.microsoft.com/office/drawing/2014/main" xmlns="" id="{00000000-0008-0000-0000-00008A000000}"/>
            </a:ext>
          </a:extLst>
        </xdr:cNvPr>
        <xdr:cNvCxnSpPr/>
      </xdr:nvCxnSpPr>
      <xdr:spPr>
        <a:xfrm>
          <a:off x="24707850" y="3209925"/>
          <a:ext cx="0" cy="60007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419100</xdr:colOff>
      <xdr:row>14</xdr:row>
      <xdr:rowOff>76200</xdr:rowOff>
    </xdr:from>
    <xdr:to>
      <xdr:col>45</xdr:col>
      <xdr:colOff>205740</xdr:colOff>
      <xdr:row>18</xdr:row>
      <xdr:rowOff>166877</xdr:rowOff>
    </xdr:to>
    <xdr:sp macro="" textlink="">
      <xdr:nvSpPr>
        <xdr:cNvPr id="142" name="Rectangle 141">
          <a:extLst>
            <a:ext uri="{FF2B5EF4-FFF2-40B4-BE49-F238E27FC236}">
              <a16:creationId xmlns:a16="http://schemas.microsoft.com/office/drawing/2014/main" xmlns="" id="{00000000-0008-0000-0000-00008E000000}"/>
            </a:ext>
          </a:extLst>
        </xdr:cNvPr>
        <xdr:cNvSpPr/>
      </xdr:nvSpPr>
      <xdr:spPr>
        <a:xfrm>
          <a:off x="26631900" y="2962275"/>
          <a:ext cx="1005840" cy="9003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DIVCORE</a:t>
          </a:r>
          <a:endParaRPr lang="en-US">
            <a:effectLst/>
          </a:endParaRPr>
        </a:p>
        <a:p>
          <a:pPr algn="ctr"/>
          <a:r>
            <a:rPr lang="en-US" sz="900">
              <a:solidFill>
                <a:schemeClr val="lt1"/>
              </a:solidFill>
              <a:effectLst/>
              <a:latin typeface="+mn-lt"/>
              <a:ea typeface="+mn-ea"/>
              <a:cs typeface="+mn-cs"/>
            </a:rPr>
            <a:t>SCG_xCCR[DIVCORE]</a:t>
          </a:r>
        </a:p>
        <a:p>
          <a:pPr algn="ctr"/>
          <a:r>
            <a:rPr lang="en-US" sz="900">
              <a:solidFill>
                <a:schemeClr val="lt1"/>
              </a:solidFill>
              <a:effectLst/>
              <a:latin typeface="+mn-lt"/>
              <a:ea typeface="+mn-ea"/>
              <a:cs typeface="+mn-cs"/>
            </a:rPr>
            <a:t>/(1+(0...15))</a:t>
          </a:r>
          <a:endParaRPr lang="en-US" sz="900">
            <a:effectLst/>
          </a:endParaRPr>
        </a:p>
      </xdr:txBody>
    </xdr:sp>
    <xdr:clientData/>
  </xdr:twoCellAnchor>
  <xdr:twoCellAnchor>
    <xdr:from>
      <xdr:col>45</xdr:col>
      <xdr:colOff>209550</xdr:colOff>
      <xdr:row>16</xdr:row>
      <xdr:rowOff>95251</xdr:rowOff>
    </xdr:from>
    <xdr:to>
      <xdr:col>47</xdr:col>
      <xdr:colOff>381000</xdr:colOff>
      <xdr:row>16</xdr:row>
      <xdr:rowOff>95252</xdr:rowOff>
    </xdr:to>
    <xdr:cxnSp macro="">
      <xdr:nvCxnSpPr>
        <xdr:cNvPr id="144" name="Straight Arrow Connector 143">
          <a:extLst>
            <a:ext uri="{FF2B5EF4-FFF2-40B4-BE49-F238E27FC236}">
              <a16:creationId xmlns:a16="http://schemas.microsoft.com/office/drawing/2014/main" xmlns="" id="{00000000-0008-0000-0000-000090000000}"/>
            </a:ext>
          </a:extLst>
        </xdr:cNvPr>
        <xdr:cNvCxnSpPr/>
      </xdr:nvCxnSpPr>
      <xdr:spPr>
        <a:xfrm flipV="1">
          <a:off x="27641550" y="3400426"/>
          <a:ext cx="1390650"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400050</xdr:colOff>
      <xdr:row>14</xdr:row>
      <xdr:rowOff>161925</xdr:rowOff>
    </xdr:from>
    <xdr:to>
      <xdr:col>49</xdr:col>
      <xdr:colOff>186690</xdr:colOff>
      <xdr:row>18</xdr:row>
      <xdr:rowOff>185927</xdr:rowOff>
    </xdr:to>
    <xdr:sp macro="" textlink="">
      <xdr:nvSpPr>
        <xdr:cNvPr id="148" name="Rectangle 147">
          <a:hlinkClick xmlns:r="http://schemas.openxmlformats.org/officeDocument/2006/relationships" r:id="rId3"/>
          <a:extLst>
            <a:ext uri="{FF2B5EF4-FFF2-40B4-BE49-F238E27FC236}">
              <a16:creationId xmlns:a16="http://schemas.microsoft.com/office/drawing/2014/main" xmlns="" id="{00000000-0008-0000-0000-000094000000}"/>
            </a:ext>
          </a:extLst>
        </xdr:cNvPr>
        <xdr:cNvSpPr/>
      </xdr:nvSpPr>
      <xdr:spPr>
        <a:xfrm>
          <a:off x="29051250" y="3048000"/>
          <a:ext cx="1005840" cy="8336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49</xdr:col>
      <xdr:colOff>200025</xdr:colOff>
      <xdr:row>17</xdr:row>
      <xdr:rowOff>123826</xdr:rowOff>
    </xdr:from>
    <xdr:to>
      <xdr:col>52</xdr:col>
      <xdr:colOff>600075</xdr:colOff>
      <xdr:row>17</xdr:row>
      <xdr:rowOff>123827</xdr:rowOff>
    </xdr:to>
    <xdr:cxnSp macro="">
      <xdr:nvCxnSpPr>
        <xdr:cNvPr id="150" name="Straight Arrow Connector 149">
          <a:extLst>
            <a:ext uri="{FF2B5EF4-FFF2-40B4-BE49-F238E27FC236}">
              <a16:creationId xmlns:a16="http://schemas.microsoft.com/office/drawing/2014/main" xmlns="" id="{00000000-0008-0000-0000-000096000000}"/>
            </a:ext>
          </a:extLst>
        </xdr:cNvPr>
        <xdr:cNvCxnSpPr/>
      </xdr:nvCxnSpPr>
      <xdr:spPr>
        <a:xfrm flipV="1">
          <a:off x="30070425" y="3629026"/>
          <a:ext cx="2228850" cy="1"/>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0</xdr:colOff>
      <xdr:row>16</xdr:row>
      <xdr:rowOff>180975</xdr:rowOff>
    </xdr:from>
    <xdr:ext cx="847725" cy="266700"/>
    <xdr:sp macro="" textlink="">
      <xdr:nvSpPr>
        <xdr:cNvPr id="152" name="TextBox 151">
          <a:extLst>
            <a:ext uri="{FF2B5EF4-FFF2-40B4-BE49-F238E27FC236}">
              <a16:creationId xmlns:a16="http://schemas.microsoft.com/office/drawing/2014/main" xmlns="" id="{00000000-0008-0000-0000-000098000000}"/>
            </a:ext>
          </a:extLst>
        </xdr:cNvPr>
        <xdr:cNvSpPr txBox="1"/>
      </xdr:nvSpPr>
      <xdr:spPr>
        <a:xfrm>
          <a:off x="32918400" y="34861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SYS_CLK</a:t>
          </a:r>
        </a:p>
      </xdr:txBody>
    </xdr:sp>
    <xdr:clientData/>
  </xdr:oneCellAnchor>
  <xdr:twoCellAnchor>
    <xdr:from>
      <xdr:col>51</xdr:col>
      <xdr:colOff>276225</xdr:colOff>
      <xdr:row>15</xdr:row>
      <xdr:rowOff>123825</xdr:rowOff>
    </xdr:from>
    <xdr:to>
      <xdr:col>52</xdr:col>
      <xdr:colOff>600075</xdr:colOff>
      <xdr:row>15</xdr:row>
      <xdr:rowOff>123826</xdr:rowOff>
    </xdr:to>
    <xdr:cxnSp macro="">
      <xdr:nvCxnSpPr>
        <xdr:cNvPr id="153" name="Straight Arrow Connector 152">
          <a:extLst>
            <a:ext uri="{FF2B5EF4-FFF2-40B4-BE49-F238E27FC236}">
              <a16:creationId xmlns:a16="http://schemas.microsoft.com/office/drawing/2014/main" xmlns="" id="{00000000-0008-0000-0000-000099000000}"/>
            </a:ext>
          </a:extLst>
        </xdr:cNvPr>
        <xdr:cNvCxnSpPr/>
      </xdr:nvCxnSpPr>
      <xdr:spPr>
        <a:xfrm>
          <a:off x="31365825" y="3219450"/>
          <a:ext cx="933450" cy="1"/>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285750</xdr:colOff>
      <xdr:row>15</xdr:row>
      <xdr:rowOff>133352</xdr:rowOff>
    </xdr:from>
    <xdr:to>
      <xdr:col>51</xdr:col>
      <xdr:colOff>285750</xdr:colOff>
      <xdr:row>17</xdr:row>
      <xdr:rowOff>123825</xdr:rowOff>
    </xdr:to>
    <xdr:cxnSp macro="">
      <xdr:nvCxnSpPr>
        <xdr:cNvPr id="155" name="Straight Arrow Connector 154">
          <a:extLst>
            <a:ext uri="{FF2B5EF4-FFF2-40B4-BE49-F238E27FC236}">
              <a16:creationId xmlns:a16="http://schemas.microsoft.com/office/drawing/2014/main" xmlns="" id="{00000000-0008-0000-0000-00009B000000}"/>
            </a:ext>
          </a:extLst>
        </xdr:cNvPr>
        <xdr:cNvCxnSpPr/>
      </xdr:nvCxnSpPr>
      <xdr:spPr>
        <a:xfrm flipV="1">
          <a:off x="31375350" y="3228977"/>
          <a:ext cx="0" cy="409573"/>
        </a:xfrm>
        <a:prstGeom prst="straightConnector1">
          <a:avLst/>
        </a:prstGeom>
        <a:ln w="19050">
          <a:solidFill>
            <a:schemeClr val="accent6">
              <a:lumMod val="5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590550</xdr:colOff>
      <xdr:row>14</xdr:row>
      <xdr:rowOff>190500</xdr:rowOff>
    </xdr:from>
    <xdr:ext cx="847725" cy="266700"/>
    <xdr:sp macro="" textlink="">
      <xdr:nvSpPr>
        <xdr:cNvPr id="159" name="TextBox 158">
          <a:extLst>
            <a:ext uri="{FF2B5EF4-FFF2-40B4-BE49-F238E27FC236}">
              <a16:creationId xmlns:a16="http://schemas.microsoft.com/office/drawing/2014/main" xmlns="" id="{00000000-0008-0000-0000-00009F000000}"/>
            </a:ext>
          </a:extLst>
        </xdr:cNvPr>
        <xdr:cNvSpPr txBox="1"/>
      </xdr:nvSpPr>
      <xdr:spPr>
        <a:xfrm>
          <a:off x="32899350" y="307657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CORE_CLK</a:t>
          </a:r>
        </a:p>
      </xdr:txBody>
    </xdr:sp>
    <xdr:clientData/>
  </xdr:oneCellAnchor>
  <xdr:twoCellAnchor>
    <xdr:from>
      <xdr:col>46</xdr:col>
      <xdr:colOff>314325</xdr:colOff>
      <xdr:row>16</xdr:row>
      <xdr:rowOff>85725</xdr:rowOff>
    </xdr:from>
    <xdr:to>
      <xdr:col>46</xdr:col>
      <xdr:colOff>314325</xdr:colOff>
      <xdr:row>21</xdr:row>
      <xdr:rowOff>9525</xdr:rowOff>
    </xdr:to>
    <xdr:cxnSp macro="">
      <xdr:nvCxnSpPr>
        <xdr:cNvPr id="160" name="Straight Arrow Connector 159">
          <a:extLst>
            <a:ext uri="{FF2B5EF4-FFF2-40B4-BE49-F238E27FC236}">
              <a16:creationId xmlns:a16="http://schemas.microsoft.com/office/drawing/2014/main" xmlns="" id="{00000000-0008-0000-0000-0000A0000000}"/>
            </a:ext>
          </a:extLst>
        </xdr:cNvPr>
        <xdr:cNvCxnSpPr/>
      </xdr:nvCxnSpPr>
      <xdr:spPr>
        <a:xfrm>
          <a:off x="28355925" y="3390900"/>
          <a:ext cx="0" cy="96202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304800</xdr:colOff>
      <xdr:row>21</xdr:row>
      <xdr:rowOff>19050</xdr:rowOff>
    </xdr:from>
    <xdr:to>
      <xdr:col>46</xdr:col>
      <xdr:colOff>314325</xdr:colOff>
      <xdr:row>21</xdr:row>
      <xdr:rowOff>19050</xdr:rowOff>
    </xdr:to>
    <xdr:cxnSp macro="">
      <xdr:nvCxnSpPr>
        <xdr:cNvPr id="162" name="Straight Arrow Connector 161">
          <a:extLst>
            <a:ext uri="{FF2B5EF4-FFF2-40B4-BE49-F238E27FC236}">
              <a16:creationId xmlns:a16="http://schemas.microsoft.com/office/drawing/2014/main" xmlns="" id="{00000000-0008-0000-0000-0000A2000000}"/>
            </a:ext>
          </a:extLst>
        </xdr:cNvPr>
        <xdr:cNvCxnSpPr/>
      </xdr:nvCxnSpPr>
      <xdr:spPr>
        <a:xfrm>
          <a:off x="27127200" y="4362450"/>
          <a:ext cx="122872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304800</xdr:colOff>
      <xdr:row>21</xdr:row>
      <xdr:rowOff>9525</xdr:rowOff>
    </xdr:from>
    <xdr:to>
      <xdr:col>44</xdr:col>
      <xdr:colOff>304800</xdr:colOff>
      <xdr:row>31</xdr:row>
      <xdr:rowOff>28575</xdr:rowOff>
    </xdr:to>
    <xdr:cxnSp macro="">
      <xdr:nvCxnSpPr>
        <xdr:cNvPr id="164" name="Straight Arrow Connector 163">
          <a:extLst>
            <a:ext uri="{FF2B5EF4-FFF2-40B4-BE49-F238E27FC236}">
              <a16:creationId xmlns:a16="http://schemas.microsoft.com/office/drawing/2014/main" xmlns="" id="{00000000-0008-0000-0000-0000A4000000}"/>
            </a:ext>
          </a:extLst>
        </xdr:cNvPr>
        <xdr:cNvCxnSpPr/>
      </xdr:nvCxnSpPr>
      <xdr:spPr>
        <a:xfrm>
          <a:off x="27127200" y="4352925"/>
          <a:ext cx="0" cy="205740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304800</xdr:colOff>
      <xdr:row>23</xdr:row>
      <xdr:rowOff>133351</xdr:rowOff>
    </xdr:from>
    <xdr:to>
      <xdr:col>46</xdr:col>
      <xdr:colOff>342900</xdr:colOff>
      <xdr:row>23</xdr:row>
      <xdr:rowOff>133352</xdr:rowOff>
    </xdr:to>
    <xdr:cxnSp macro="">
      <xdr:nvCxnSpPr>
        <xdr:cNvPr id="166" name="Straight Arrow Connector 165">
          <a:extLst>
            <a:ext uri="{FF2B5EF4-FFF2-40B4-BE49-F238E27FC236}">
              <a16:creationId xmlns:a16="http://schemas.microsoft.com/office/drawing/2014/main" xmlns="" id="{00000000-0008-0000-0000-0000A6000000}"/>
            </a:ext>
          </a:extLst>
        </xdr:cNvPr>
        <xdr:cNvCxnSpPr/>
      </xdr:nvCxnSpPr>
      <xdr:spPr>
        <a:xfrm flipV="1">
          <a:off x="27127200" y="4867276"/>
          <a:ext cx="1257300"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381000</xdr:colOff>
      <xdr:row>21</xdr:row>
      <xdr:rowOff>57150</xdr:rowOff>
    </xdr:from>
    <xdr:to>
      <xdr:col>48</xdr:col>
      <xdr:colOff>167640</xdr:colOff>
      <xdr:row>25</xdr:row>
      <xdr:rowOff>176402</xdr:rowOff>
    </xdr:to>
    <xdr:sp macro="" textlink="">
      <xdr:nvSpPr>
        <xdr:cNvPr id="167" name="Rectangle 166">
          <a:extLst>
            <a:ext uri="{FF2B5EF4-FFF2-40B4-BE49-F238E27FC236}">
              <a16:creationId xmlns:a16="http://schemas.microsoft.com/office/drawing/2014/main" xmlns="" id="{00000000-0008-0000-0000-0000A7000000}"/>
            </a:ext>
          </a:extLst>
        </xdr:cNvPr>
        <xdr:cNvSpPr/>
      </xdr:nvSpPr>
      <xdr:spPr>
        <a:xfrm>
          <a:off x="28422600" y="4400550"/>
          <a:ext cx="1005840" cy="9288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DIVBUS</a:t>
          </a:r>
          <a:endParaRPr lang="en-US">
            <a:effectLst/>
          </a:endParaRPr>
        </a:p>
        <a:p>
          <a:pPr algn="ctr"/>
          <a:r>
            <a:rPr lang="en-US" sz="900">
              <a:solidFill>
                <a:schemeClr val="lt1"/>
              </a:solidFill>
              <a:effectLst/>
              <a:latin typeface="+mn-lt"/>
              <a:ea typeface="+mn-ea"/>
              <a:cs typeface="+mn-cs"/>
            </a:rPr>
            <a:t>SCG_xCCR[DIVBUS]</a:t>
          </a:r>
        </a:p>
        <a:p>
          <a:pPr algn="ctr"/>
          <a:r>
            <a:rPr lang="en-US" sz="900">
              <a:solidFill>
                <a:schemeClr val="lt1"/>
              </a:solidFill>
              <a:effectLst/>
              <a:latin typeface="+mn-lt"/>
              <a:ea typeface="+mn-ea"/>
              <a:cs typeface="+mn-cs"/>
            </a:rPr>
            <a:t>/(1+(0...15))</a:t>
          </a:r>
          <a:endParaRPr lang="en-US" sz="900">
            <a:effectLst/>
          </a:endParaRPr>
        </a:p>
      </xdr:txBody>
    </xdr:sp>
    <xdr:clientData/>
  </xdr:twoCellAnchor>
  <xdr:twoCellAnchor>
    <xdr:from>
      <xdr:col>48</xdr:col>
      <xdr:colOff>190500</xdr:colOff>
      <xdr:row>24</xdr:row>
      <xdr:rowOff>28577</xdr:rowOff>
    </xdr:from>
    <xdr:to>
      <xdr:col>50</xdr:col>
      <xdr:colOff>390525</xdr:colOff>
      <xdr:row>24</xdr:row>
      <xdr:rowOff>28578</xdr:rowOff>
    </xdr:to>
    <xdr:cxnSp macro="">
      <xdr:nvCxnSpPr>
        <xdr:cNvPr id="169" name="Straight Arrow Connector 168">
          <a:extLst>
            <a:ext uri="{FF2B5EF4-FFF2-40B4-BE49-F238E27FC236}">
              <a16:creationId xmlns:a16="http://schemas.microsoft.com/office/drawing/2014/main" xmlns="" id="{00000000-0008-0000-0000-0000A9000000}"/>
            </a:ext>
          </a:extLst>
        </xdr:cNvPr>
        <xdr:cNvCxnSpPr/>
      </xdr:nvCxnSpPr>
      <xdr:spPr>
        <a:xfrm flipV="1">
          <a:off x="29451300" y="4972052"/>
          <a:ext cx="1419225" cy="1"/>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390525</xdr:colOff>
      <xdr:row>21</xdr:row>
      <xdr:rowOff>133350</xdr:rowOff>
    </xdr:from>
    <xdr:to>
      <xdr:col>52</xdr:col>
      <xdr:colOff>177165</xdr:colOff>
      <xdr:row>25</xdr:row>
      <xdr:rowOff>185927</xdr:rowOff>
    </xdr:to>
    <xdr:sp macro="" textlink="">
      <xdr:nvSpPr>
        <xdr:cNvPr id="171" name="Rectangle 170">
          <a:hlinkClick xmlns:r="http://schemas.openxmlformats.org/officeDocument/2006/relationships" r:id="rId3"/>
          <a:extLst>
            <a:ext uri="{FF2B5EF4-FFF2-40B4-BE49-F238E27FC236}">
              <a16:creationId xmlns:a16="http://schemas.microsoft.com/office/drawing/2014/main" xmlns="" id="{00000000-0008-0000-0000-0000AB000000}"/>
            </a:ext>
          </a:extLst>
        </xdr:cNvPr>
        <xdr:cNvSpPr/>
      </xdr:nvSpPr>
      <xdr:spPr>
        <a:xfrm>
          <a:off x="30870525" y="4476750"/>
          <a:ext cx="1005840" cy="8622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52</xdr:col>
      <xdr:colOff>200025</xdr:colOff>
      <xdr:row>23</xdr:row>
      <xdr:rowOff>123828</xdr:rowOff>
    </xdr:from>
    <xdr:to>
      <xdr:col>52</xdr:col>
      <xdr:colOff>600075</xdr:colOff>
      <xdr:row>23</xdr:row>
      <xdr:rowOff>123829</xdr:rowOff>
    </xdr:to>
    <xdr:cxnSp macro="">
      <xdr:nvCxnSpPr>
        <xdr:cNvPr id="173" name="Straight Arrow Connector 172">
          <a:extLst>
            <a:ext uri="{FF2B5EF4-FFF2-40B4-BE49-F238E27FC236}">
              <a16:creationId xmlns:a16="http://schemas.microsoft.com/office/drawing/2014/main" xmlns="" id="{00000000-0008-0000-0000-0000AD000000}"/>
            </a:ext>
          </a:extLst>
        </xdr:cNvPr>
        <xdr:cNvCxnSpPr/>
      </xdr:nvCxnSpPr>
      <xdr:spPr>
        <a:xfrm flipV="1">
          <a:off x="31899225" y="4857753"/>
          <a:ext cx="400050" cy="1"/>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600075</xdr:colOff>
      <xdr:row>22</xdr:row>
      <xdr:rowOff>171450</xdr:rowOff>
    </xdr:from>
    <xdr:ext cx="847725" cy="266700"/>
    <xdr:sp macro="" textlink="">
      <xdr:nvSpPr>
        <xdr:cNvPr id="175" name="TextBox 174">
          <a:extLst>
            <a:ext uri="{FF2B5EF4-FFF2-40B4-BE49-F238E27FC236}">
              <a16:creationId xmlns:a16="http://schemas.microsoft.com/office/drawing/2014/main" xmlns="" id="{00000000-0008-0000-0000-0000AF000000}"/>
            </a:ext>
          </a:extLst>
        </xdr:cNvPr>
        <xdr:cNvSpPr txBox="1"/>
      </xdr:nvSpPr>
      <xdr:spPr>
        <a:xfrm>
          <a:off x="32908875" y="47053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BUS_CLK</a:t>
          </a:r>
        </a:p>
      </xdr:txBody>
    </xdr:sp>
    <xdr:clientData/>
  </xdr:oneCellAnchor>
  <xdr:twoCellAnchor>
    <xdr:from>
      <xdr:col>46</xdr:col>
      <xdr:colOff>428625</xdr:colOff>
      <xdr:row>28</xdr:row>
      <xdr:rowOff>38100</xdr:rowOff>
    </xdr:from>
    <xdr:to>
      <xdr:col>48</xdr:col>
      <xdr:colOff>215265</xdr:colOff>
      <xdr:row>32</xdr:row>
      <xdr:rowOff>176402</xdr:rowOff>
    </xdr:to>
    <xdr:sp macro="" textlink="">
      <xdr:nvSpPr>
        <xdr:cNvPr id="178" name="Rectangle 177">
          <a:extLst>
            <a:ext uri="{FF2B5EF4-FFF2-40B4-BE49-F238E27FC236}">
              <a16:creationId xmlns:a16="http://schemas.microsoft.com/office/drawing/2014/main" xmlns="" id="{00000000-0008-0000-0000-0000B2000000}"/>
            </a:ext>
          </a:extLst>
        </xdr:cNvPr>
        <xdr:cNvSpPr/>
      </xdr:nvSpPr>
      <xdr:spPr>
        <a:xfrm>
          <a:off x="28470225" y="5819775"/>
          <a:ext cx="1005840" cy="9288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DIVSLOW</a:t>
          </a:r>
          <a:endParaRPr lang="en-US">
            <a:effectLst/>
          </a:endParaRPr>
        </a:p>
        <a:p>
          <a:pPr algn="ctr"/>
          <a:r>
            <a:rPr lang="en-US" sz="900">
              <a:solidFill>
                <a:schemeClr val="lt1"/>
              </a:solidFill>
              <a:effectLst/>
              <a:latin typeface="+mn-lt"/>
              <a:ea typeface="+mn-ea"/>
              <a:cs typeface="+mn-cs"/>
            </a:rPr>
            <a:t>SCG_xCCR[DIVSLOW]</a:t>
          </a:r>
        </a:p>
        <a:p>
          <a:pPr algn="ctr"/>
          <a:r>
            <a:rPr lang="en-US" sz="900">
              <a:solidFill>
                <a:schemeClr val="lt1"/>
              </a:solidFill>
              <a:effectLst/>
              <a:latin typeface="+mn-lt"/>
              <a:ea typeface="+mn-ea"/>
              <a:cs typeface="+mn-cs"/>
            </a:rPr>
            <a:t>/(1+(0...7))</a:t>
          </a:r>
          <a:endParaRPr lang="en-US" sz="900">
            <a:effectLst/>
          </a:endParaRPr>
        </a:p>
      </xdr:txBody>
    </xdr:sp>
    <xdr:clientData/>
  </xdr:twoCellAnchor>
  <xdr:twoCellAnchor>
    <xdr:from>
      <xdr:col>44</xdr:col>
      <xdr:colOff>295275</xdr:colOff>
      <xdr:row>31</xdr:row>
      <xdr:rowOff>19051</xdr:rowOff>
    </xdr:from>
    <xdr:to>
      <xdr:col>46</xdr:col>
      <xdr:colOff>447675</xdr:colOff>
      <xdr:row>31</xdr:row>
      <xdr:rowOff>19052</xdr:rowOff>
    </xdr:to>
    <xdr:cxnSp macro="">
      <xdr:nvCxnSpPr>
        <xdr:cNvPr id="179" name="Straight Arrow Connector 178">
          <a:extLst>
            <a:ext uri="{FF2B5EF4-FFF2-40B4-BE49-F238E27FC236}">
              <a16:creationId xmlns:a16="http://schemas.microsoft.com/office/drawing/2014/main" xmlns="" id="{00000000-0008-0000-0000-0000B3000000}"/>
            </a:ext>
          </a:extLst>
        </xdr:cNvPr>
        <xdr:cNvCxnSpPr/>
      </xdr:nvCxnSpPr>
      <xdr:spPr>
        <a:xfrm flipV="1">
          <a:off x="27117675" y="6400801"/>
          <a:ext cx="1371600"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238125</xdr:colOff>
      <xdr:row>31</xdr:row>
      <xdr:rowOff>19051</xdr:rowOff>
    </xdr:from>
    <xdr:to>
      <xdr:col>50</xdr:col>
      <xdr:colOff>390525</xdr:colOff>
      <xdr:row>31</xdr:row>
      <xdr:rowOff>19052</xdr:rowOff>
    </xdr:to>
    <xdr:cxnSp macro="">
      <xdr:nvCxnSpPr>
        <xdr:cNvPr id="182" name="Straight Arrow Connector 181">
          <a:extLst>
            <a:ext uri="{FF2B5EF4-FFF2-40B4-BE49-F238E27FC236}">
              <a16:creationId xmlns:a16="http://schemas.microsoft.com/office/drawing/2014/main" xmlns="" id="{00000000-0008-0000-0000-0000B6000000}"/>
            </a:ext>
          </a:extLst>
        </xdr:cNvPr>
        <xdr:cNvCxnSpPr/>
      </xdr:nvCxnSpPr>
      <xdr:spPr>
        <a:xfrm flipV="1">
          <a:off x="29498925" y="6429376"/>
          <a:ext cx="1371600" cy="1"/>
        </a:xfrm>
        <a:prstGeom prst="straightConnector1">
          <a:avLst/>
        </a:prstGeom>
        <a:ln w="19050">
          <a:solidFill>
            <a:srgbClr val="7030A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390525</xdr:colOff>
      <xdr:row>28</xdr:row>
      <xdr:rowOff>133350</xdr:rowOff>
    </xdr:from>
    <xdr:to>
      <xdr:col>52</xdr:col>
      <xdr:colOff>177165</xdr:colOff>
      <xdr:row>32</xdr:row>
      <xdr:rowOff>166877</xdr:rowOff>
    </xdr:to>
    <xdr:sp macro="" textlink="">
      <xdr:nvSpPr>
        <xdr:cNvPr id="187" name="Rectangle 186">
          <a:hlinkClick xmlns:r="http://schemas.openxmlformats.org/officeDocument/2006/relationships" r:id="rId3"/>
          <a:extLst>
            <a:ext uri="{FF2B5EF4-FFF2-40B4-BE49-F238E27FC236}">
              <a16:creationId xmlns:a16="http://schemas.microsoft.com/office/drawing/2014/main" xmlns="" id="{00000000-0008-0000-0000-0000BB000000}"/>
            </a:ext>
          </a:extLst>
        </xdr:cNvPr>
        <xdr:cNvSpPr/>
      </xdr:nvSpPr>
      <xdr:spPr>
        <a:xfrm>
          <a:off x="30870525" y="5915025"/>
          <a:ext cx="1005840" cy="8622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Power Mode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oneCellAnchor>
    <xdr:from>
      <xdr:col>53</xdr:col>
      <xdr:colOff>590550</xdr:colOff>
      <xdr:row>29</xdr:row>
      <xdr:rowOff>171450</xdr:rowOff>
    </xdr:from>
    <xdr:ext cx="847725" cy="266700"/>
    <xdr:sp macro="" textlink="">
      <xdr:nvSpPr>
        <xdr:cNvPr id="188" name="TextBox 187">
          <a:extLst>
            <a:ext uri="{FF2B5EF4-FFF2-40B4-BE49-F238E27FC236}">
              <a16:creationId xmlns:a16="http://schemas.microsoft.com/office/drawing/2014/main" xmlns="" id="{00000000-0008-0000-0000-0000BC000000}"/>
            </a:ext>
          </a:extLst>
        </xdr:cNvPr>
        <xdr:cNvSpPr txBox="1"/>
      </xdr:nvSpPr>
      <xdr:spPr>
        <a:xfrm>
          <a:off x="32899350" y="616267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FLASH_CLK</a:t>
          </a:r>
        </a:p>
      </xdr:txBody>
    </xdr:sp>
    <xdr:clientData/>
  </xdr:oneCellAnchor>
  <xdr:twoCellAnchor>
    <xdr:from>
      <xdr:col>52</xdr:col>
      <xdr:colOff>190500</xdr:colOff>
      <xdr:row>30</xdr:row>
      <xdr:rowOff>123827</xdr:rowOff>
    </xdr:from>
    <xdr:to>
      <xdr:col>53</xdr:col>
      <xdr:colOff>9525</xdr:colOff>
      <xdr:row>30</xdr:row>
      <xdr:rowOff>123828</xdr:rowOff>
    </xdr:to>
    <xdr:cxnSp macro="">
      <xdr:nvCxnSpPr>
        <xdr:cNvPr id="189" name="Straight Arrow Connector 188">
          <a:extLst>
            <a:ext uri="{FF2B5EF4-FFF2-40B4-BE49-F238E27FC236}">
              <a16:creationId xmlns:a16="http://schemas.microsoft.com/office/drawing/2014/main" xmlns="" id="{00000000-0008-0000-0000-0000BD000000}"/>
            </a:ext>
          </a:extLst>
        </xdr:cNvPr>
        <xdr:cNvCxnSpPr/>
      </xdr:nvCxnSpPr>
      <xdr:spPr>
        <a:xfrm flipV="1">
          <a:off x="31889700" y="6324602"/>
          <a:ext cx="428625" cy="1"/>
        </a:xfrm>
        <a:prstGeom prst="straightConnector1">
          <a:avLst/>
        </a:prstGeom>
        <a:ln w="19050">
          <a:solidFill>
            <a:srgbClr val="7030A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428625</xdr:colOff>
      <xdr:row>42</xdr:row>
      <xdr:rowOff>9525</xdr:rowOff>
    </xdr:from>
    <xdr:to>
      <xdr:col>46</xdr:col>
      <xdr:colOff>390525</xdr:colOff>
      <xdr:row>42</xdr:row>
      <xdr:rowOff>9525</xdr:rowOff>
    </xdr:to>
    <xdr:cxnSp macro="">
      <xdr:nvCxnSpPr>
        <xdr:cNvPr id="86" name="Straight Arrow Connector 85">
          <a:extLst>
            <a:ext uri="{FF2B5EF4-FFF2-40B4-BE49-F238E27FC236}">
              <a16:creationId xmlns:a16="http://schemas.microsoft.com/office/drawing/2014/main" xmlns="" id="{00000000-0008-0000-0000-000056000000}"/>
            </a:ext>
          </a:extLst>
        </xdr:cNvPr>
        <xdr:cNvCxnSpPr/>
      </xdr:nvCxnSpPr>
      <xdr:spPr>
        <a:xfrm>
          <a:off x="21764625" y="8620125"/>
          <a:ext cx="6667500"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390525</xdr:colOff>
      <xdr:row>39</xdr:row>
      <xdr:rowOff>38100</xdr:rowOff>
    </xdr:from>
    <xdr:to>
      <xdr:col>48</xdr:col>
      <xdr:colOff>177165</xdr:colOff>
      <xdr:row>43</xdr:row>
      <xdr:rowOff>185927</xdr:rowOff>
    </xdr:to>
    <xdr:sp macro="" textlink="">
      <xdr:nvSpPr>
        <xdr:cNvPr id="89" name="Rectangle 88">
          <a:extLst>
            <a:ext uri="{FF2B5EF4-FFF2-40B4-BE49-F238E27FC236}">
              <a16:creationId xmlns:a16="http://schemas.microsoft.com/office/drawing/2014/main" xmlns="" id="{00000000-0008-0000-0000-000059000000}"/>
            </a:ext>
          </a:extLst>
        </xdr:cNvPr>
        <xdr:cNvSpPr/>
      </xdr:nvSpPr>
      <xdr:spPr>
        <a:xfrm>
          <a:off x="28432125" y="8029575"/>
          <a:ext cx="1005840" cy="9669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SPLL DIV1</a:t>
          </a:r>
          <a:endParaRPr lang="en-US">
            <a:effectLst/>
          </a:endParaRPr>
        </a:p>
        <a:p>
          <a:pPr algn="ctr"/>
          <a:r>
            <a:rPr lang="en-US" sz="900">
              <a:solidFill>
                <a:schemeClr val="lt1"/>
              </a:solidFill>
              <a:effectLst/>
              <a:latin typeface="+mn-lt"/>
              <a:ea typeface="+mn-ea"/>
              <a:cs typeface="+mn-cs"/>
            </a:rPr>
            <a:t>SCG_SPLLDIV[SPLLDIV1]</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552450</xdr:colOff>
      <xdr:row>45</xdr:row>
      <xdr:rowOff>28575</xdr:rowOff>
    </xdr:from>
    <xdr:ext cx="1152526" cy="1238250"/>
    <xdr:sp macro="" textlink="">
      <xdr:nvSpPr>
        <xdr:cNvPr id="91" name="TextBox 90">
          <a:extLst>
            <a:ext uri="{FF2B5EF4-FFF2-40B4-BE49-F238E27FC236}">
              <a16:creationId xmlns:a16="http://schemas.microsoft.com/office/drawing/2014/main" xmlns="" id="{00000000-0008-0000-0000-00005B000000}"/>
            </a:ext>
          </a:extLst>
        </xdr:cNvPr>
        <xdr:cNvSpPr txBox="1"/>
      </xdr:nvSpPr>
      <xdr:spPr>
        <a:xfrm>
          <a:off x="28594050" y="9277350"/>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48</xdr:col>
      <xdr:colOff>200025</xdr:colOff>
      <xdr:row>41</xdr:row>
      <xdr:rowOff>104775</xdr:rowOff>
    </xdr:from>
    <xdr:to>
      <xdr:col>52</xdr:col>
      <xdr:colOff>590550</xdr:colOff>
      <xdr:row>41</xdr:row>
      <xdr:rowOff>130033</xdr:rowOff>
    </xdr:to>
    <xdr:cxnSp macro="">
      <xdr:nvCxnSpPr>
        <xdr:cNvPr id="92" name="Straight Arrow Connector 91">
          <a:extLst>
            <a:ext uri="{FF2B5EF4-FFF2-40B4-BE49-F238E27FC236}">
              <a16:creationId xmlns:a16="http://schemas.microsoft.com/office/drawing/2014/main" xmlns="" id="{00000000-0008-0000-0000-00005C000000}"/>
            </a:ext>
          </a:extLst>
        </xdr:cNvPr>
        <xdr:cNvCxnSpPr/>
      </xdr:nvCxnSpPr>
      <xdr:spPr>
        <a:xfrm>
          <a:off x="29460825" y="8515350"/>
          <a:ext cx="2828925" cy="25258"/>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0</xdr:colOff>
      <xdr:row>41</xdr:row>
      <xdr:rowOff>0</xdr:rowOff>
    </xdr:from>
    <xdr:ext cx="990600" cy="266700"/>
    <xdr:sp macro="" textlink="">
      <xdr:nvSpPr>
        <xdr:cNvPr id="98" name="TextBox 97">
          <a:extLst>
            <a:ext uri="{FF2B5EF4-FFF2-40B4-BE49-F238E27FC236}">
              <a16:creationId xmlns:a16="http://schemas.microsoft.com/office/drawing/2014/main" xmlns="" id="{00000000-0008-0000-0000-000062000000}"/>
            </a:ext>
          </a:extLst>
        </xdr:cNvPr>
        <xdr:cNvSpPr txBox="1"/>
      </xdr:nvSpPr>
      <xdr:spPr>
        <a:xfrm>
          <a:off x="32918400" y="841057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SPLLDIV1_CLK</a:t>
          </a:r>
        </a:p>
      </xdr:txBody>
    </xdr:sp>
    <xdr:clientData/>
  </xdr:oneCellAnchor>
  <xdr:twoCellAnchor>
    <xdr:from>
      <xdr:col>43</xdr:col>
      <xdr:colOff>200025</xdr:colOff>
      <xdr:row>42</xdr:row>
      <xdr:rowOff>0</xdr:rowOff>
    </xdr:from>
    <xdr:to>
      <xdr:col>43</xdr:col>
      <xdr:colOff>200025</xdr:colOff>
      <xdr:row>54</xdr:row>
      <xdr:rowOff>114300</xdr:rowOff>
    </xdr:to>
    <xdr:cxnSp macro="">
      <xdr:nvCxnSpPr>
        <xdr:cNvPr id="99" name="Straight Arrow Connector 98">
          <a:extLst>
            <a:ext uri="{FF2B5EF4-FFF2-40B4-BE49-F238E27FC236}">
              <a16:creationId xmlns:a16="http://schemas.microsoft.com/office/drawing/2014/main" xmlns="" id="{00000000-0008-0000-0000-000063000000}"/>
            </a:ext>
          </a:extLst>
        </xdr:cNvPr>
        <xdr:cNvCxnSpPr/>
      </xdr:nvCxnSpPr>
      <xdr:spPr>
        <a:xfrm>
          <a:off x="26412825" y="8620125"/>
          <a:ext cx="0" cy="2466975"/>
        </a:xfrm>
        <a:prstGeom prst="straightConnector1">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190500</xdr:colOff>
      <xdr:row>54</xdr:row>
      <xdr:rowOff>123825</xdr:rowOff>
    </xdr:from>
    <xdr:to>
      <xdr:col>46</xdr:col>
      <xdr:colOff>390525</xdr:colOff>
      <xdr:row>54</xdr:row>
      <xdr:rowOff>123825</xdr:rowOff>
    </xdr:to>
    <xdr:cxnSp macro="">
      <xdr:nvCxnSpPr>
        <xdr:cNvPr id="100" name="Straight Arrow Connector 99">
          <a:extLst>
            <a:ext uri="{FF2B5EF4-FFF2-40B4-BE49-F238E27FC236}">
              <a16:creationId xmlns:a16="http://schemas.microsoft.com/office/drawing/2014/main" xmlns="" id="{00000000-0008-0000-0000-000064000000}"/>
            </a:ext>
          </a:extLst>
        </xdr:cNvPr>
        <xdr:cNvCxnSpPr/>
      </xdr:nvCxnSpPr>
      <xdr:spPr>
        <a:xfrm>
          <a:off x="26403300" y="11096625"/>
          <a:ext cx="2028825"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409575</xdr:colOff>
      <xdr:row>51</xdr:row>
      <xdr:rowOff>133350</xdr:rowOff>
    </xdr:from>
    <xdr:to>
      <xdr:col>48</xdr:col>
      <xdr:colOff>196215</xdr:colOff>
      <xdr:row>56</xdr:row>
      <xdr:rowOff>166877</xdr:rowOff>
    </xdr:to>
    <xdr:sp macro="" textlink="">
      <xdr:nvSpPr>
        <xdr:cNvPr id="102" name="Rectangle 101">
          <a:extLst>
            <a:ext uri="{FF2B5EF4-FFF2-40B4-BE49-F238E27FC236}">
              <a16:creationId xmlns:a16="http://schemas.microsoft.com/office/drawing/2014/main" xmlns="" id="{00000000-0008-0000-0000-000066000000}"/>
            </a:ext>
          </a:extLst>
        </xdr:cNvPr>
        <xdr:cNvSpPr/>
      </xdr:nvSpPr>
      <xdr:spPr>
        <a:xfrm>
          <a:off x="28451175" y="10534650"/>
          <a:ext cx="1005840" cy="9860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SPLL DIV2</a:t>
          </a:r>
          <a:endParaRPr lang="en-US">
            <a:effectLst/>
          </a:endParaRPr>
        </a:p>
        <a:p>
          <a:pPr algn="ctr"/>
          <a:r>
            <a:rPr lang="en-US" sz="900">
              <a:solidFill>
                <a:schemeClr val="lt1"/>
              </a:solidFill>
              <a:effectLst/>
              <a:latin typeface="+mn-lt"/>
              <a:ea typeface="+mn-ea"/>
              <a:cs typeface="+mn-cs"/>
            </a:rPr>
            <a:t>SCG_SPLLDIV[SPLLDIV2]</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542925</xdr:colOff>
      <xdr:row>58</xdr:row>
      <xdr:rowOff>19050</xdr:rowOff>
    </xdr:from>
    <xdr:ext cx="1152526" cy="1238250"/>
    <xdr:sp macro="" textlink="">
      <xdr:nvSpPr>
        <xdr:cNvPr id="103" name="TextBox 102">
          <a:extLst>
            <a:ext uri="{FF2B5EF4-FFF2-40B4-BE49-F238E27FC236}">
              <a16:creationId xmlns:a16="http://schemas.microsoft.com/office/drawing/2014/main" xmlns="" id="{00000000-0008-0000-0000-000067000000}"/>
            </a:ext>
          </a:extLst>
        </xdr:cNvPr>
        <xdr:cNvSpPr txBox="1"/>
      </xdr:nvSpPr>
      <xdr:spPr>
        <a:xfrm>
          <a:off x="28584525" y="11820525"/>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48</xdr:col>
      <xdr:colOff>209550</xdr:colOff>
      <xdr:row>54</xdr:row>
      <xdr:rowOff>116373</xdr:rowOff>
    </xdr:from>
    <xdr:to>
      <xdr:col>52</xdr:col>
      <xdr:colOff>588065</xdr:colOff>
      <xdr:row>54</xdr:row>
      <xdr:rowOff>116373</xdr:rowOff>
    </xdr:to>
    <xdr:cxnSp macro="">
      <xdr:nvCxnSpPr>
        <xdr:cNvPr id="106" name="Straight Arrow Connector 105">
          <a:extLst>
            <a:ext uri="{FF2B5EF4-FFF2-40B4-BE49-F238E27FC236}">
              <a16:creationId xmlns:a16="http://schemas.microsoft.com/office/drawing/2014/main" xmlns="" id="{00000000-0008-0000-0000-00006A000000}"/>
            </a:ext>
          </a:extLst>
        </xdr:cNvPr>
        <xdr:cNvCxnSpPr/>
      </xdr:nvCxnSpPr>
      <xdr:spPr>
        <a:xfrm>
          <a:off x="29629376" y="11024569"/>
          <a:ext cx="2830167"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581025</xdr:colOff>
      <xdr:row>53</xdr:row>
      <xdr:rowOff>180975</xdr:rowOff>
    </xdr:from>
    <xdr:ext cx="990600" cy="266700"/>
    <xdr:sp macro="" textlink="">
      <xdr:nvSpPr>
        <xdr:cNvPr id="108" name="TextBox 107">
          <a:extLst>
            <a:ext uri="{FF2B5EF4-FFF2-40B4-BE49-F238E27FC236}">
              <a16:creationId xmlns:a16="http://schemas.microsoft.com/office/drawing/2014/main" xmlns="" id="{00000000-0008-0000-0000-00006C000000}"/>
            </a:ext>
          </a:extLst>
        </xdr:cNvPr>
        <xdr:cNvSpPr txBox="1"/>
      </xdr:nvSpPr>
      <xdr:spPr>
        <a:xfrm>
          <a:off x="32889825" y="1096327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SPLLDIV2_CLK</a:t>
          </a:r>
        </a:p>
      </xdr:txBody>
    </xdr:sp>
    <xdr:clientData/>
  </xdr:oneCellAnchor>
  <xdr:twoCellAnchor>
    <xdr:from>
      <xdr:col>15</xdr:col>
      <xdr:colOff>390525</xdr:colOff>
      <xdr:row>23</xdr:row>
      <xdr:rowOff>114300</xdr:rowOff>
    </xdr:from>
    <xdr:to>
      <xdr:col>17</xdr:col>
      <xdr:colOff>177165</xdr:colOff>
      <xdr:row>27</xdr:row>
      <xdr:rowOff>185927</xdr:rowOff>
    </xdr:to>
    <xdr:sp macro="" textlink="">
      <xdr:nvSpPr>
        <xdr:cNvPr id="110" name="Rectangle 109">
          <a:extLst>
            <a:ext uri="{FF2B5EF4-FFF2-40B4-BE49-F238E27FC236}">
              <a16:creationId xmlns:a16="http://schemas.microsoft.com/office/drawing/2014/main" xmlns="" id="{00000000-0008-0000-0000-00006E000000}"/>
            </a:ext>
          </a:extLst>
        </xdr:cNvPr>
        <xdr:cNvSpPr/>
      </xdr:nvSpPr>
      <xdr:spPr>
        <a:xfrm>
          <a:off x="9534525" y="4848225"/>
          <a:ext cx="1005840" cy="9098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LP Biasing</a:t>
          </a:r>
          <a:endParaRPr lang="en-US">
            <a:effectLst/>
          </a:endParaRPr>
        </a:p>
        <a:p>
          <a:pPr algn="ctr"/>
          <a:r>
            <a:rPr lang="en-US" sz="900">
              <a:solidFill>
                <a:schemeClr val="lt1"/>
              </a:solidFill>
              <a:effectLst/>
              <a:latin typeface="+mn-lt"/>
              <a:ea typeface="+mn-ea"/>
              <a:cs typeface="+mn-cs"/>
            </a:rPr>
            <a:t>PMC_REGSC[BIASEN]</a:t>
          </a:r>
          <a:endParaRPr lang="en-US" sz="900">
            <a:effectLst/>
          </a:endParaRPr>
        </a:p>
      </xdr:txBody>
    </xdr:sp>
    <xdr:clientData/>
  </xdr:twoCellAnchor>
  <xdr:oneCellAnchor>
    <xdr:from>
      <xdr:col>15</xdr:col>
      <xdr:colOff>571500</xdr:colOff>
      <xdr:row>29</xdr:row>
      <xdr:rowOff>28575</xdr:rowOff>
    </xdr:from>
    <xdr:ext cx="1200150" cy="353156"/>
    <xdr:sp macro="" textlink="">
      <xdr:nvSpPr>
        <xdr:cNvPr id="112" name="TextBox 111">
          <a:extLst>
            <a:ext uri="{FF2B5EF4-FFF2-40B4-BE49-F238E27FC236}">
              <a16:creationId xmlns:a16="http://schemas.microsoft.com/office/drawing/2014/main" xmlns="" id="{00000000-0008-0000-0000-000070000000}"/>
            </a:ext>
          </a:extLst>
        </xdr:cNvPr>
        <xdr:cNvSpPr txBox="1"/>
      </xdr:nvSpPr>
      <xdr:spPr>
        <a:xfrm>
          <a:off x="9715500" y="6019800"/>
          <a:ext cx="1200150"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Biasing</a:t>
          </a:r>
          <a:r>
            <a:rPr lang="en-US" sz="800" baseline="0"/>
            <a:t> Disabled</a:t>
          </a:r>
          <a:endParaRPr lang="en-US" sz="800"/>
        </a:p>
        <a:p>
          <a:r>
            <a:rPr lang="en-US" sz="800"/>
            <a:t>1 - Biasing Enabled</a:t>
          </a:r>
        </a:p>
      </xdr:txBody>
    </xdr:sp>
    <xdr:clientData/>
  </xdr:oneCellAnchor>
  <xdr:twoCellAnchor>
    <xdr:from>
      <xdr:col>14</xdr:col>
      <xdr:colOff>209550</xdr:colOff>
      <xdr:row>25</xdr:row>
      <xdr:rowOff>200025</xdr:rowOff>
    </xdr:from>
    <xdr:to>
      <xdr:col>15</xdr:col>
      <xdr:colOff>381000</xdr:colOff>
      <xdr:row>25</xdr:row>
      <xdr:rowOff>200025</xdr:rowOff>
    </xdr:to>
    <xdr:cxnSp macro="">
      <xdr:nvCxnSpPr>
        <xdr:cNvPr id="113" name="Straight Arrow Connector 112">
          <a:extLst>
            <a:ext uri="{FF2B5EF4-FFF2-40B4-BE49-F238E27FC236}">
              <a16:creationId xmlns:a16="http://schemas.microsoft.com/office/drawing/2014/main" xmlns="" id="{00000000-0008-0000-0000-000071000000}"/>
            </a:ext>
          </a:extLst>
        </xdr:cNvPr>
        <xdr:cNvCxnSpPr/>
      </xdr:nvCxnSpPr>
      <xdr:spPr>
        <a:xfrm>
          <a:off x="8743950" y="5353050"/>
          <a:ext cx="781050"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457200</xdr:colOff>
      <xdr:row>23</xdr:row>
      <xdr:rowOff>123825</xdr:rowOff>
    </xdr:from>
    <xdr:to>
      <xdr:col>19</xdr:col>
      <xdr:colOff>243840</xdr:colOff>
      <xdr:row>27</xdr:row>
      <xdr:rowOff>195452</xdr:rowOff>
    </xdr:to>
    <xdr:sp macro="" textlink="">
      <xdr:nvSpPr>
        <xdr:cNvPr id="115" name="Rectangle 114">
          <a:extLst>
            <a:ext uri="{FF2B5EF4-FFF2-40B4-BE49-F238E27FC236}">
              <a16:creationId xmlns:a16="http://schemas.microsoft.com/office/drawing/2014/main" xmlns="" id="{00000000-0008-0000-0000-000073000000}"/>
            </a:ext>
          </a:extLst>
        </xdr:cNvPr>
        <xdr:cNvSpPr/>
      </xdr:nvSpPr>
      <xdr:spPr>
        <a:xfrm>
          <a:off x="10820400" y="4857750"/>
          <a:ext cx="1005840" cy="9098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Clock Bias</a:t>
          </a:r>
          <a:r>
            <a:rPr lang="en-US" sz="1100" baseline="0">
              <a:solidFill>
                <a:schemeClr val="lt1"/>
              </a:solidFill>
              <a:effectLst/>
              <a:latin typeface="+mn-lt"/>
              <a:ea typeface="+mn-ea"/>
              <a:cs typeface="+mn-cs"/>
            </a:rPr>
            <a:t> Disable</a:t>
          </a:r>
          <a:endParaRPr lang="en-US">
            <a:effectLst/>
          </a:endParaRPr>
        </a:p>
        <a:p>
          <a:pPr algn="ctr"/>
          <a:r>
            <a:rPr lang="en-US" sz="900">
              <a:solidFill>
                <a:schemeClr val="lt1"/>
              </a:solidFill>
              <a:effectLst/>
              <a:latin typeface="+mn-lt"/>
              <a:ea typeface="+mn-ea"/>
              <a:cs typeface="+mn-cs"/>
            </a:rPr>
            <a:t>PMC_REGSC[CLKBIASDIS]</a:t>
          </a:r>
          <a:endParaRPr lang="en-US" sz="900">
            <a:effectLst/>
          </a:endParaRPr>
        </a:p>
      </xdr:txBody>
    </xdr:sp>
    <xdr:clientData/>
  </xdr:twoCellAnchor>
  <xdr:twoCellAnchor>
    <xdr:from>
      <xdr:col>17</xdr:col>
      <xdr:colOff>200025</xdr:colOff>
      <xdr:row>26</xdr:row>
      <xdr:rowOff>9525</xdr:rowOff>
    </xdr:from>
    <xdr:to>
      <xdr:col>17</xdr:col>
      <xdr:colOff>457200</xdr:colOff>
      <xdr:row>26</xdr:row>
      <xdr:rowOff>9525</xdr:rowOff>
    </xdr:to>
    <xdr:cxnSp macro="">
      <xdr:nvCxnSpPr>
        <xdr:cNvPr id="118" name="Straight Arrow Connector 117">
          <a:extLst>
            <a:ext uri="{FF2B5EF4-FFF2-40B4-BE49-F238E27FC236}">
              <a16:creationId xmlns:a16="http://schemas.microsoft.com/office/drawing/2014/main" xmlns="" id="{00000000-0008-0000-0000-000076000000}"/>
            </a:ext>
          </a:extLst>
        </xdr:cNvPr>
        <xdr:cNvCxnSpPr/>
      </xdr:nvCxnSpPr>
      <xdr:spPr>
        <a:xfrm>
          <a:off x="10563225" y="5372100"/>
          <a:ext cx="257175"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581025</xdr:colOff>
      <xdr:row>29</xdr:row>
      <xdr:rowOff>0</xdr:rowOff>
    </xdr:from>
    <xdr:ext cx="1200150" cy="904875"/>
    <xdr:sp macro="" textlink="">
      <xdr:nvSpPr>
        <xdr:cNvPr id="119" name="TextBox 118">
          <a:extLst>
            <a:ext uri="{FF2B5EF4-FFF2-40B4-BE49-F238E27FC236}">
              <a16:creationId xmlns:a16="http://schemas.microsoft.com/office/drawing/2014/main" xmlns="" id="{00000000-0008-0000-0000-000077000000}"/>
            </a:ext>
          </a:extLst>
        </xdr:cNvPr>
        <xdr:cNvSpPr txBox="1"/>
      </xdr:nvSpPr>
      <xdr:spPr>
        <a:xfrm>
          <a:off x="10944225" y="5991225"/>
          <a:ext cx="1200150" cy="904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Clock</a:t>
          </a:r>
          <a:r>
            <a:rPr lang="en-US" sz="800" baseline="0"/>
            <a:t> current/voltage enabled in VLPS</a:t>
          </a:r>
          <a:endParaRPr lang="en-US" sz="800"/>
        </a:p>
        <a:p>
          <a:r>
            <a:rPr lang="en-US" sz="800"/>
            <a:t>1 - Clock current/voltage disabled in VLPS</a:t>
          </a:r>
        </a:p>
      </xdr:txBody>
    </xdr:sp>
    <xdr:clientData/>
  </xdr:oneCellAnchor>
  <xdr:twoCellAnchor>
    <xdr:from>
      <xdr:col>46</xdr:col>
      <xdr:colOff>400050</xdr:colOff>
      <xdr:row>64</xdr:row>
      <xdr:rowOff>142875</xdr:rowOff>
    </xdr:from>
    <xdr:to>
      <xdr:col>48</xdr:col>
      <xdr:colOff>186690</xdr:colOff>
      <xdr:row>69</xdr:row>
      <xdr:rowOff>176402</xdr:rowOff>
    </xdr:to>
    <xdr:sp macro="" textlink="">
      <xdr:nvSpPr>
        <xdr:cNvPr id="120" name="Rectangle 119">
          <a:extLst>
            <a:ext uri="{FF2B5EF4-FFF2-40B4-BE49-F238E27FC236}">
              <a16:creationId xmlns:a16="http://schemas.microsoft.com/office/drawing/2014/main" xmlns="" id="{00000000-0008-0000-0000-000078000000}"/>
            </a:ext>
          </a:extLst>
        </xdr:cNvPr>
        <xdr:cNvSpPr/>
      </xdr:nvSpPr>
      <xdr:spPr>
        <a:xfrm>
          <a:off x="28441650" y="13096875"/>
          <a:ext cx="1005840" cy="9860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FIRC DIV1</a:t>
          </a:r>
          <a:endParaRPr lang="en-US">
            <a:effectLst/>
          </a:endParaRPr>
        </a:p>
        <a:p>
          <a:pPr algn="ctr"/>
          <a:r>
            <a:rPr lang="en-US" sz="900">
              <a:solidFill>
                <a:schemeClr val="lt1"/>
              </a:solidFill>
              <a:effectLst/>
              <a:latin typeface="+mn-lt"/>
              <a:ea typeface="+mn-ea"/>
              <a:cs typeface="+mn-cs"/>
            </a:rPr>
            <a:t>SCG_FIRCDIV[FIRCDIV1]</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542925</xdr:colOff>
      <xdr:row>70</xdr:row>
      <xdr:rowOff>180975</xdr:rowOff>
    </xdr:from>
    <xdr:ext cx="1152526" cy="1238250"/>
    <xdr:sp macro="" textlink="">
      <xdr:nvSpPr>
        <xdr:cNvPr id="121" name="TextBox 120">
          <a:extLst>
            <a:ext uri="{FF2B5EF4-FFF2-40B4-BE49-F238E27FC236}">
              <a16:creationId xmlns:a16="http://schemas.microsoft.com/office/drawing/2014/main" xmlns="" id="{00000000-0008-0000-0000-000079000000}"/>
            </a:ext>
          </a:extLst>
        </xdr:cNvPr>
        <xdr:cNvSpPr txBox="1"/>
      </xdr:nvSpPr>
      <xdr:spPr>
        <a:xfrm>
          <a:off x="28584525" y="14277975"/>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34</xdr:col>
      <xdr:colOff>552450</xdr:colOff>
      <xdr:row>16</xdr:row>
      <xdr:rowOff>161925</xdr:rowOff>
    </xdr:from>
    <xdr:to>
      <xdr:col>34</xdr:col>
      <xdr:colOff>552450</xdr:colOff>
      <xdr:row>67</xdr:row>
      <xdr:rowOff>133350</xdr:rowOff>
    </xdr:to>
    <xdr:cxnSp macro="">
      <xdr:nvCxnSpPr>
        <xdr:cNvPr id="122" name="Straight Arrow Connector 121">
          <a:extLst>
            <a:ext uri="{FF2B5EF4-FFF2-40B4-BE49-F238E27FC236}">
              <a16:creationId xmlns:a16="http://schemas.microsoft.com/office/drawing/2014/main" xmlns="" id="{00000000-0008-0000-0000-00007A000000}"/>
            </a:ext>
          </a:extLst>
        </xdr:cNvPr>
        <xdr:cNvCxnSpPr/>
      </xdr:nvCxnSpPr>
      <xdr:spPr>
        <a:xfrm>
          <a:off x="21278850" y="3467100"/>
          <a:ext cx="0" cy="10191750"/>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552450</xdr:colOff>
      <xdr:row>67</xdr:row>
      <xdr:rowOff>123825</xdr:rowOff>
    </xdr:from>
    <xdr:to>
      <xdr:col>46</xdr:col>
      <xdr:colOff>381000</xdr:colOff>
      <xdr:row>67</xdr:row>
      <xdr:rowOff>123825</xdr:rowOff>
    </xdr:to>
    <xdr:cxnSp macro="">
      <xdr:nvCxnSpPr>
        <xdr:cNvPr id="125" name="Straight Arrow Connector 124">
          <a:extLst>
            <a:ext uri="{FF2B5EF4-FFF2-40B4-BE49-F238E27FC236}">
              <a16:creationId xmlns:a16="http://schemas.microsoft.com/office/drawing/2014/main" xmlns="" id="{00000000-0008-0000-0000-00007D000000}"/>
            </a:ext>
          </a:extLst>
        </xdr:cNvPr>
        <xdr:cNvCxnSpPr/>
      </xdr:nvCxnSpPr>
      <xdr:spPr>
        <a:xfrm>
          <a:off x="21278850" y="13649325"/>
          <a:ext cx="714375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180975</xdr:colOff>
      <xdr:row>67</xdr:row>
      <xdr:rowOff>114300</xdr:rowOff>
    </xdr:from>
    <xdr:to>
      <xdr:col>52</xdr:col>
      <xdr:colOff>600075</xdr:colOff>
      <xdr:row>67</xdr:row>
      <xdr:rowOff>114300</xdr:rowOff>
    </xdr:to>
    <xdr:cxnSp macro="">
      <xdr:nvCxnSpPr>
        <xdr:cNvPr id="127" name="Straight Arrow Connector 126">
          <a:extLst>
            <a:ext uri="{FF2B5EF4-FFF2-40B4-BE49-F238E27FC236}">
              <a16:creationId xmlns:a16="http://schemas.microsoft.com/office/drawing/2014/main" xmlns="" id="{00000000-0008-0000-0000-00007F000000}"/>
            </a:ext>
          </a:extLst>
        </xdr:cNvPr>
        <xdr:cNvCxnSpPr/>
      </xdr:nvCxnSpPr>
      <xdr:spPr>
        <a:xfrm>
          <a:off x="29441775" y="13639800"/>
          <a:ext cx="2857500"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581025</xdr:colOff>
      <xdr:row>66</xdr:row>
      <xdr:rowOff>171450</xdr:rowOff>
    </xdr:from>
    <xdr:ext cx="990600" cy="266700"/>
    <xdr:sp macro="" textlink="">
      <xdr:nvSpPr>
        <xdr:cNvPr id="129" name="TextBox 128">
          <a:extLst>
            <a:ext uri="{FF2B5EF4-FFF2-40B4-BE49-F238E27FC236}">
              <a16:creationId xmlns:a16="http://schemas.microsoft.com/office/drawing/2014/main" xmlns="" id="{00000000-0008-0000-0000-000081000000}"/>
            </a:ext>
          </a:extLst>
        </xdr:cNvPr>
        <xdr:cNvSpPr txBox="1"/>
      </xdr:nvSpPr>
      <xdr:spPr>
        <a:xfrm>
          <a:off x="32889825" y="135064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FIRCDIV1_CLK</a:t>
          </a:r>
        </a:p>
      </xdr:txBody>
    </xdr:sp>
    <xdr:clientData/>
  </xdr:oneCellAnchor>
  <xdr:twoCellAnchor>
    <xdr:from>
      <xdr:col>42</xdr:col>
      <xdr:colOff>542925</xdr:colOff>
      <xdr:row>67</xdr:row>
      <xdr:rowOff>123825</xdr:rowOff>
    </xdr:from>
    <xdr:to>
      <xdr:col>42</xdr:col>
      <xdr:colOff>542925</xdr:colOff>
      <xdr:row>79</xdr:row>
      <xdr:rowOff>123825</xdr:rowOff>
    </xdr:to>
    <xdr:cxnSp macro="">
      <xdr:nvCxnSpPr>
        <xdr:cNvPr id="131" name="Straight Arrow Connector 130">
          <a:extLst>
            <a:ext uri="{FF2B5EF4-FFF2-40B4-BE49-F238E27FC236}">
              <a16:creationId xmlns:a16="http://schemas.microsoft.com/office/drawing/2014/main" xmlns="" id="{00000000-0008-0000-0000-000083000000}"/>
            </a:ext>
          </a:extLst>
        </xdr:cNvPr>
        <xdr:cNvCxnSpPr/>
      </xdr:nvCxnSpPr>
      <xdr:spPr>
        <a:xfrm>
          <a:off x="26146125" y="13658850"/>
          <a:ext cx="0" cy="2352675"/>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552450</xdr:colOff>
      <xdr:row>79</xdr:row>
      <xdr:rowOff>114300</xdr:rowOff>
    </xdr:from>
    <xdr:to>
      <xdr:col>46</xdr:col>
      <xdr:colOff>419100</xdr:colOff>
      <xdr:row>79</xdr:row>
      <xdr:rowOff>114300</xdr:rowOff>
    </xdr:to>
    <xdr:cxnSp macro="">
      <xdr:nvCxnSpPr>
        <xdr:cNvPr id="134" name="Straight Arrow Connector 133">
          <a:extLst>
            <a:ext uri="{FF2B5EF4-FFF2-40B4-BE49-F238E27FC236}">
              <a16:creationId xmlns:a16="http://schemas.microsoft.com/office/drawing/2014/main" xmlns="" id="{00000000-0008-0000-0000-000086000000}"/>
            </a:ext>
          </a:extLst>
        </xdr:cNvPr>
        <xdr:cNvCxnSpPr/>
      </xdr:nvCxnSpPr>
      <xdr:spPr>
        <a:xfrm>
          <a:off x="26155650" y="16002000"/>
          <a:ext cx="230505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419100</xdr:colOff>
      <xdr:row>77</xdr:row>
      <xdr:rowOff>95250</xdr:rowOff>
    </xdr:from>
    <xdr:to>
      <xdr:col>48</xdr:col>
      <xdr:colOff>205740</xdr:colOff>
      <xdr:row>82</xdr:row>
      <xdr:rowOff>166877</xdr:rowOff>
    </xdr:to>
    <xdr:sp macro="" textlink="">
      <xdr:nvSpPr>
        <xdr:cNvPr id="135" name="Rectangle 134">
          <a:extLst>
            <a:ext uri="{FF2B5EF4-FFF2-40B4-BE49-F238E27FC236}">
              <a16:creationId xmlns:a16="http://schemas.microsoft.com/office/drawing/2014/main" xmlns="" id="{00000000-0008-0000-0000-000087000000}"/>
            </a:ext>
          </a:extLst>
        </xdr:cNvPr>
        <xdr:cNvSpPr/>
      </xdr:nvSpPr>
      <xdr:spPr>
        <a:xfrm>
          <a:off x="28460700" y="15601950"/>
          <a:ext cx="1005840" cy="10241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FIRC DIV2</a:t>
          </a:r>
          <a:endParaRPr lang="en-US">
            <a:effectLst/>
          </a:endParaRPr>
        </a:p>
        <a:p>
          <a:pPr algn="ctr"/>
          <a:r>
            <a:rPr lang="en-US" sz="900">
              <a:solidFill>
                <a:schemeClr val="lt1"/>
              </a:solidFill>
              <a:effectLst/>
              <a:latin typeface="+mn-lt"/>
              <a:ea typeface="+mn-ea"/>
              <a:cs typeface="+mn-cs"/>
            </a:rPr>
            <a:t>SCG_FIRCDIV[FIRCDIV2]</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561975</xdr:colOff>
      <xdr:row>84</xdr:row>
      <xdr:rowOff>0</xdr:rowOff>
    </xdr:from>
    <xdr:ext cx="1152526" cy="1238250"/>
    <xdr:sp macro="" textlink="">
      <xdr:nvSpPr>
        <xdr:cNvPr id="137" name="TextBox 136">
          <a:extLst>
            <a:ext uri="{FF2B5EF4-FFF2-40B4-BE49-F238E27FC236}">
              <a16:creationId xmlns:a16="http://schemas.microsoft.com/office/drawing/2014/main" xmlns="" id="{00000000-0008-0000-0000-000089000000}"/>
            </a:ext>
          </a:extLst>
        </xdr:cNvPr>
        <xdr:cNvSpPr txBox="1"/>
      </xdr:nvSpPr>
      <xdr:spPr>
        <a:xfrm>
          <a:off x="28603575" y="16840200"/>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48</xdr:col>
      <xdr:colOff>219075</xdr:colOff>
      <xdr:row>79</xdr:row>
      <xdr:rowOff>104775</xdr:rowOff>
    </xdr:from>
    <xdr:to>
      <xdr:col>52</xdr:col>
      <xdr:colOff>600075</xdr:colOff>
      <xdr:row>79</xdr:row>
      <xdr:rowOff>104775</xdr:rowOff>
    </xdr:to>
    <xdr:cxnSp macro="">
      <xdr:nvCxnSpPr>
        <xdr:cNvPr id="139" name="Straight Arrow Connector 138">
          <a:extLst>
            <a:ext uri="{FF2B5EF4-FFF2-40B4-BE49-F238E27FC236}">
              <a16:creationId xmlns:a16="http://schemas.microsoft.com/office/drawing/2014/main" xmlns="" id="{00000000-0008-0000-0000-00008B000000}"/>
            </a:ext>
          </a:extLst>
        </xdr:cNvPr>
        <xdr:cNvCxnSpPr/>
      </xdr:nvCxnSpPr>
      <xdr:spPr>
        <a:xfrm>
          <a:off x="29479875" y="15992475"/>
          <a:ext cx="2819400"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581025</xdr:colOff>
      <xdr:row>78</xdr:row>
      <xdr:rowOff>152400</xdr:rowOff>
    </xdr:from>
    <xdr:ext cx="990600" cy="266700"/>
    <xdr:sp macro="" textlink="">
      <xdr:nvSpPr>
        <xdr:cNvPr id="140" name="TextBox 139">
          <a:extLst>
            <a:ext uri="{FF2B5EF4-FFF2-40B4-BE49-F238E27FC236}">
              <a16:creationId xmlns:a16="http://schemas.microsoft.com/office/drawing/2014/main" xmlns="" id="{00000000-0008-0000-0000-00008C000000}"/>
            </a:ext>
          </a:extLst>
        </xdr:cNvPr>
        <xdr:cNvSpPr txBox="1"/>
      </xdr:nvSpPr>
      <xdr:spPr>
        <a:xfrm>
          <a:off x="32889825" y="1584960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FIRCDIV2_CLK</a:t>
          </a:r>
        </a:p>
      </xdr:txBody>
    </xdr:sp>
    <xdr:clientData/>
  </xdr:oneCellAnchor>
  <xdr:twoCellAnchor>
    <xdr:from>
      <xdr:col>24</xdr:col>
      <xdr:colOff>238125</xdr:colOff>
      <xdr:row>93</xdr:row>
      <xdr:rowOff>95251</xdr:rowOff>
    </xdr:from>
    <xdr:to>
      <xdr:col>46</xdr:col>
      <xdr:colOff>409575</xdr:colOff>
      <xdr:row>93</xdr:row>
      <xdr:rowOff>118917</xdr:rowOff>
    </xdr:to>
    <xdr:cxnSp macro="">
      <xdr:nvCxnSpPr>
        <xdr:cNvPr id="143" name="Straight Arrow Connector 142">
          <a:extLst>
            <a:ext uri="{FF2B5EF4-FFF2-40B4-BE49-F238E27FC236}">
              <a16:creationId xmlns:a16="http://schemas.microsoft.com/office/drawing/2014/main" xmlns="" id="{00000000-0008-0000-0000-00008F000000}"/>
            </a:ext>
          </a:extLst>
        </xdr:cNvPr>
        <xdr:cNvCxnSpPr/>
      </xdr:nvCxnSpPr>
      <xdr:spPr>
        <a:xfrm flipV="1">
          <a:off x="14868525" y="18726151"/>
          <a:ext cx="13582650" cy="23666"/>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419100</xdr:colOff>
      <xdr:row>90</xdr:row>
      <xdr:rowOff>85725</xdr:rowOff>
    </xdr:from>
    <xdr:to>
      <xdr:col>48</xdr:col>
      <xdr:colOff>205740</xdr:colOff>
      <xdr:row>95</xdr:row>
      <xdr:rowOff>157352</xdr:rowOff>
    </xdr:to>
    <xdr:sp macro="" textlink="">
      <xdr:nvSpPr>
        <xdr:cNvPr id="146" name="Rectangle 145">
          <a:extLst>
            <a:ext uri="{FF2B5EF4-FFF2-40B4-BE49-F238E27FC236}">
              <a16:creationId xmlns:a16="http://schemas.microsoft.com/office/drawing/2014/main" xmlns="" id="{00000000-0008-0000-0000-000092000000}"/>
            </a:ext>
          </a:extLst>
        </xdr:cNvPr>
        <xdr:cNvSpPr/>
      </xdr:nvSpPr>
      <xdr:spPr>
        <a:xfrm>
          <a:off x="28460700" y="18145125"/>
          <a:ext cx="1005840" cy="10241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SIRC DIV1</a:t>
          </a:r>
          <a:endParaRPr lang="en-US">
            <a:effectLst/>
          </a:endParaRPr>
        </a:p>
        <a:p>
          <a:pPr algn="ctr"/>
          <a:r>
            <a:rPr lang="en-US" sz="900">
              <a:solidFill>
                <a:schemeClr val="lt1"/>
              </a:solidFill>
              <a:effectLst/>
              <a:latin typeface="+mn-lt"/>
              <a:ea typeface="+mn-ea"/>
              <a:cs typeface="+mn-cs"/>
            </a:rPr>
            <a:t>SCG_SIRCDIV[SIRCDIV1]</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561975</xdr:colOff>
      <xdr:row>96</xdr:row>
      <xdr:rowOff>200025</xdr:rowOff>
    </xdr:from>
    <xdr:ext cx="1152526" cy="1238250"/>
    <xdr:sp macro="" textlink="">
      <xdr:nvSpPr>
        <xdr:cNvPr id="147" name="TextBox 146">
          <a:extLst>
            <a:ext uri="{FF2B5EF4-FFF2-40B4-BE49-F238E27FC236}">
              <a16:creationId xmlns:a16="http://schemas.microsoft.com/office/drawing/2014/main" xmlns="" id="{00000000-0008-0000-0000-000093000000}"/>
            </a:ext>
          </a:extLst>
        </xdr:cNvPr>
        <xdr:cNvSpPr txBox="1"/>
      </xdr:nvSpPr>
      <xdr:spPr>
        <a:xfrm>
          <a:off x="28603575" y="19411950"/>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48</xdr:col>
      <xdr:colOff>228600</xdr:colOff>
      <xdr:row>93</xdr:row>
      <xdr:rowOff>94987</xdr:rowOff>
    </xdr:from>
    <xdr:to>
      <xdr:col>52</xdr:col>
      <xdr:colOff>590550</xdr:colOff>
      <xdr:row>93</xdr:row>
      <xdr:rowOff>99866</xdr:rowOff>
    </xdr:to>
    <xdr:cxnSp macro="">
      <xdr:nvCxnSpPr>
        <xdr:cNvPr id="149" name="Straight Arrow Connector 148">
          <a:extLst>
            <a:ext uri="{FF2B5EF4-FFF2-40B4-BE49-F238E27FC236}">
              <a16:creationId xmlns:a16="http://schemas.microsoft.com/office/drawing/2014/main" xmlns="" id="{00000000-0008-0000-0000-000095000000}"/>
            </a:ext>
          </a:extLst>
        </xdr:cNvPr>
        <xdr:cNvCxnSpPr/>
      </xdr:nvCxnSpPr>
      <xdr:spPr>
        <a:xfrm flipV="1">
          <a:off x="29489400" y="18725887"/>
          <a:ext cx="2800350" cy="4879"/>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590550</xdr:colOff>
      <xdr:row>92</xdr:row>
      <xdr:rowOff>161925</xdr:rowOff>
    </xdr:from>
    <xdr:ext cx="990600" cy="266700"/>
    <xdr:sp macro="" textlink="">
      <xdr:nvSpPr>
        <xdr:cNvPr id="151" name="TextBox 150">
          <a:extLst>
            <a:ext uri="{FF2B5EF4-FFF2-40B4-BE49-F238E27FC236}">
              <a16:creationId xmlns:a16="http://schemas.microsoft.com/office/drawing/2014/main" xmlns="" id="{00000000-0008-0000-0000-000097000000}"/>
            </a:ext>
          </a:extLst>
        </xdr:cNvPr>
        <xdr:cNvSpPr txBox="1"/>
      </xdr:nvSpPr>
      <xdr:spPr>
        <a:xfrm>
          <a:off x="32899350" y="1860232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SIRCDIV1_CLK</a:t>
          </a:r>
        </a:p>
      </xdr:txBody>
    </xdr:sp>
    <xdr:clientData/>
  </xdr:oneCellAnchor>
  <xdr:twoCellAnchor>
    <xdr:from>
      <xdr:col>46</xdr:col>
      <xdr:colOff>419100</xdr:colOff>
      <xdr:row>103</xdr:row>
      <xdr:rowOff>47625</xdr:rowOff>
    </xdr:from>
    <xdr:to>
      <xdr:col>48</xdr:col>
      <xdr:colOff>205740</xdr:colOff>
      <xdr:row>108</xdr:row>
      <xdr:rowOff>157352</xdr:rowOff>
    </xdr:to>
    <xdr:sp macro="" textlink="">
      <xdr:nvSpPr>
        <xdr:cNvPr id="154" name="Rectangle 153">
          <a:extLst>
            <a:ext uri="{FF2B5EF4-FFF2-40B4-BE49-F238E27FC236}">
              <a16:creationId xmlns:a16="http://schemas.microsoft.com/office/drawing/2014/main" xmlns="" id="{00000000-0008-0000-0000-00009A000000}"/>
            </a:ext>
          </a:extLst>
        </xdr:cNvPr>
        <xdr:cNvSpPr/>
      </xdr:nvSpPr>
      <xdr:spPr>
        <a:xfrm>
          <a:off x="28460700" y="20659725"/>
          <a:ext cx="1005840" cy="10622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SIRC DIV2</a:t>
          </a:r>
          <a:endParaRPr lang="en-US">
            <a:effectLst/>
          </a:endParaRPr>
        </a:p>
        <a:p>
          <a:pPr algn="ctr"/>
          <a:r>
            <a:rPr lang="en-US" sz="900">
              <a:solidFill>
                <a:schemeClr val="lt1"/>
              </a:solidFill>
              <a:effectLst/>
              <a:latin typeface="+mn-lt"/>
              <a:ea typeface="+mn-ea"/>
              <a:cs typeface="+mn-cs"/>
            </a:rPr>
            <a:t>SCG_SIRCDIV[SIRCDIV2]</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552450</xdr:colOff>
      <xdr:row>110</xdr:row>
      <xdr:rowOff>0</xdr:rowOff>
    </xdr:from>
    <xdr:ext cx="1152526" cy="1238250"/>
    <xdr:sp macro="" textlink="">
      <xdr:nvSpPr>
        <xdr:cNvPr id="156" name="TextBox 155">
          <a:extLst>
            <a:ext uri="{FF2B5EF4-FFF2-40B4-BE49-F238E27FC236}">
              <a16:creationId xmlns:a16="http://schemas.microsoft.com/office/drawing/2014/main" xmlns="" id="{00000000-0008-0000-0000-00009C000000}"/>
            </a:ext>
          </a:extLst>
        </xdr:cNvPr>
        <xdr:cNvSpPr txBox="1"/>
      </xdr:nvSpPr>
      <xdr:spPr>
        <a:xfrm>
          <a:off x="28594050" y="21974175"/>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42</xdr:col>
      <xdr:colOff>314325</xdr:colOff>
      <xdr:row>105</xdr:row>
      <xdr:rowOff>95251</xdr:rowOff>
    </xdr:from>
    <xdr:to>
      <xdr:col>46</xdr:col>
      <xdr:colOff>409575</xdr:colOff>
      <xdr:row>105</xdr:row>
      <xdr:rowOff>99664</xdr:rowOff>
    </xdr:to>
    <xdr:cxnSp macro="">
      <xdr:nvCxnSpPr>
        <xdr:cNvPr id="157" name="Straight Arrow Connector 156">
          <a:extLst>
            <a:ext uri="{FF2B5EF4-FFF2-40B4-BE49-F238E27FC236}">
              <a16:creationId xmlns:a16="http://schemas.microsoft.com/office/drawing/2014/main" xmlns="" id="{00000000-0008-0000-0000-00009D000000}"/>
            </a:ext>
          </a:extLst>
        </xdr:cNvPr>
        <xdr:cNvCxnSpPr/>
      </xdr:nvCxnSpPr>
      <xdr:spPr>
        <a:xfrm flipV="1">
          <a:off x="25917525" y="21088351"/>
          <a:ext cx="2533650" cy="4413"/>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314325</xdr:colOff>
      <xdr:row>93</xdr:row>
      <xdr:rowOff>114300</xdr:rowOff>
    </xdr:from>
    <xdr:to>
      <xdr:col>42</xdr:col>
      <xdr:colOff>314325</xdr:colOff>
      <xdr:row>105</xdr:row>
      <xdr:rowOff>104775</xdr:rowOff>
    </xdr:to>
    <xdr:cxnSp macro="">
      <xdr:nvCxnSpPr>
        <xdr:cNvPr id="158" name="Straight Arrow Connector 157">
          <a:extLst>
            <a:ext uri="{FF2B5EF4-FFF2-40B4-BE49-F238E27FC236}">
              <a16:creationId xmlns:a16="http://schemas.microsoft.com/office/drawing/2014/main" xmlns="" id="{00000000-0008-0000-0000-00009E000000}"/>
            </a:ext>
          </a:extLst>
        </xdr:cNvPr>
        <xdr:cNvCxnSpPr/>
      </xdr:nvCxnSpPr>
      <xdr:spPr>
        <a:xfrm>
          <a:off x="25917525" y="18754725"/>
          <a:ext cx="0" cy="2343150"/>
        </a:xfrm>
        <a:prstGeom prst="straightConnector1">
          <a:avLst/>
        </a:prstGeom>
        <a:ln w="19050">
          <a:solidFill>
            <a:srgbClr val="FFC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228600</xdr:colOff>
      <xdr:row>105</xdr:row>
      <xdr:rowOff>95250</xdr:rowOff>
    </xdr:from>
    <xdr:to>
      <xdr:col>52</xdr:col>
      <xdr:colOff>590550</xdr:colOff>
      <xdr:row>105</xdr:row>
      <xdr:rowOff>100129</xdr:rowOff>
    </xdr:to>
    <xdr:cxnSp macro="">
      <xdr:nvCxnSpPr>
        <xdr:cNvPr id="163" name="Straight Arrow Connector 162">
          <a:extLst>
            <a:ext uri="{FF2B5EF4-FFF2-40B4-BE49-F238E27FC236}">
              <a16:creationId xmlns:a16="http://schemas.microsoft.com/office/drawing/2014/main" xmlns="" id="{00000000-0008-0000-0000-0000A3000000}"/>
            </a:ext>
          </a:extLst>
        </xdr:cNvPr>
        <xdr:cNvCxnSpPr/>
      </xdr:nvCxnSpPr>
      <xdr:spPr>
        <a:xfrm flipV="1">
          <a:off x="29489400" y="21088350"/>
          <a:ext cx="2800350" cy="4879"/>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590550</xdr:colOff>
      <xdr:row>104</xdr:row>
      <xdr:rowOff>171450</xdr:rowOff>
    </xdr:from>
    <xdr:ext cx="990600" cy="266700"/>
    <xdr:sp macro="" textlink="">
      <xdr:nvSpPr>
        <xdr:cNvPr id="165" name="TextBox 164">
          <a:extLst>
            <a:ext uri="{FF2B5EF4-FFF2-40B4-BE49-F238E27FC236}">
              <a16:creationId xmlns:a16="http://schemas.microsoft.com/office/drawing/2014/main" xmlns="" id="{00000000-0008-0000-0000-0000A5000000}"/>
            </a:ext>
          </a:extLst>
        </xdr:cNvPr>
        <xdr:cNvSpPr txBox="1"/>
      </xdr:nvSpPr>
      <xdr:spPr>
        <a:xfrm>
          <a:off x="32899350" y="209740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SIRCDIV2_CLK</a:t>
          </a:r>
        </a:p>
      </xdr:txBody>
    </xdr:sp>
    <xdr:clientData/>
  </xdr:oneCellAnchor>
  <xdr:twoCellAnchor>
    <xdr:from>
      <xdr:col>46</xdr:col>
      <xdr:colOff>409575</xdr:colOff>
      <xdr:row>116</xdr:row>
      <xdr:rowOff>57150</xdr:rowOff>
    </xdr:from>
    <xdr:to>
      <xdr:col>48</xdr:col>
      <xdr:colOff>196215</xdr:colOff>
      <xdr:row>121</xdr:row>
      <xdr:rowOff>166877</xdr:rowOff>
    </xdr:to>
    <xdr:sp macro="" textlink="">
      <xdr:nvSpPr>
        <xdr:cNvPr id="168" name="Rectangle 167">
          <a:extLst>
            <a:ext uri="{FF2B5EF4-FFF2-40B4-BE49-F238E27FC236}">
              <a16:creationId xmlns:a16="http://schemas.microsoft.com/office/drawing/2014/main" xmlns="" id="{00000000-0008-0000-0000-0000A8000000}"/>
            </a:ext>
          </a:extLst>
        </xdr:cNvPr>
        <xdr:cNvSpPr/>
      </xdr:nvSpPr>
      <xdr:spPr>
        <a:xfrm>
          <a:off x="28451175" y="23221950"/>
          <a:ext cx="1005840" cy="10622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SOSC DIV1</a:t>
          </a:r>
          <a:endParaRPr lang="en-US">
            <a:effectLst/>
          </a:endParaRPr>
        </a:p>
        <a:p>
          <a:pPr algn="ctr"/>
          <a:r>
            <a:rPr lang="en-US" sz="900">
              <a:solidFill>
                <a:schemeClr val="lt1"/>
              </a:solidFill>
              <a:effectLst/>
              <a:latin typeface="+mn-lt"/>
              <a:ea typeface="+mn-ea"/>
              <a:cs typeface="+mn-cs"/>
            </a:rPr>
            <a:t>SCG_SOSCDIV[SOSCDIV1]</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552450</xdr:colOff>
      <xdr:row>123</xdr:row>
      <xdr:rowOff>0</xdr:rowOff>
    </xdr:from>
    <xdr:ext cx="1152526" cy="1238250"/>
    <xdr:sp macro="" textlink="">
      <xdr:nvSpPr>
        <xdr:cNvPr id="170" name="TextBox 169">
          <a:extLst>
            <a:ext uri="{FF2B5EF4-FFF2-40B4-BE49-F238E27FC236}">
              <a16:creationId xmlns:a16="http://schemas.microsoft.com/office/drawing/2014/main" xmlns="" id="{00000000-0008-0000-0000-0000AA000000}"/>
            </a:ext>
          </a:extLst>
        </xdr:cNvPr>
        <xdr:cNvSpPr txBox="1"/>
      </xdr:nvSpPr>
      <xdr:spPr>
        <a:xfrm>
          <a:off x="28594050" y="24526875"/>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26</xdr:col>
      <xdr:colOff>9525</xdr:colOff>
      <xdr:row>119</xdr:row>
      <xdr:rowOff>38100</xdr:rowOff>
    </xdr:from>
    <xdr:to>
      <xdr:col>46</xdr:col>
      <xdr:colOff>390524</xdr:colOff>
      <xdr:row>119</xdr:row>
      <xdr:rowOff>38100</xdr:rowOff>
    </xdr:to>
    <xdr:cxnSp macro="">
      <xdr:nvCxnSpPr>
        <xdr:cNvPr id="172" name="Straight Arrow Connector 171">
          <a:extLst>
            <a:ext uri="{FF2B5EF4-FFF2-40B4-BE49-F238E27FC236}">
              <a16:creationId xmlns:a16="http://schemas.microsoft.com/office/drawing/2014/main" xmlns="" id="{00000000-0008-0000-0000-0000AC000000}"/>
            </a:ext>
          </a:extLst>
        </xdr:cNvPr>
        <xdr:cNvCxnSpPr/>
      </xdr:nvCxnSpPr>
      <xdr:spPr>
        <a:xfrm>
          <a:off x="15859125" y="23774400"/>
          <a:ext cx="12572999"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219075</xdr:colOff>
      <xdr:row>119</xdr:row>
      <xdr:rowOff>76200</xdr:rowOff>
    </xdr:from>
    <xdr:to>
      <xdr:col>52</xdr:col>
      <xdr:colOff>600075</xdr:colOff>
      <xdr:row>119</xdr:row>
      <xdr:rowOff>76200</xdr:rowOff>
    </xdr:to>
    <xdr:cxnSp macro="">
      <xdr:nvCxnSpPr>
        <xdr:cNvPr id="174" name="Straight Arrow Connector 173">
          <a:extLst>
            <a:ext uri="{FF2B5EF4-FFF2-40B4-BE49-F238E27FC236}">
              <a16:creationId xmlns:a16="http://schemas.microsoft.com/office/drawing/2014/main" xmlns="" id="{00000000-0008-0000-0000-0000AE000000}"/>
            </a:ext>
          </a:extLst>
        </xdr:cNvPr>
        <xdr:cNvCxnSpPr/>
      </xdr:nvCxnSpPr>
      <xdr:spPr>
        <a:xfrm>
          <a:off x="29479875" y="23812500"/>
          <a:ext cx="28194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571500</xdr:colOff>
      <xdr:row>118</xdr:row>
      <xdr:rowOff>180975</xdr:rowOff>
    </xdr:from>
    <xdr:ext cx="990600" cy="266700"/>
    <xdr:sp macro="" textlink="">
      <xdr:nvSpPr>
        <xdr:cNvPr id="176" name="TextBox 175">
          <a:extLst>
            <a:ext uri="{FF2B5EF4-FFF2-40B4-BE49-F238E27FC236}">
              <a16:creationId xmlns:a16="http://schemas.microsoft.com/office/drawing/2014/main" xmlns="" id="{00000000-0008-0000-0000-0000B0000000}"/>
            </a:ext>
          </a:extLst>
        </xdr:cNvPr>
        <xdr:cNvSpPr txBox="1"/>
      </xdr:nvSpPr>
      <xdr:spPr>
        <a:xfrm>
          <a:off x="32880300" y="2372677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SOSCDIV1_CLK</a:t>
          </a:r>
        </a:p>
      </xdr:txBody>
    </xdr:sp>
    <xdr:clientData/>
  </xdr:oneCellAnchor>
  <xdr:twoCellAnchor>
    <xdr:from>
      <xdr:col>46</xdr:col>
      <xdr:colOff>419100</xdr:colOff>
      <xdr:row>129</xdr:row>
      <xdr:rowOff>19050</xdr:rowOff>
    </xdr:from>
    <xdr:to>
      <xdr:col>48</xdr:col>
      <xdr:colOff>205740</xdr:colOff>
      <xdr:row>134</xdr:row>
      <xdr:rowOff>166877</xdr:rowOff>
    </xdr:to>
    <xdr:sp macro="" textlink="">
      <xdr:nvSpPr>
        <xdr:cNvPr id="190" name="Rectangle 189">
          <a:extLst>
            <a:ext uri="{FF2B5EF4-FFF2-40B4-BE49-F238E27FC236}">
              <a16:creationId xmlns:a16="http://schemas.microsoft.com/office/drawing/2014/main" xmlns="" id="{00000000-0008-0000-0000-0000BE000000}"/>
            </a:ext>
          </a:extLst>
        </xdr:cNvPr>
        <xdr:cNvSpPr/>
      </xdr:nvSpPr>
      <xdr:spPr>
        <a:xfrm>
          <a:off x="28460700" y="25736550"/>
          <a:ext cx="1005840" cy="11003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SOSC DIV2</a:t>
          </a:r>
          <a:endParaRPr lang="en-US">
            <a:effectLst/>
          </a:endParaRPr>
        </a:p>
        <a:p>
          <a:pPr algn="ctr"/>
          <a:r>
            <a:rPr lang="en-US" sz="900">
              <a:solidFill>
                <a:schemeClr val="lt1"/>
              </a:solidFill>
              <a:effectLst/>
              <a:latin typeface="+mn-lt"/>
              <a:ea typeface="+mn-ea"/>
              <a:cs typeface="+mn-cs"/>
            </a:rPr>
            <a:t>SCG_SOSCDIV[SOSCDIV2]</a:t>
          </a:r>
        </a:p>
        <a:p>
          <a:pPr algn="ctr"/>
          <a:r>
            <a:rPr lang="en-US" sz="900">
              <a:solidFill>
                <a:schemeClr val="lt1"/>
              </a:solidFill>
              <a:effectLst/>
              <a:latin typeface="+mn-lt"/>
              <a:ea typeface="+mn-ea"/>
              <a:cs typeface="+mn-cs"/>
            </a:rPr>
            <a:t>/1,2,4,...,64</a:t>
          </a:r>
          <a:endParaRPr lang="en-US" sz="900">
            <a:effectLst/>
          </a:endParaRPr>
        </a:p>
      </xdr:txBody>
    </xdr:sp>
    <xdr:clientData/>
  </xdr:twoCellAnchor>
  <xdr:oneCellAnchor>
    <xdr:from>
      <xdr:col>46</xdr:col>
      <xdr:colOff>561975</xdr:colOff>
      <xdr:row>136</xdr:row>
      <xdr:rowOff>0</xdr:rowOff>
    </xdr:from>
    <xdr:ext cx="1152526" cy="1238250"/>
    <xdr:sp macro="" textlink="">
      <xdr:nvSpPr>
        <xdr:cNvPr id="191" name="TextBox 190">
          <a:extLst>
            <a:ext uri="{FF2B5EF4-FFF2-40B4-BE49-F238E27FC236}">
              <a16:creationId xmlns:a16="http://schemas.microsoft.com/office/drawing/2014/main" xmlns="" id="{00000000-0008-0000-0000-0000BF000000}"/>
            </a:ext>
          </a:extLst>
        </xdr:cNvPr>
        <xdr:cNvSpPr txBox="1"/>
      </xdr:nvSpPr>
      <xdr:spPr>
        <a:xfrm>
          <a:off x="28603575" y="27079575"/>
          <a:ext cx="1152526" cy="12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Clock Disabled</a:t>
          </a:r>
          <a:endParaRPr lang="en-US" sz="800"/>
        </a:p>
        <a:p>
          <a:r>
            <a:rPr lang="en-US" sz="800"/>
            <a:t>1 - Div</a:t>
          </a:r>
          <a:r>
            <a:rPr lang="en-US" sz="800" baseline="0"/>
            <a:t> by 1</a:t>
          </a:r>
          <a:endParaRPr lang="en-US" sz="800"/>
        </a:p>
        <a:p>
          <a:r>
            <a:rPr lang="en-US" sz="800"/>
            <a:t>2 - Div</a:t>
          </a:r>
          <a:r>
            <a:rPr lang="en-US" sz="800" baseline="0"/>
            <a:t> by 2</a:t>
          </a:r>
          <a:endParaRPr lang="en-US" sz="800"/>
        </a:p>
        <a:p>
          <a:r>
            <a:rPr lang="en-US" sz="800"/>
            <a:t>3</a:t>
          </a:r>
          <a:r>
            <a:rPr lang="en-US" sz="800" baseline="0"/>
            <a:t> - Div by 4</a:t>
          </a:r>
        </a:p>
        <a:p>
          <a:r>
            <a:rPr lang="en-US" sz="800" baseline="0"/>
            <a:t>4 - Div by 8</a:t>
          </a:r>
        </a:p>
        <a:p>
          <a:r>
            <a:rPr lang="en-US" sz="800" baseline="0"/>
            <a:t>5 - Div by 16</a:t>
          </a:r>
        </a:p>
        <a:p>
          <a:r>
            <a:rPr lang="en-US" sz="800" baseline="0"/>
            <a:t>6 - Div by 32</a:t>
          </a:r>
          <a:r>
            <a:rPr lang="en-US" sz="800"/>
            <a:t/>
          </a:r>
          <a:br>
            <a:rPr lang="en-US" sz="800"/>
          </a:br>
          <a:r>
            <a:rPr lang="en-US" sz="800"/>
            <a:t>7</a:t>
          </a:r>
          <a:r>
            <a:rPr lang="en-US" sz="800" baseline="0"/>
            <a:t> - Div by 64</a:t>
          </a:r>
          <a:endParaRPr lang="en-US" sz="800"/>
        </a:p>
      </xdr:txBody>
    </xdr:sp>
    <xdr:clientData/>
  </xdr:oneCellAnchor>
  <xdr:twoCellAnchor>
    <xdr:from>
      <xdr:col>42</xdr:col>
      <xdr:colOff>323850</xdr:colOff>
      <xdr:row>131</xdr:row>
      <xdr:rowOff>95250</xdr:rowOff>
    </xdr:from>
    <xdr:to>
      <xdr:col>46</xdr:col>
      <xdr:colOff>390524</xdr:colOff>
      <xdr:row>131</xdr:row>
      <xdr:rowOff>95250</xdr:rowOff>
    </xdr:to>
    <xdr:cxnSp macro="">
      <xdr:nvCxnSpPr>
        <xdr:cNvPr id="192" name="Straight Arrow Connector 191">
          <a:extLst>
            <a:ext uri="{FF2B5EF4-FFF2-40B4-BE49-F238E27FC236}">
              <a16:creationId xmlns:a16="http://schemas.microsoft.com/office/drawing/2014/main" xmlns="" id="{00000000-0008-0000-0000-0000C0000000}"/>
            </a:ext>
          </a:extLst>
        </xdr:cNvPr>
        <xdr:cNvCxnSpPr/>
      </xdr:nvCxnSpPr>
      <xdr:spPr>
        <a:xfrm>
          <a:off x="25927050" y="26193750"/>
          <a:ext cx="2505074"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314325</xdr:colOff>
      <xdr:row>119</xdr:row>
      <xdr:rowOff>38104</xdr:rowOff>
    </xdr:from>
    <xdr:to>
      <xdr:col>42</xdr:col>
      <xdr:colOff>314325</xdr:colOff>
      <xdr:row>131</xdr:row>
      <xdr:rowOff>95250</xdr:rowOff>
    </xdr:to>
    <xdr:cxnSp macro="">
      <xdr:nvCxnSpPr>
        <xdr:cNvPr id="193" name="Straight Arrow Connector 192">
          <a:extLst>
            <a:ext uri="{FF2B5EF4-FFF2-40B4-BE49-F238E27FC236}">
              <a16:creationId xmlns:a16="http://schemas.microsoft.com/office/drawing/2014/main" xmlns="" id="{00000000-0008-0000-0000-0000C1000000}"/>
            </a:ext>
          </a:extLst>
        </xdr:cNvPr>
        <xdr:cNvCxnSpPr/>
      </xdr:nvCxnSpPr>
      <xdr:spPr>
        <a:xfrm flipV="1">
          <a:off x="25917525" y="23783929"/>
          <a:ext cx="0" cy="2409821"/>
        </a:xfrm>
        <a:prstGeom prst="straightConnector1">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228600</xdr:colOff>
      <xdr:row>131</xdr:row>
      <xdr:rowOff>104775</xdr:rowOff>
    </xdr:from>
    <xdr:to>
      <xdr:col>53</xdr:col>
      <xdr:colOff>0</xdr:colOff>
      <xdr:row>131</xdr:row>
      <xdr:rowOff>104775</xdr:rowOff>
    </xdr:to>
    <xdr:cxnSp macro="">
      <xdr:nvCxnSpPr>
        <xdr:cNvPr id="194" name="Straight Arrow Connector 193">
          <a:extLst>
            <a:ext uri="{FF2B5EF4-FFF2-40B4-BE49-F238E27FC236}">
              <a16:creationId xmlns:a16="http://schemas.microsoft.com/office/drawing/2014/main" xmlns="" id="{00000000-0008-0000-0000-0000C2000000}"/>
            </a:ext>
          </a:extLst>
        </xdr:cNvPr>
        <xdr:cNvCxnSpPr/>
      </xdr:nvCxnSpPr>
      <xdr:spPr>
        <a:xfrm>
          <a:off x="29489400" y="26203275"/>
          <a:ext cx="2819400"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561975</xdr:colOff>
      <xdr:row>130</xdr:row>
      <xdr:rowOff>171450</xdr:rowOff>
    </xdr:from>
    <xdr:ext cx="990600" cy="266700"/>
    <xdr:sp macro="" textlink="">
      <xdr:nvSpPr>
        <xdr:cNvPr id="195" name="TextBox 194">
          <a:extLst>
            <a:ext uri="{FF2B5EF4-FFF2-40B4-BE49-F238E27FC236}">
              <a16:creationId xmlns:a16="http://schemas.microsoft.com/office/drawing/2014/main" xmlns="" id="{00000000-0008-0000-0000-0000C3000000}"/>
            </a:ext>
          </a:extLst>
        </xdr:cNvPr>
        <xdr:cNvSpPr txBox="1"/>
      </xdr:nvSpPr>
      <xdr:spPr>
        <a:xfrm>
          <a:off x="32870775" y="260794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SOSCDIV2_CLK</a:t>
          </a:r>
        </a:p>
      </xdr:txBody>
    </xdr:sp>
    <xdr:clientData/>
  </xdr:oneCellAnchor>
  <xdr:twoCellAnchor>
    <xdr:from>
      <xdr:col>40</xdr:col>
      <xdr:colOff>381000</xdr:colOff>
      <xdr:row>142</xdr:row>
      <xdr:rowOff>28575</xdr:rowOff>
    </xdr:from>
    <xdr:to>
      <xdr:col>42</xdr:col>
      <xdr:colOff>167640</xdr:colOff>
      <xdr:row>147</xdr:row>
      <xdr:rowOff>176402</xdr:rowOff>
    </xdr:to>
    <xdr:sp macro="" textlink="">
      <xdr:nvSpPr>
        <xdr:cNvPr id="141" name="Rectangle 140">
          <a:extLst>
            <a:ext uri="{FF2B5EF4-FFF2-40B4-BE49-F238E27FC236}">
              <a16:creationId xmlns:a16="http://schemas.microsoft.com/office/drawing/2014/main" xmlns="" id="{00000000-0008-0000-0000-00008D000000}"/>
            </a:ext>
          </a:extLst>
        </xdr:cNvPr>
        <xdr:cNvSpPr/>
      </xdr:nvSpPr>
      <xdr:spPr>
        <a:xfrm>
          <a:off x="24765000" y="28298775"/>
          <a:ext cx="1005840" cy="11003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SCG_CLKOUT</a:t>
          </a:r>
          <a:r>
            <a:rPr lang="en-US" sz="1100" baseline="0">
              <a:solidFill>
                <a:schemeClr val="lt1"/>
              </a:solidFill>
              <a:effectLst/>
              <a:latin typeface="+mn-lt"/>
              <a:ea typeface="+mn-ea"/>
              <a:cs typeface="+mn-cs"/>
            </a:rPr>
            <a:t> Select</a:t>
          </a:r>
          <a:endParaRPr lang="en-US">
            <a:effectLst/>
          </a:endParaRPr>
        </a:p>
        <a:p>
          <a:pPr algn="ctr"/>
          <a:r>
            <a:rPr lang="en-US" sz="900">
              <a:solidFill>
                <a:schemeClr val="lt1"/>
              </a:solidFill>
              <a:effectLst/>
              <a:latin typeface="+mn-lt"/>
              <a:ea typeface="+mn-ea"/>
              <a:cs typeface="+mn-cs"/>
            </a:rPr>
            <a:t>SCG_CLKOUTCNFG[CLKOUTSEL]</a:t>
          </a:r>
        </a:p>
      </xdr:txBody>
    </xdr:sp>
    <xdr:clientData/>
  </xdr:twoCellAnchor>
  <xdr:oneCellAnchor>
    <xdr:from>
      <xdr:col>40</xdr:col>
      <xdr:colOff>561974</xdr:colOff>
      <xdr:row>148</xdr:row>
      <xdr:rowOff>209549</xdr:rowOff>
    </xdr:from>
    <xdr:ext cx="1266825" cy="790575"/>
    <xdr:sp macro="" textlink="">
      <xdr:nvSpPr>
        <xdr:cNvPr id="145" name="TextBox 144">
          <a:extLst>
            <a:ext uri="{FF2B5EF4-FFF2-40B4-BE49-F238E27FC236}">
              <a16:creationId xmlns:a16="http://schemas.microsoft.com/office/drawing/2014/main" xmlns="" id="{00000000-0008-0000-0000-000091000000}"/>
            </a:ext>
          </a:extLst>
        </xdr:cNvPr>
        <xdr:cNvSpPr txBox="1"/>
      </xdr:nvSpPr>
      <xdr:spPr>
        <a:xfrm>
          <a:off x="24945974" y="29632274"/>
          <a:ext cx="1266825" cy="79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SCG_SLOW_CLK</a:t>
          </a:r>
        </a:p>
        <a:p>
          <a:r>
            <a:rPr lang="en-US" sz="800"/>
            <a:t>1 - SOSC_CLK</a:t>
          </a:r>
        </a:p>
        <a:p>
          <a:r>
            <a:rPr lang="en-US" sz="800"/>
            <a:t>2 - SIRC_CLK</a:t>
          </a:r>
        </a:p>
        <a:p>
          <a:r>
            <a:rPr lang="en-US" sz="800"/>
            <a:t>3</a:t>
          </a:r>
          <a:r>
            <a:rPr lang="en-US" sz="800" baseline="0"/>
            <a:t> - FIRC_CLK</a:t>
          </a:r>
          <a:r>
            <a:rPr lang="en-US" sz="800"/>
            <a:t/>
          </a:r>
          <a:br>
            <a:rPr lang="en-US" sz="800"/>
          </a:br>
          <a:r>
            <a:rPr lang="en-US" sz="800"/>
            <a:t>6</a:t>
          </a:r>
          <a:r>
            <a:rPr lang="en-US" sz="800" baseline="0"/>
            <a:t> - SPLL_CLK</a:t>
          </a:r>
          <a:endParaRPr lang="en-US" sz="800"/>
        </a:p>
      </xdr:txBody>
    </xdr:sp>
    <xdr:clientData/>
  </xdr:oneCellAnchor>
  <xdr:twoCellAnchor>
    <xdr:from>
      <xdr:col>34</xdr:col>
      <xdr:colOff>504825</xdr:colOff>
      <xdr:row>119</xdr:row>
      <xdr:rowOff>28576</xdr:rowOff>
    </xdr:from>
    <xdr:to>
      <xdr:col>34</xdr:col>
      <xdr:colOff>504825</xdr:colOff>
      <xdr:row>145</xdr:row>
      <xdr:rowOff>0</xdr:rowOff>
    </xdr:to>
    <xdr:cxnSp macro="">
      <xdr:nvCxnSpPr>
        <xdr:cNvPr id="161" name="Straight Arrow Connector 160">
          <a:extLst>
            <a:ext uri="{FF2B5EF4-FFF2-40B4-BE49-F238E27FC236}">
              <a16:creationId xmlns:a16="http://schemas.microsoft.com/office/drawing/2014/main" xmlns="" id="{00000000-0008-0000-0000-0000A1000000}"/>
            </a:ext>
          </a:extLst>
        </xdr:cNvPr>
        <xdr:cNvCxnSpPr/>
      </xdr:nvCxnSpPr>
      <xdr:spPr>
        <a:xfrm flipV="1">
          <a:off x="21231225" y="23774401"/>
          <a:ext cx="0" cy="5067299"/>
        </a:xfrm>
        <a:prstGeom prst="straightConnector1">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486965</xdr:colOff>
      <xdr:row>145</xdr:row>
      <xdr:rowOff>0</xdr:rowOff>
    </xdr:from>
    <xdr:to>
      <xdr:col>40</xdr:col>
      <xdr:colOff>361950</xdr:colOff>
      <xdr:row>145</xdr:row>
      <xdr:rowOff>0</xdr:rowOff>
    </xdr:to>
    <xdr:cxnSp macro="">
      <xdr:nvCxnSpPr>
        <xdr:cNvPr id="196" name="Straight Arrow Connector 195">
          <a:extLst>
            <a:ext uri="{FF2B5EF4-FFF2-40B4-BE49-F238E27FC236}">
              <a16:creationId xmlns:a16="http://schemas.microsoft.com/office/drawing/2014/main" xmlns="" id="{00000000-0008-0000-0000-0000C4000000}"/>
            </a:ext>
          </a:extLst>
        </xdr:cNvPr>
        <xdr:cNvCxnSpPr/>
      </xdr:nvCxnSpPr>
      <xdr:spPr>
        <a:xfrm>
          <a:off x="21213365" y="28841700"/>
          <a:ext cx="353258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9525</xdr:colOff>
      <xdr:row>93</xdr:row>
      <xdr:rowOff>104775</xdr:rowOff>
    </xdr:from>
    <xdr:to>
      <xdr:col>34</xdr:col>
      <xdr:colOff>9525</xdr:colOff>
      <xdr:row>146</xdr:row>
      <xdr:rowOff>38100</xdr:rowOff>
    </xdr:to>
    <xdr:cxnSp macro="">
      <xdr:nvCxnSpPr>
        <xdr:cNvPr id="197" name="Straight Arrow Connector 196">
          <a:extLst>
            <a:ext uri="{FF2B5EF4-FFF2-40B4-BE49-F238E27FC236}">
              <a16:creationId xmlns:a16="http://schemas.microsoft.com/office/drawing/2014/main" xmlns="" id="{00000000-0008-0000-0000-0000C5000000}"/>
            </a:ext>
          </a:extLst>
        </xdr:cNvPr>
        <xdr:cNvCxnSpPr/>
      </xdr:nvCxnSpPr>
      <xdr:spPr>
        <a:xfrm>
          <a:off x="20735925" y="18745200"/>
          <a:ext cx="0" cy="10325100"/>
        </a:xfrm>
        <a:prstGeom prst="straightConnector1">
          <a:avLst/>
        </a:prstGeom>
        <a:ln w="19050">
          <a:solidFill>
            <a:srgbClr val="FFC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0</xdr:colOff>
      <xdr:row>146</xdr:row>
      <xdr:rowOff>28575</xdr:rowOff>
    </xdr:from>
    <xdr:to>
      <xdr:col>40</xdr:col>
      <xdr:colOff>352425</xdr:colOff>
      <xdr:row>146</xdr:row>
      <xdr:rowOff>28575</xdr:rowOff>
    </xdr:to>
    <xdr:cxnSp macro="">
      <xdr:nvCxnSpPr>
        <xdr:cNvPr id="198" name="Straight Arrow Connector 197">
          <a:extLst>
            <a:ext uri="{FF2B5EF4-FFF2-40B4-BE49-F238E27FC236}">
              <a16:creationId xmlns:a16="http://schemas.microsoft.com/office/drawing/2014/main" xmlns="" id="{00000000-0008-0000-0000-0000C6000000}"/>
            </a:ext>
          </a:extLst>
        </xdr:cNvPr>
        <xdr:cNvCxnSpPr/>
      </xdr:nvCxnSpPr>
      <xdr:spPr>
        <a:xfrm>
          <a:off x="20726400" y="29060775"/>
          <a:ext cx="4010025"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495300</xdr:colOff>
      <xdr:row>67</xdr:row>
      <xdr:rowOff>123825</xdr:rowOff>
    </xdr:from>
    <xdr:to>
      <xdr:col>35</xdr:col>
      <xdr:colOff>495300</xdr:colOff>
      <xdr:row>143</xdr:row>
      <xdr:rowOff>171450</xdr:rowOff>
    </xdr:to>
    <xdr:cxnSp macro="">
      <xdr:nvCxnSpPr>
        <xdr:cNvPr id="199" name="Straight Arrow Connector 198">
          <a:extLst>
            <a:ext uri="{FF2B5EF4-FFF2-40B4-BE49-F238E27FC236}">
              <a16:creationId xmlns:a16="http://schemas.microsoft.com/office/drawing/2014/main" xmlns="" id="{00000000-0008-0000-0000-0000C7000000}"/>
            </a:ext>
          </a:extLst>
        </xdr:cNvPr>
        <xdr:cNvCxnSpPr/>
      </xdr:nvCxnSpPr>
      <xdr:spPr>
        <a:xfrm>
          <a:off x="21831300" y="13658850"/>
          <a:ext cx="0" cy="14973300"/>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495300</xdr:colOff>
      <xdr:row>143</xdr:row>
      <xdr:rowOff>161925</xdr:rowOff>
    </xdr:from>
    <xdr:to>
      <xdr:col>40</xdr:col>
      <xdr:colOff>342900</xdr:colOff>
      <xdr:row>143</xdr:row>
      <xdr:rowOff>161925</xdr:rowOff>
    </xdr:to>
    <xdr:cxnSp macro="">
      <xdr:nvCxnSpPr>
        <xdr:cNvPr id="200" name="Straight Arrow Connector 199">
          <a:extLst>
            <a:ext uri="{FF2B5EF4-FFF2-40B4-BE49-F238E27FC236}">
              <a16:creationId xmlns:a16="http://schemas.microsoft.com/office/drawing/2014/main" xmlns="" id="{00000000-0008-0000-0000-0000C8000000}"/>
            </a:ext>
          </a:extLst>
        </xdr:cNvPr>
        <xdr:cNvCxnSpPr/>
      </xdr:nvCxnSpPr>
      <xdr:spPr>
        <a:xfrm>
          <a:off x="21831300" y="28622625"/>
          <a:ext cx="289560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390525</xdr:colOff>
      <xdr:row>42</xdr:row>
      <xdr:rowOff>19050</xdr:rowOff>
    </xdr:from>
    <xdr:to>
      <xdr:col>36</xdr:col>
      <xdr:colOff>390525</xdr:colOff>
      <xdr:row>143</xdr:row>
      <xdr:rowOff>19050</xdr:rowOff>
    </xdr:to>
    <xdr:cxnSp macro="">
      <xdr:nvCxnSpPr>
        <xdr:cNvPr id="201" name="Straight Arrow Connector 200">
          <a:extLst>
            <a:ext uri="{FF2B5EF4-FFF2-40B4-BE49-F238E27FC236}">
              <a16:creationId xmlns:a16="http://schemas.microsoft.com/office/drawing/2014/main" xmlns="" id="{00000000-0008-0000-0000-0000C9000000}"/>
            </a:ext>
          </a:extLst>
        </xdr:cNvPr>
        <xdr:cNvCxnSpPr/>
      </xdr:nvCxnSpPr>
      <xdr:spPr>
        <a:xfrm>
          <a:off x="22336125" y="8639175"/>
          <a:ext cx="0" cy="19840575"/>
        </a:xfrm>
        <a:prstGeom prst="straightConnector1">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390525</xdr:colOff>
      <xdr:row>143</xdr:row>
      <xdr:rowOff>9525</xdr:rowOff>
    </xdr:from>
    <xdr:to>
      <xdr:col>40</xdr:col>
      <xdr:colOff>342900</xdr:colOff>
      <xdr:row>143</xdr:row>
      <xdr:rowOff>9525</xdr:rowOff>
    </xdr:to>
    <xdr:cxnSp macro="">
      <xdr:nvCxnSpPr>
        <xdr:cNvPr id="202" name="Straight Arrow Connector 201">
          <a:extLst>
            <a:ext uri="{FF2B5EF4-FFF2-40B4-BE49-F238E27FC236}">
              <a16:creationId xmlns:a16="http://schemas.microsoft.com/office/drawing/2014/main" xmlns="" id="{00000000-0008-0000-0000-0000CA000000}"/>
            </a:ext>
          </a:extLst>
        </xdr:cNvPr>
        <xdr:cNvCxnSpPr/>
      </xdr:nvCxnSpPr>
      <xdr:spPr>
        <a:xfrm>
          <a:off x="22336125" y="28470225"/>
          <a:ext cx="2390775"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495300</xdr:colOff>
      <xdr:row>31</xdr:row>
      <xdr:rowOff>38100</xdr:rowOff>
    </xdr:from>
    <xdr:to>
      <xdr:col>48</xdr:col>
      <xdr:colOff>495300</xdr:colOff>
      <xdr:row>36</xdr:row>
      <xdr:rowOff>0</xdr:rowOff>
    </xdr:to>
    <xdr:cxnSp macro="">
      <xdr:nvCxnSpPr>
        <xdr:cNvPr id="203" name="Straight Arrow Connector 202">
          <a:extLst>
            <a:ext uri="{FF2B5EF4-FFF2-40B4-BE49-F238E27FC236}">
              <a16:creationId xmlns:a16="http://schemas.microsoft.com/office/drawing/2014/main" xmlns="" id="{00000000-0008-0000-0000-0000CB000000}"/>
            </a:ext>
          </a:extLst>
        </xdr:cNvPr>
        <xdr:cNvCxnSpPr/>
      </xdr:nvCxnSpPr>
      <xdr:spPr>
        <a:xfrm>
          <a:off x="29756100" y="6448425"/>
          <a:ext cx="0" cy="962025"/>
        </a:xfrm>
        <a:prstGeom prst="straightConnector1">
          <a:avLst/>
        </a:prstGeom>
        <a:ln w="19050">
          <a:solidFill>
            <a:schemeClr val="bg1">
              <a:lumMod val="6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495300</xdr:colOff>
      <xdr:row>35</xdr:row>
      <xdr:rowOff>180975</xdr:rowOff>
    </xdr:from>
    <xdr:to>
      <xdr:col>48</xdr:col>
      <xdr:colOff>495301</xdr:colOff>
      <xdr:row>36</xdr:row>
      <xdr:rowOff>5186</xdr:rowOff>
    </xdr:to>
    <xdr:cxnSp macro="">
      <xdr:nvCxnSpPr>
        <xdr:cNvPr id="204" name="Straight Arrow Connector 203">
          <a:extLst>
            <a:ext uri="{FF2B5EF4-FFF2-40B4-BE49-F238E27FC236}">
              <a16:creationId xmlns:a16="http://schemas.microsoft.com/office/drawing/2014/main" xmlns="" id="{00000000-0008-0000-0000-0000CC000000}"/>
            </a:ext>
          </a:extLst>
        </xdr:cNvPr>
        <xdr:cNvCxnSpPr/>
      </xdr:nvCxnSpPr>
      <xdr:spPr>
        <a:xfrm flipH="1">
          <a:off x="20002500" y="7400925"/>
          <a:ext cx="9753601" cy="14711"/>
        </a:xfrm>
        <a:prstGeom prst="straightConnector1">
          <a:avLst/>
        </a:prstGeom>
        <a:ln w="19050">
          <a:solidFill>
            <a:schemeClr val="bg1">
              <a:lumMod val="6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504825</xdr:colOff>
      <xdr:row>36</xdr:row>
      <xdr:rowOff>9525</xdr:rowOff>
    </xdr:from>
    <xdr:to>
      <xdr:col>32</xdr:col>
      <xdr:colOff>504825</xdr:colOff>
      <xdr:row>147</xdr:row>
      <xdr:rowOff>95250</xdr:rowOff>
    </xdr:to>
    <xdr:cxnSp macro="">
      <xdr:nvCxnSpPr>
        <xdr:cNvPr id="206" name="Straight Arrow Connector 205">
          <a:extLst>
            <a:ext uri="{FF2B5EF4-FFF2-40B4-BE49-F238E27FC236}">
              <a16:creationId xmlns:a16="http://schemas.microsoft.com/office/drawing/2014/main" xmlns="" id="{00000000-0008-0000-0000-0000CE000000}"/>
            </a:ext>
          </a:extLst>
        </xdr:cNvPr>
        <xdr:cNvCxnSpPr/>
      </xdr:nvCxnSpPr>
      <xdr:spPr>
        <a:xfrm>
          <a:off x="20099111" y="7370989"/>
          <a:ext cx="0" cy="21911582"/>
        </a:xfrm>
        <a:prstGeom prst="straightConnector1">
          <a:avLst/>
        </a:prstGeom>
        <a:ln w="19050">
          <a:solidFill>
            <a:schemeClr val="bg1">
              <a:lumMod val="6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390525</xdr:colOff>
      <xdr:row>34</xdr:row>
      <xdr:rowOff>142875</xdr:rowOff>
    </xdr:from>
    <xdr:ext cx="1104900" cy="266700"/>
    <xdr:sp macro="" textlink="">
      <xdr:nvSpPr>
        <xdr:cNvPr id="207" name="TextBox 206">
          <a:extLst>
            <a:ext uri="{FF2B5EF4-FFF2-40B4-BE49-F238E27FC236}">
              <a16:creationId xmlns:a16="http://schemas.microsoft.com/office/drawing/2014/main" xmlns="" id="{00000000-0008-0000-0000-0000CF000000}"/>
            </a:ext>
          </a:extLst>
        </xdr:cNvPr>
        <xdr:cNvSpPr txBox="1"/>
      </xdr:nvSpPr>
      <xdr:spPr>
        <a:xfrm>
          <a:off x="26603325" y="7162800"/>
          <a:ext cx="11049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SCG_SLOW_CLK</a:t>
          </a:r>
        </a:p>
      </xdr:txBody>
    </xdr:sp>
    <xdr:clientData/>
  </xdr:oneCellAnchor>
  <xdr:twoCellAnchor>
    <xdr:from>
      <xdr:col>32</xdr:col>
      <xdr:colOff>503465</xdr:colOff>
      <xdr:row>147</xdr:row>
      <xdr:rowOff>109961</xdr:rowOff>
    </xdr:from>
    <xdr:to>
      <xdr:col>40</xdr:col>
      <xdr:colOff>364435</xdr:colOff>
      <xdr:row>147</xdr:row>
      <xdr:rowOff>109961</xdr:rowOff>
    </xdr:to>
    <xdr:cxnSp macro="">
      <xdr:nvCxnSpPr>
        <xdr:cNvPr id="208" name="Straight Arrow Connector 207">
          <a:extLst>
            <a:ext uri="{FF2B5EF4-FFF2-40B4-BE49-F238E27FC236}">
              <a16:creationId xmlns:a16="http://schemas.microsoft.com/office/drawing/2014/main" xmlns="" id="{00000000-0008-0000-0000-0000D0000000}"/>
            </a:ext>
          </a:extLst>
        </xdr:cNvPr>
        <xdr:cNvCxnSpPr/>
      </xdr:nvCxnSpPr>
      <xdr:spPr>
        <a:xfrm flipH="1">
          <a:off x="20116682" y="29190200"/>
          <a:ext cx="4764275" cy="0"/>
        </a:xfrm>
        <a:prstGeom prst="straightConnector1">
          <a:avLst/>
        </a:prstGeom>
        <a:ln w="19050">
          <a:solidFill>
            <a:schemeClr val="bg1">
              <a:lumMod val="65000"/>
            </a:schemeClr>
          </a:solidFill>
          <a:headEnd type="arrow"/>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182217</xdr:colOff>
      <xdr:row>145</xdr:row>
      <xdr:rowOff>24848</xdr:rowOff>
    </xdr:from>
    <xdr:to>
      <xdr:col>44</xdr:col>
      <xdr:colOff>256761</xdr:colOff>
      <xdr:row>145</xdr:row>
      <xdr:rowOff>24848</xdr:rowOff>
    </xdr:to>
    <xdr:cxnSp macro="">
      <xdr:nvCxnSpPr>
        <xdr:cNvPr id="209" name="Straight Arrow Connector 208">
          <a:extLst>
            <a:ext uri="{FF2B5EF4-FFF2-40B4-BE49-F238E27FC236}">
              <a16:creationId xmlns:a16="http://schemas.microsoft.com/office/drawing/2014/main" xmlns="" id="{00000000-0008-0000-0000-0000D1000000}"/>
            </a:ext>
          </a:extLst>
        </xdr:cNvPr>
        <xdr:cNvCxnSpPr/>
      </xdr:nvCxnSpPr>
      <xdr:spPr>
        <a:xfrm>
          <a:off x="25924565" y="28748935"/>
          <a:ext cx="1300370" cy="0"/>
        </a:xfrm>
        <a:prstGeom prst="straightConnector1">
          <a:avLst/>
        </a:prstGeom>
        <a:ln w="38100">
          <a:solidFill>
            <a:srgbClr val="7030A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42</xdr:col>
      <xdr:colOff>430695</xdr:colOff>
      <xdr:row>142</xdr:row>
      <xdr:rowOff>140804</xdr:rowOff>
    </xdr:from>
    <xdr:ext cx="990600" cy="266700"/>
    <xdr:sp macro="" textlink="">
      <xdr:nvSpPr>
        <xdr:cNvPr id="210" name="TextBox 209">
          <a:extLst>
            <a:ext uri="{FF2B5EF4-FFF2-40B4-BE49-F238E27FC236}">
              <a16:creationId xmlns:a16="http://schemas.microsoft.com/office/drawing/2014/main" xmlns="" id="{00000000-0008-0000-0000-0000D2000000}"/>
            </a:ext>
          </a:extLst>
        </xdr:cNvPr>
        <xdr:cNvSpPr txBox="1"/>
      </xdr:nvSpPr>
      <xdr:spPr>
        <a:xfrm>
          <a:off x="26173043" y="2826854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SCG_CLKOUT</a:t>
          </a:r>
        </a:p>
      </xdr:txBody>
    </xdr:sp>
    <xdr:clientData/>
  </xdr:oneCellAnchor>
  <xdr:twoCellAnchor>
    <xdr:from>
      <xdr:col>55</xdr:col>
      <xdr:colOff>364434</xdr:colOff>
      <xdr:row>144</xdr:row>
      <xdr:rowOff>183173</xdr:rowOff>
    </xdr:from>
    <xdr:to>
      <xdr:col>57</xdr:col>
      <xdr:colOff>207062</xdr:colOff>
      <xdr:row>163</xdr:row>
      <xdr:rowOff>189243</xdr:rowOff>
    </xdr:to>
    <xdr:sp macro="" textlink="">
      <xdr:nvSpPr>
        <xdr:cNvPr id="211" name="Rectangle 210">
          <a:extLst>
            <a:ext uri="{FF2B5EF4-FFF2-40B4-BE49-F238E27FC236}">
              <a16:creationId xmlns:a16="http://schemas.microsoft.com/office/drawing/2014/main" xmlns="" id="{00000000-0008-0000-0000-0000D3000000}"/>
            </a:ext>
          </a:extLst>
        </xdr:cNvPr>
        <xdr:cNvSpPr/>
      </xdr:nvSpPr>
      <xdr:spPr>
        <a:xfrm>
          <a:off x="33811838" y="29014615"/>
          <a:ext cx="1058897" cy="37574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CLKOUT </a:t>
          </a:r>
          <a:r>
            <a:rPr lang="en-US" sz="1100" baseline="0">
              <a:solidFill>
                <a:schemeClr val="lt1"/>
              </a:solidFill>
              <a:effectLst/>
              <a:latin typeface="+mn-lt"/>
              <a:ea typeface="+mn-ea"/>
              <a:cs typeface="+mn-cs"/>
            </a:rPr>
            <a:t>Select</a:t>
          </a:r>
          <a:endParaRPr lang="en-US">
            <a:effectLst/>
          </a:endParaRPr>
        </a:p>
        <a:p>
          <a:pPr algn="ctr"/>
          <a:r>
            <a:rPr lang="en-US" sz="900">
              <a:solidFill>
                <a:schemeClr val="lt1"/>
              </a:solidFill>
              <a:effectLst/>
              <a:latin typeface="+mn-lt"/>
              <a:ea typeface="+mn-ea"/>
              <a:cs typeface="+mn-cs"/>
            </a:rPr>
            <a:t>SIM_CHIPCTL[CLKOUTSEL]</a:t>
          </a:r>
        </a:p>
      </xdr:txBody>
    </xdr:sp>
    <xdr:clientData/>
  </xdr:twoCellAnchor>
  <xdr:oneCellAnchor>
    <xdr:from>
      <xdr:col>55</xdr:col>
      <xdr:colOff>538369</xdr:colOff>
      <xdr:row>164</xdr:row>
      <xdr:rowOff>212480</xdr:rowOff>
    </xdr:from>
    <xdr:ext cx="2538939" cy="1707173"/>
    <xdr:sp macro="" textlink="">
      <xdr:nvSpPr>
        <xdr:cNvPr id="212" name="TextBox 211">
          <a:extLst>
            <a:ext uri="{FF2B5EF4-FFF2-40B4-BE49-F238E27FC236}">
              <a16:creationId xmlns:a16="http://schemas.microsoft.com/office/drawing/2014/main" xmlns="" id="{00000000-0008-0000-0000-0000D4000000}"/>
            </a:ext>
          </a:extLst>
        </xdr:cNvPr>
        <xdr:cNvSpPr txBox="1"/>
      </xdr:nvSpPr>
      <xdr:spPr>
        <a:xfrm>
          <a:off x="33985773" y="33059076"/>
          <a:ext cx="2538939" cy="1707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SCG_CLKOUT</a:t>
          </a:r>
        </a:p>
        <a:p>
          <a:r>
            <a:rPr lang="en-US" sz="800"/>
            <a:t>2</a:t>
          </a:r>
          <a:r>
            <a:rPr lang="en-US" sz="800" baseline="0"/>
            <a:t> - SOSCDIV2_CLK</a:t>
          </a:r>
        </a:p>
        <a:p>
          <a:r>
            <a:rPr lang="en-US" sz="800" baseline="0"/>
            <a:t>5 - QSPI_SFIF_CLK_HYP_PREMUX (S32K148 Only)</a:t>
          </a:r>
        </a:p>
        <a:p>
          <a:r>
            <a:rPr lang="en-US" sz="800" baseline="0"/>
            <a:t>4 - SIRCDIV2_CLK</a:t>
          </a:r>
        </a:p>
        <a:p>
          <a:r>
            <a:rPr lang="en-US" sz="800" baseline="0"/>
            <a:t>6 - FIRCDIV2_CLK</a:t>
          </a:r>
        </a:p>
        <a:p>
          <a:r>
            <a:rPr lang="en-US" sz="800" baseline="0"/>
            <a:t>8 - SPLLDIV2_CLK (S32K14x Only)</a:t>
          </a:r>
        </a:p>
        <a:p>
          <a:r>
            <a:rPr lang="en-US" sz="800" baseline="0"/>
            <a:t>9 - BUS_CLK</a:t>
          </a:r>
        </a:p>
        <a:p>
          <a:r>
            <a:rPr lang="en-US" sz="800" baseline="0"/>
            <a:t>10 - LPO128K_CLK</a:t>
          </a:r>
        </a:p>
        <a:p>
          <a:r>
            <a:rPr lang="en-US" sz="800" baseline="0"/>
            <a:t>11 - QSPI Module Clock (S32K148 Only)</a:t>
          </a:r>
        </a:p>
        <a:p>
          <a:r>
            <a:rPr lang="en-US" sz="800" baseline="0"/>
            <a:t>12 - LPO_CLK</a:t>
          </a:r>
        </a:p>
        <a:p>
          <a:r>
            <a:rPr lang="en-US" sz="800" baseline="0"/>
            <a:t>13 - QSPI_SFIF_CLK (S32K148 Only)</a:t>
          </a:r>
        </a:p>
        <a:p>
          <a:r>
            <a:rPr lang="en-US" sz="800" baseline="0"/>
            <a:t>14 - RTC_CLK</a:t>
          </a:r>
        </a:p>
        <a:p>
          <a:r>
            <a:rPr lang="en-US" sz="800" baseline="0"/>
            <a:t>15 - 2xQSPI_SFIF_CLK (S32K148 Only)</a:t>
          </a:r>
          <a:endParaRPr lang="en-US" sz="800"/>
        </a:p>
      </xdr:txBody>
    </xdr:sp>
    <xdr:clientData/>
  </xdr:oneCellAnchor>
  <xdr:twoCellAnchor>
    <xdr:from>
      <xdr:col>44</xdr:col>
      <xdr:colOff>240196</xdr:colOff>
      <xdr:row>159</xdr:row>
      <xdr:rowOff>132516</xdr:rowOff>
    </xdr:from>
    <xdr:to>
      <xdr:col>55</xdr:col>
      <xdr:colOff>323022</xdr:colOff>
      <xdr:row>159</xdr:row>
      <xdr:rowOff>132516</xdr:rowOff>
    </xdr:to>
    <xdr:cxnSp macro="">
      <xdr:nvCxnSpPr>
        <xdr:cNvPr id="213" name="Straight Arrow Connector 212">
          <a:extLst>
            <a:ext uri="{FF2B5EF4-FFF2-40B4-BE49-F238E27FC236}">
              <a16:creationId xmlns:a16="http://schemas.microsoft.com/office/drawing/2014/main" xmlns="" id="{00000000-0008-0000-0000-0000D5000000}"/>
            </a:ext>
          </a:extLst>
        </xdr:cNvPr>
        <xdr:cNvCxnSpPr/>
      </xdr:nvCxnSpPr>
      <xdr:spPr>
        <a:xfrm>
          <a:off x="27208370" y="31565016"/>
          <a:ext cx="6824869" cy="0"/>
        </a:xfrm>
        <a:prstGeom prst="straightConnector1">
          <a:avLst/>
        </a:prstGeom>
        <a:ln w="38100">
          <a:solidFill>
            <a:srgbClr val="7030A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218661</xdr:colOff>
      <xdr:row>145</xdr:row>
      <xdr:rowOff>19880</xdr:rowOff>
    </xdr:from>
    <xdr:to>
      <xdr:col>44</xdr:col>
      <xdr:colOff>218661</xdr:colOff>
      <xdr:row>159</xdr:row>
      <xdr:rowOff>149087</xdr:rowOff>
    </xdr:to>
    <xdr:cxnSp macro="">
      <xdr:nvCxnSpPr>
        <xdr:cNvPr id="214" name="Straight Arrow Connector 213">
          <a:extLst>
            <a:ext uri="{FF2B5EF4-FFF2-40B4-BE49-F238E27FC236}">
              <a16:creationId xmlns:a16="http://schemas.microsoft.com/office/drawing/2014/main" xmlns="" id="{00000000-0008-0000-0000-0000D6000000}"/>
            </a:ext>
          </a:extLst>
        </xdr:cNvPr>
        <xdr:cNvCxnSpPr/>
      </xdr:nvCxnSpPr>
      <xdr:spPr>
        <a:xfrm flipV="1">
          <a:off x="27186835" y="28743967"/>
          <a:ext cx="0" cy="2837620"/>
        </a:xfrm>
        <a:prstGeom prst="straightConnector1">
          <a:avLst/>
        </a:prstGeom>
        <a:ln w="38100">
          <a:solidFill>
            <a:srgbClr val="7030A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455544</xdr:colOff>
      <xdr:row>158</xdr:row>
      <xdr:rowOff>91112</xdr:rowOff>
    </xdr:from>
    <xdr:to>
      <xdr:col>55</xdr:col>
      <xdr:colOff>323022</xdr:colOff>
      <xdr:row>158</xdr:row>
      <xdr:rowOff>91112</xdr:rowOff>
    </xdr:to>
    <xdr:cxnSp macro="">
      <xdr:nvCxnSpPr>
        <xdr:cNvPr id="215" name="Straight Arrow Connector 214">
          <a:extLst>
            <a:ext uri="{FF2B5EF4-FFF2-40B4-BE49-F238E27FC236}">
              <a16:creationId xmlns:a16="http://schemas.microsoft.com/office/drawing/2014/main" xmlns="" id="{00000000-0008-0000-0000-0000D7000000}"/>
            </a:ext>
          </a:extLst>
        </xdr:cNvPr>
        <xdr:cNvCxnSpPr/>
      </xdr:nvCxnSpPr>
      <xdr:spPr>
        <a:xfrm>
          <a:off x="29875370" y="31333112"/>
          <a:ext cx="4157869"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455541</xdr:colOff>
      <xdr:row>131</xdr:row>
      <xdr:rowOff>140804</xdr:rowOff>
    </xdr:from>
    <xdr:to>
      <xdr:col>48</xdr:col>
      <xdr:colOff>455541</xdr:colOff>
      <xdr:row>158</xdr:row>
      <xdr:rowOff>91109</xdr:rowOff>
    </xdr:to>
    <xdr:cxnSp macro="">
      <xdr:nvCxnSpPr>
        <xdr:cNvPr id="216" name="Straight Arrow Connector 215">
          <a:extLst>
            <a:ext uri="{FF2B5EF4-FFF2-40B4-BE49-F238E27FC236}">
              <a16:creationId xmlns:a16="http://schemas.microsoft.com/office/drawing/2014/main" xmlns="" id="{00000000-0008-0000-0000-0000D8000000}"/>
            </a:ext>
          </a:extLst>
        </xdr:cNvPr>
        <xdr:cNvCxnSpPr/>
      </xdr:nvCxnSpPr>
      <xdr:spPr>
        <a:xfrm>
          <a:off x="29875367" y="26115065"/>
          <a:ext cx="0" cy="5218044"/>
        </a:xfrm>
        <a:prstGeom prst="straightConnector1">
          <a:avLst/>
        </a:prstGeom>
        <a:ln w="38100">
          <a:solidFill>
            <a:srgbClr val="CC0066"/>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289891</xdr:colOff>
      <xdr:row>157</xdr:row>
      <xdr:rowOff>21444</xdr:rowOff>
    </xdr:from>
    <xdr:to>
      <xdr:col>55</xdr:col>
      <xdr:colOff>314740</xdr:colOff>
      <xdr:row>157</xdr:row>
      <xdr:rowOff>21444</xdr:rowOff>
    </xdr:to>
    <xdr:cxnSp macro="">
      <xdr:nvCxnSpPr>
        <xdr:cNvPr id="219" name="Straight Arrow Connector 218">
          <a:extLst>
            <a:ext uri="{FF2B5EF4-FFF2-40B4-BE49-F238E27FC236}">
              <a16:creationId xmlns:a16="http://schemas.microsoft.com/office/drawing/2014/main" xmlns="" id="{00000000-0008-0000-0000-0000DB000000}"/>
            </a:ext>
          </a:extLst>
        </xdr:cNvPr>
        <xdr:cNvCxnSpPr/>
      </xdr:nvCxnSpPr>
      <xdr:spPr>
        <a:xfrm>
          <a:off x="30322630" y="31072944"/>
          <a:ext cx="3702327"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289891</xdr:colOff>
      <xdr:row>105</xdr:row>
      <xdr:rowOff>99391</xdr:rowOff>
    </xdr:from>
    <xdr:to>
      <xdr:col>49</xdr:col>
      <xdr:colOff>289891</xdr:colOff>
      <xdr:row>157</xdr:row>
      <xdr:rowOff>41414</xdr:rowOff>
    </xdr:to>
    <xdr:cxnSp macro="">
      <xdr:nvCxnSpPr>
        <xdr:cNvPr id="224" name="Straight Arrow Connector 223">
          <a:extLst>
            <a:ext uri="{FF2B5EF4-FFF2-40B4-BE49-F238E27FC236}">
              <a16:creationId xmlns:a16="http://schemas.microsoft.com/office/drawing/2014/main" xmlns="" id="{00000000-0008-0000-0000-0000E0000000}"/>
            </a:ext>
          </a:extLst>
        </xdr:cNvPr>
        <xdr:cNvCxnSpPr/>
      </xdr:nvCxnSpPr>
      <xdr:spPr>
        <a:xfrm flipV="1">
          <a:off x="30322630" y="20988130"/>
          <a:ext cx="0" cy="10104784"/>
        </a:xfrm>
        <a:prstGeom prst="straightConnector1">
          <a:avLst/>
        </a:prstGeom>
        <a:ln w="38100">
          <a:solidFill>
            <a:schemeClr val="accent6">
              <a:lumMod val="7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0</xdr:colOff>
      <xdr:row>155</xdr:row>
      <xdr:rowOff>157370</xdr:rowOff>
    </xdr:from>
    <xdr:to>
      <xdr:col>55</xdr:col>
      <xdr:colOff>323022</xdr:colOff>
      <xdr:row>155</xdr:row>
      <xdr:rowOff>157370</xdr:rowOff>
    </xdr:to>
    <xdr:cxnSp macro="">
      <xdr:nvCxnSpPr>
        <xdr:cNvPr id="229" name="Straight Arrow Connector 228">
          <a:extLst>
            <a:ext uri="{FF2B5EF4-FFF2-40B4-BE49-F238E27FC236}">
              <a16:creationId xmlns:a16="http://schemas.microsoft.com/office/drawing/2014/main" xmlns="" id="{00000000-0008-0000-0000-0000E5000000}"/>
            </a:ext>
          </a:extLst>
        </xdr:cNvPr>
        <xdr:cNvCxnSpPr/>
      </xdr:nvCxnSpPr>
      <xdr:spPr>
        <a:xfrm>
          <a:off x="30645652" y="30827870"/>
          <a:ext cx="3387587"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19881</xdr:colOff>
      <xdr:row>79</xdr:row>
      <xdr:rowOff>91109</xdr:rowOff>
    </xdr:from>
    <xdr:to>
      <xdr:col>50</xdr:col>
      <xdr:colOff>19882</xdr:colOff>
      <xdr:row>155</xdr:row>
      <xdr:rowOff>144119</xdr:rowOff>
    </xdr:to>
    <xdr:cxnSp macro="">
      <xdr:nvCxnSpPr>
        <xdr:cNvPr id="231" name="Straight Arrow Connector 230">
          <a:extLst>
            <a:ext uri="{FF2B5EF4-FFF2-40B4-BE49-F238E27FC236}">
              <a16:creationId xmlns:a16="http://schemas.microsoft.com/office/drawing/2014/main" xmlns="" id="{00000000-0008-0000-0000-0000E7000000}"/>
            </a:ext>
          </a:extLst>
        </xdr:cNvPr>
        <xdr:cNvCxnSpPr/>
      </xdr:nvCxnSpPr>
      <xdr:spPr>
        <a:xfrm flipH="1" flipV="1">
          <a:off x="30665533" y="15894326"/>
          <a:ext cx="1" cy="14920293"/>
        </a:xfrm>
        <a:prstGeom prst="straightConnector1">
          <a:avLst/>
        </a:prstGeom>
        <a:ln w="38100">
          <a:solidFill>
            <a:schemeClr val="tx2">
              <a:lumMod val="40000"/>
              <a:lumOff val="60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372718</xdr:colOff>
      <xdr:row>154</xdr:row>
      <xdr:rowOff>81501</xdr:rowOff>
    </xdr:from>
    <xdr:to>
      <xdr:col>55</xdr:col>
      <xdr:colOff>299416</xdr:colOff>
      <xdr:row>154</xdr:row>
      <xdr:rowOff>108084</xdr:rowOff>
    </xdr:to>
    <xdr:cxnSp macro="">
      <xdr:nvCxnSpPr>
        <xdr:cNvPr id="236" name="Straight Arrow Connector 235">
          <a:extLst>
            <a:ext uri="{FF2B5EF4-FFF2-40B4-BE49-F238E27FC236}">
              <a16:creationId xmlns:a16="http://schemas.microsoft.com/office/drawing/2014/main" xmlns="" id="{00000000-0008-0000-0000-0000EC000000}"/>
            </a:ext>
          </a:extLst>
        </xdr:cNvPr>
        <xdr:cNvCxnSpPr/>
      </xdr:nvCxnSpPr>
      <xdr:spPr>
        <a:xfrm>
          <a:off x="31018370" y="30561501"/>
          <a:ext cx="2991263" cy="26583"/>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384316</xdr:colOff>
      <xdr:row>54</xdr:row>
      <xdr:rowOff>140804</xdr:rowOff>
    </xdr:from>
    <xdr:to>
      <xdr:col>50</xdr:col>
      <xdr:colOff>384317</xdr:colOff>
      <xdr:row>154</xdr:row>
      <xdr:rowOff>93100</xdr:rowOff>
    </xdr:to>
    <xdr:cxnSp macro="">
      <xdr:nvCxnSpPr>
        <xdr:cNvPr id="238" name="Straight Arrow Connector 237">
          <a:extLst>
            <a:ext uri="{FF2B5EF4-FFF2-40B4-BE49-F238E27FC236}">
              <a16:creationId xmlns:a16="http://schemas.microsoft.com/office/drawing/2014/main" xmlns="" id="{00000000-0008-0000-0000-0000EE000000}"/>
            </a:ext>
          </a:extLst>
        </xdr:cNvPr>
        <xdr:cNvCxnSpPr/>
      </xdr:nvCxnSpPr>
      <xdr:spPr>
        <a:xfrm flipH="1" flipV="1">
          <a:off x="31029968" y="11049000"/>
          <a:ext cx="1" cy="19557230"/>
        </a:xfrm>
        <a:prstGeom prst="straightConnector1">
          <a:avLst/>
        </a:prstGeom>
        <a:ln w="38100">
          <a:solidFill>
            <a:srgbClr val="92D05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231914</xdr:colOff>
      <xdr:row>159</xdr:row>
      <xdr:rowOff>8284</xdr:rowOff>
    </xdr:from>
    <xdr:to>
      <xdr:col>59</xdr:col>
      <xdr:colOff>405847</xdr:colOff>
      <xdr:row>159</xdr:row>
      <xdr:rowOff>8284</xdr:rowOff>
    </xdr:to>
    <xdr:cxnSp macro="">
      <xdr:nvCxnSpPr>
        <xdr:cNvPr id="244" name="Straight Arrow Connector 243">
          <a:extLst>
            <a:ext uri="{FF2B5EF4-FFF2-40B4-BE49-F238E27FC236}">
              <a16:creationId xmlns:a16="http://schemas.microsoft.com/office/drawing/2014/main" xmlns="" id="{00000000-0008-0000-0000-0000F4000000}"/>
            </a:ext>
          </a:extLst>
        </xdr:cNvPr>
        <xdr:cNvCxnSpPr/>
      </xdr:nvCxnSpPr>
      <xdr:spPr>
        <a:xfrm>
          <a:off x="35167957" y="31465632"/>
          <a:ext cx="13997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66</xdr:col>
      <xdr:colOff>602718</xdr:colOff>
      <xdr:row>157</xdr:row>
      <xdr:rowOff>172024</xdr:rowOff>
    </xdr:from>
    <xdr:ext cx="990600" cy="266700"/>
    <xdr:sp macro="" textlink="">
      <xdr:nvSpPr>
        <xdr:cNvPr id="248" name="TextBox 247">
          <a:extLst>
            <a:ext uri="{FF2B5EF4-FFF2-40B4-BE49-F238E27FC236}">
              <a16:creationId xmlns:a16="http://schemas.microsoft.com/office/drawing/2014/main" xmlns="" id="{00000000-0008-0000-0000-0000F8000000}"/>
            </a:ext>
          </a:extLst>
        </xdr:cNvPr>
        <xdr:cNvSpPr txBox="1"/>
      </xdr:nvSpPr>
      <xdr:spPr>
        <a:xfrm>
          <a:off x="40739603" y="3147996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CLKOUT</a:t>
          </a:r>
        </a:p>
      </xdr:txBody>
    </xdr:sp>
    <xdr:clientData/>
  </xdr:oneCellAnchor>
  <xdr:twoCellAnchor>
    <xdr:from>
      <xdr:col>59</xdr:col>
      <xdr:colOff>405848</xdr:colOff>
      <xdr:row>156</xdr:row>
      <xdr:rowOff>24848</xdr:rowOff>
    </xdr:from>
    <xdr:to>
      <xdr:col>61</xdr:col>
      <xdr:colOff>192488</xdr:colOff>
      <xdr:row>161</xdr:row>
      <xdr:rowOff>172676</xdr:rowOff>
    </xdr:to>
    <xdr:sp macro="" textlink="">
      <xdr:nvSpPr>
        <xdr:cNvPr id="250" name="Rectangle 249">
          <a:extLst>
            <a:ext uri="{FF2B5EF4-FFF2-40B4-BE49-F238E27FC236}">
              <a16:creationId xmlns:a16="http://schemas.microsoft.com/office/drawing/2014/main" xmlns="" id="{00000000-0008-0000-0000-0000FA000000}"/>
            </a:ext>
          </a:extLst>
        </xdr:cNvPr>
        <xdr:cNvSpPr/>
      </xdr:nvSpPr>
      <xdr:spPr>
        <a:xfrm>
          <a:off x="36567718" y="30885848"/>
          <a:ext cx="1012466" cy="11334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CLKOUT Divide</a:t>
          </a:r>
          <a:endParaRPr lang="en-US">
            <a:effectLst/>
          </a:endParaRPr>
        </a:p>
        <a:p>
          <a:pPr algn="ctr"/>
          <a:r>
            <a:rPr lang="en-US" sz="900">
              <a:solidFill>
                <a:schemeClr val="lt1"/>
              </a:solidFill>
              <a:effectLst/>
              <a:latin typeface="+mn-lt"/>
              <a:ea typeface="+mn-ea"/>
              <a:cs typeface="+mn-cs"/>
            </a:rPr>
            <a:t>SIM_CHIPCTL[CLKOUTDIV]</a:t>
          </a:r>
        </a:p>
        <a:p>
          <a:pPr algn="ctr"/>
          <a:r>
            <a:rPr lang="en-US" sz="900">
              <a:solidFill>
                <a:schemeClr val="lt1"/>
              </a:solidFill>
              <a:effectLst/>
              <a:latin typeface="+mn-lt"/>
              <a:ea typeface="+mn-ea"/>
              <a:cs typeface="+mn-cs"/>
            </a:rPr>
            <a:t>/(1+(0...7))</a:t>
          </a:r>
          <a:endParaRPr lang="en-US" sz="900">
            <a:effectLst/>
          </a:endParaRPr>
        </a:p>
      </xdr:txBody>
    </xdr:sp>
    <xdr:clientData/>
  </xdr:twoCellAnchor>
  <xdr:twoCellAnchor>
    <xdr:from>
      <xdr:col>61</xdr:col>
      <xdr:colOff>198782</xdr:colOff>
      <xdr:row>158</xdr:row>
      <xdr:rowOff>204836</xdr:rowOff>
    </xdr:from>
    <xdr:to>
      <xdr:col>63</xdr:col>
      <xdr:colOff>381000</xdr:colOff>
      <xdr:row>158</xdr:row>
      <xdr:rowOff>204836</xdr:rowOff>
    </xdr:to>
    <xdr:cxnSp macro="">
      <xdr:nvCxnSpPr>
        <xdr:cNvPr id="252" name="Straight Arrow Connector 251">
          <a:extLst>
            <a:ext uri="{FF2B5EF4-FFF2-40B4-BE49-F238E27FC236}">
              <a16:creationId xmlns:a16="http://schemas.microsoft.com/office/drawing/2014/main" xmlns="" id="{00000000-0008-0000-0000-0000FC000000}"/>
            </a:ext>
          </a:extLst>
        </xdr:cNvPr>
        <xdr:cNvCxnSpPr/>
      </xdr:nvCxnSpPr>
      <xdr:spPr>
        <a:xfrm>
          <a:off x="37294994" y="31710605"/>
          <a:ext cx="139848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422413</xdr:colOff>
      <xdr:row>54</xdr:row>
      <xdr:rowOff>74543</xdr:rowOff>
    </xdr:from>
    <xdr:to>
      <xdr:col>3</xdr:col>
      <xdr:colOff>209053</xdr:colOff>
      <xdr:row>58</xdr:row>
      <xdr:rowOff>192553</xdr:rowOff>
    </xdr:to>
    <xdr:sp macro="" textlink="">
      <xdr:nvSpPr>
        <xdr:cNvPr id="254" name="Rectangle 253">
          <a:hlinkClick xmlns:r="http://schemas.openxmlformats.org/officeDocument/2006/relationships" r:id="rId6"/>
          <a:extLst>
            <a:ext uri="{FF2B5EF4-FFF2-40B4-BE49-F238E27FC236}">
              <a16:creationId xmlns:a16="http://schemas.microsoft.com/office/drawing/2014/main" xmlns="" id="{00000000-0008-0000-0000-0000FE000000}"/>
            </a:ext>
          </a:extLst>
        </xdr:cNvPr>
        <xdr:cNvSpPr/>
      </xdr:nvSpPr>
      <xdr:spPr>
        <a:xfrm>
          <a:off x="1035326" y="10982739"/>
          <a:ext cx="1012466" cy="9297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Low Power Oscillator</a:t>
          </a:r>
        </a:p>
        <a:p>
          <a:pPr algn="ctr"/>
          <a:r>
            <a:rPr lang="en-US" sz="1100" baseline="0"/>
            <a:t>(LPO)</a:t>
          </a:r>
        </a:p>
        <a:p>
          <a:pPr marL="0" marR="0" indent="0" algn="ctr"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Click</a:t>
          </a:r>
          <a:r>
            <a:rPr lang="en-US" sz="800" baseline="0">
              <a:solidFill>
                <a:schemeClr val="lt1"/>
              </a:solidFill>
              <a:effectLst/>
              <a:latin typeface="+mn-lt"/>
              <a:ea typeface="+mn-ea"/>
              <a:cs typeface="+mn-cs"/>
            </a:rPr>
            <a:t> me for more info</a:t>
          </a:r>
          <a:endParaRPr lang="en-US" sz="800">
            <a:effectLst/>
          </a:endParaRPr>
        </a:p>
        <a:p>
          <a:pPr algn="ctr"/>
          <a:endParaRPr lang="en-US" sz="800" baseline="0"/>
        </a:p>
      </xdr:txBody>
    </xdr:sp>
    <xdr:clientData/>
  </xdr:twoCellAnchor>
  <xdr:twoCellAnchor>
    <xdr:from>
      <xdr:col>3</xdr:col>
      <xdr:colOff>231913</xdr:colOff>
      <xdr:row>56</xdr:row>
      <xdr:rowOff>132519</xdr:rowOff>
    </xdr:from>
    <xdr:to>
      <xdr:col>5</xdr:col>
      <xdr:colOff>480392</xdr:colOff>
      <xdr:row>56</xdr:row>
      <xdr:rowOff>132519</xdr:rowOff>
    </xdr:to>
    <xdr:cxnSp macro="">
      <xdr:nvCxnSpPr>
        <xdr:cNvPr id="255" name="Straight Arrow Connector 254">
          <a:extLst>
            <a:ext uri="{FF2B5EF4-FFF2-40B4-BE49-F238E27FC236}">
              <a16:creationId xmlns:a16="http://schemas.microsoft.com/office/drawing/2014/main" xmlns="" id="{00000000-0008-0000-0000-0000FF000000}"/>
            </a:ext>
          </a:extLst>
        </xdr:cNvPr>
        <xdr:cNvCxnSpPr/>
      </xdr:nvCxnSpPr>
      <xdr:spPr>
        <a:xfrm>
          <a:off x="2070652" y="11446562"/>
          <a:ext cx="1474305" cy="0"/>
        </a:xfrm>
        <a:prstGeom prst="straightConnector1">
          <a:avLst/>
        </a:prstGeom>
        <a:ln w="38100">
          <a:solidFill>
            <a:schemeClr val="accent3">
              <a:lumMod val="60000"/>
              <a:lumOff val="40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463826</xdr:colOff>
      <xdr:row>55</xdr:row>
      <xdr:rowOff>41413</xdr:rowOff>
    </xdr:from>
    <xdr:ext cx="952501" cy="257176"/>
    <xdr:sp macro="" textlink="">
      <xdr:nvSpPr>
        <xdr:cNvPr id="257" name="TextBox 256">
          <a:hlinkClick xmlns:r="http://schemas.openxmlformats.org/officeDocument/2006/relationships" r:id="rId7"/>
          <a:extLst>
            <a:ext uri="{FF2B5EF4-FFF2-40B4-BE49-F238E27FC236}">
              <a16:creationId xmlns:a16="http://schemas.microsoft.com/office/drawing/2014/main" xmlns="" id="{00000000-0008-0000-0000-000001010000}"/>
            </a:ext>
          </a:extLst>
        </xdr:cNvPr>
        <xdr:cNvSpPr txBox="1"/>
      </xdr:nvSpPr>
      <xdr:spPr>
        <a:xfrm>
          <a:off x="2302565" y="11156674"/>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LPO128K_CLK</a:t>
          </a:r>
        </a:p>
      </xdr:txBody>
    </xdr:sp>
    <xdr:clientData/>
  </xdr:oneCellAnchor>
  <xdr:twoCellAnchor>
    <xdr:from>
      <xdr:col>5</xdr:col>
      <xdr:colOff>438978</xdr:colOff>
      <xdr:row>56</xdr:row>
      <xdr:rowOff>115957</xdr:rowOff>
    </xdr:from>
    <xdr:to>
      <xdr:col>5</xdr:col>
      <xdr:colOff>438978</xdr:colOff>
      <xdr:row>161</xdr:row>
      <xdr:rowOff>8283</xdr:rowOff>
    </xdr:to>
    <xdr:cxnSp macro="">
      <xdr:nvCxnSpPr>
        <xdr:cNvPr id="260" name="Straight Arrow Connector 259">
          <a:extLst>
            <a:ext uri="{FF2B5EF4-FFF2-40B4-BE49-F238E27FC236}">
              <a16:creationId xmlns:a16="http://schemas.microsoft.com/office/drawing/2014/main" xmlns="" id="{00000000-0008-0000-0000-000004010000}"/>
            </a:ext>
          </a:extLst>
        </xdr:cNvPr>
        <xdr:cNvCxnSpPr/>
      </xdr:nvCxnSpPr>
      <xdr:spPr>
        <a:xfrm>
          <a:off x="3503543" y="11430000"/>
          <a:ext cx="0" cy="20424913"/>
        </a:xfrm>
        <a:prstGeom prst="straightConnector1">
          <a:avLst/>
        </a:prstGeom>
        <a:ln w="38100">
          <a:solidFill>
            <a:schemeClr val="accent3">
              <a:lumMod val="60000"/>
              <a:lumOff val="40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422413</xdr:colOff>
      <xdr:row>161</xdr:row>
      <xdr:rowOff>24848</xdr:rowOff>
    </xdr:from>
    <xdr:to>
      <xdr:col>55</xdr:col>
      <xdr:colOff>315377</xdr:colOff>
      <xdr:row>161</xdr:row>
      <xdr:rowOff>24848</xdr:rowOff>
    </xdr:to>
    <xdr:cxnSp macro="">
      <xdr:nvCxnSpPr>
        <xdr:cNvPr id="268" name="Straight Arrow Connector 267">
          <a:extLst>
            <a:ext uri="{FF2B5EF4-FFF2-40B4-BE49-F238E27FC236}">
              <a16:creationId xmlns:a16="http://schemas.microsoft.com/office/drawing/2014/main" xmlns="" id="{00000000-0008-0000-0000-00000C010000}"/>
            </a:ext>
          </a:extLst>
        </xdr:cNvPr>
        <xdr:cNvCxnSpPr/>
      </xdr:nvCxnSpPr>
      <xdr:spPr>
        <a:xfrm>
          <a:off x="3486978" y="31871478"/>
          <a:ext cx="3053861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397565</xdr:colOff>
      <xdr:row>170</xdr:row>
      <xdr:rowOff>182218</xdr:rowOff>
    </xdr:from>
    <xdr:to>
      <xdr:col>42</xdr:col>
      <xdr:colOff>184205</xdr:colOff>
      <xdr:row>176</xdr:row>
      <xdr:rowOff>172676</xdr:rowOff>
    </xdr:to>
    <xdr:sp macro="" textlink="">
      <xdr:nvSpPr>
        <xdr:cNvPr id="273" name="Rectangle 272">
          <a:extLst>
            <a:ext uri="{FF2B5EF4-FFF2-40B4-BE49-F238E27FC236}">
              <a16:creationId xmlns:a16="http://schemas.microsoft.com/office/drawing/2014/main" xmlns="" id="{00000000-0008-0000-0000-000011010000}"/>
            </a:ext>
          </a:extLst>
        </xdr:cNvPr>
        <xdr:cNvSpPr/>
      </xdr:nvSpPr>
      <xdr:spPr>
        <a:xfrm>
          <a:off x="24914087" y="33809609"/>
          <a:ext cx="1012466" cy="11334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RTC Clock </a:t>
          </a:r>
          <a:r>
            <a:rPr lang="en-US" sz="1100" baseline="0">
              <a:solidFill>
                <a:schemeClr val="lt1"/>
              </a:solidFill>
              <a:effectLst/>
              <a:latin typeface="+mn-lt"/>
              <a:ea typeface="+mn-ea"/>
              <a:cs typeface="+mn-cs"/>
            </a:rPr>
            <a:t>Select</a:t>
          </a:r>
          <a:endParaRPr lang="en-US">
            <a:effectLst/>
          </a:endParaRPr>
        </a:p>
        <a:p>
          <a:pPr algn="ctr"/>
          <a:r>
            <a:rPr lang="en-US" sz="900">
              <a:solidFill>
                <a:schemeClr val="lt1"/>
              </a:solidFill>
              <a:effectLst/>
              <a:latin typeface="+mn-lt"/>
              <a:ea typeface="+mn-ea"/>
              <a:cs typeface="+mn-cs"/>
            </a:rPr>
            <a:t>SIM_LPOCLKS[RTCCLKSEL]</a:t>
          </a:r>
        </a:p>
      </xdr:txBody>
    </xdr:sp>
    <xdr:clientData/>
  </xdr:twoCellAnchor>
  <xdr:oneCellAnchor>
    <xdr:from>
      <xdr:col>40</xdr:col>
      <xdr:colOff>554934</xdr:colOff>
      <xdr:row>178</xdr:row>
      <xdr:rowOff>0</xdr:rowOff>
    </xdr:from>
    <xdr:ext cx="1176131" cy="604632"/>
    <xdr:sp macro="" textlink="">
      <xdr:nvSpPr>
        <xdr:cNvPr id="274" name="TextBox 273">
          <a:extLst>
            <a:ext uri="{FF2B5EF4-FFF2-40B4-BE49-F238E27FC236}">
              <a16:creationId xmlns:a16="http://schemas.microsoft.com/office/drawing/2014/main" xmlns="" id="{00000000-0008-0000-0000-000012010000}"/>
            </a:ext>
          </a:extLst>
        </xdr:cNvPr>
        <xdr:cNvSpPr txBox="1"/>
      </xdr:nvSpPr>
      <xdr:spPr>
        <a:xfrm>
          <a:off x="25071456" y="35176239"/>
          <a:ext cx="1176131" cy="6046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SOSCDIV1_CLK</a:t>
          </a:r>
        </a:p>
        <a:p>
          <a:r>
            <a:rPr lang="en-US" sz="800"/>
            <a:t>1 - LPO32K_CLK</a:t>
          </a:r>
        </a:p>
        <a:p>
          <a:r>
            <a:rPr lang="en-US" sz="800"/>
            <a:t>2</a:t>
          </a:r>
          <a:r>
            <a:rPr lang="en-US" sz="800" baseline="0"/>
            <a:t> - RTC_CLKIN</a:t>
          </a:r>
        </a:p>
        <a:p>
          <a:r>
            <a:rPr lang="en-US" sz="800" baseline="0"/>
            <a:t>3 - FIRCDIV1_CLK</a:t>
          </a:r>
          <a:endParaRPr lang="en-US" sz="800"/>
        </a:p>
      </xdr:txBody>
    </xdr:sp>
    <xdr:clientData/>
  </xdr:oneCellAnchor>
  <xdr:twoCellAnchor>
    <xdr:from>
      <xdr:col>10</xdr:col>
      <xdr:colOff>8282</xdr:colOff>
      <xdr:row>161</xdr:row>
      <xdr:rowOff>8282</xdr:rowOff>
    </xdr:from>
    <xdr:to>
      <xdr:col>10</xdr:col>
      <xdr:colOff>8282</xdr:colOff>
      <xdr:row>171</xdr:row>
      <xdr:rowOff>107674</xdr:rowOff>
    </xdr:to>
    <xdr:cxnSp macro="">
      <xdr:nvCxnSpPr>
        <xdr:cNvPr id="275" name="Straight Arrow Connector 274">
          <a:extLst>
            <a:ext uri="{FF2B5EF4-FFF2-40B4-BE49-F238E27FC236}">
              <a16:creationId xmlns:a16="http://schemas.microsoft.com/office/drawing/2014/main" xmlns="" id="{00000000-0008-0000-0000-000013010000}"/>
            </a:ext>
          </a:extLst>
        </xdr:cNvPr>
        <xdr:cNvCxnSpPr/>
      </xdr:nvCxnSpPr>
      <xdr:spPr>
        <a:xfrm>
          <a:off x="6137412" y="31946021"/>
          <a:ext cx="0" cy="2070653"/>
        </a:xfrm>
        <a:prstGeom prst="straightConnector1">
          <a:avLst/>
        </a:prstGeom>
        <a:ln w="38100">
          <a:solidFill>
            <a:schemeClr val="accent3">
              <a:lumMod val="60000"/>
              <a:lumOff val="40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27215</xdr:colOff>
      <xdr:row>171</xdr:row>
      <xdr:rowOff>94357</xdr:rowOff>
    </xdr:from>
    <xdr:to>
      <xdr:col>15</xdr:col>
      <xdr:colOff>414130</xdr:colOff>
      <xdr:row>171</xdr:row>
      <xdr:rowOff>94357</xdr:rowOff>
    </xdr:to>
    <xdr:cxnSp macro="">
      <xdr:nvCxnSpPr>
        <xdr:cNvPr id="279" name="Straight Arrow Connector 278">
          <a:extLst>
            <a:ext uri="{FF2B5EF4-FFF2-40B4-BE49-F238E27FC236}">
              <a16:creationId xmlns:a16="http://schemas.microsoft.com/office/drawing/2014/main" xmlns="" id="{00000000-0008-0000-0000-000017010000}"/>
            </a:ext>
          </a:extLst>
        </xdr:cNvPr>
        <xdr:cNvCxnSpPr/>
      </xdr:nvCxnSpPr>
      <xdr:spPr>
        <a:xfrm>
          <a:off x="6156345" y="34003357"/>
          <a:ext cx="3451481"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405848</xdr:colOff>
      <xdr:row>175</xdr:row>
      <xdr:rowOff>32972</xdr:rowOff>
    </xdr:from>
    <xdr:to>
      <xdr:col>40</xdr:col>
      <xdr:colOff>373673</xdr:colOff>
      <xdr:row>175</xdr:row>
      <xdr:rowOff>32972</xdr:rowOff>
    </xdr:to>
    <xdr:cxnSp macro="">
      <xdr:nvCxnSpPr>
        <xdr:cNvPr id="287" name="Straight Arrow Connector 286">
          <a:extLst>
            <a:ext uri="{FF2B5EF4-FFF2-40B4-BE49-F238E27FC236}">
              <a16:creationId xmlns:a16="http://schemas.microsoft.com/office/drawing/2014/main" xmlns="" id="{00000000-0008-0000-0000-00001F010000}"/>
            </a:ext>
          </a:extLst>
        </xdr:cNvPr>
        <xdr:cNvCxnSpPr/>
      </xdr:nvCxnSpPr>
      <xdr:spPr>
        <a:xfrm>
          <a:off x="10825370" y="34745385"/>
          <a:ext cx="14064825"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447675</xdr:colOff>
      <xdr:row>172</xdr:row>
      <xdr:rowOff>171450</xdr:rowOff>
    </xdr:from>
    <xdr:ext cx="952501" cy="257176"/>
    <xdr:sp macro="" textlink="">
      <xdr:nvSpPr>
        <xdr:cNvPr id="290" name="TextBox 289">
          <a:extLst>
            <a:ext uri="{FF2B5EF4-FFF2-40B4-BE49-F238E27FC236}">
              <a16:creationId xmlns:a16="http://schemas.microsoft.com/office/drawing/2014/main" xmlns="" id="{00000000-0008-0000-0000-000022010000}"/>
            </a:ext>
          </a:extLst>
        </xdr:cNvPr>
        <xdr:cNvSpPr txBox="1"/>
      </xdr:nvSpPr>
      <xdr:spPr>
        <a:xfrm>
          <a:off x="10810875" y="34347150"/>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LPO32K_CLK</a:t>
          </a:r>
        </a:p>
      </xdr:txBody>
    </xdr:sp>
    <xdr:clientData/>
  </xdr:oneCellAnchor>
  <xdr:twoCellAnchor>
    <xdr:from>
      <xdr:col>29</xdr:col>
      <xdr:colOff>28575</xdr:colOff>
      <xdr:row>173</xdr:row>
      <xdr:rowOff>123825</xdr:rowOff>
    </xdr:from>
    <xdr:to>
      <xdr:col>40</xdr:col>
      <xdr:colOff>352425</xdr:colOff>
      <xdr:row>173</xdr:row>
      <xdr:rowOff>123825</xdr:rowOff>
    </xdr:to>
    <xdr:cxnSp macro="">
      <xdr:nvCxnSpPr>
        <xdr:cNvPr id="292" name="Straight Arrow Connector 291">
          <a:extLst>
            <a:ext uri="{FF2B5EF4-FFF2-40B4-BE49-F238E27FC236}">
              <a16:creationId xmlns:a16="http://schemas.microsoft.com/office/drawing/2014/main" xmlns="" id="{00000000-0008-0000-0000-000024010000}"/>
            </a:ext>
          </a:extLst>
        </xdr:cNvPr>
        <xdr:cNvCxnSpPr/>
      </xdr:nvCxnSpPr>
      <xdr:spPr>
        <a:xfrm>
          <a:off x="17706975" y="34490025"/>
          <a:ext cx="7029450"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47625</xdr:colOff>
      <xdr:row>76</xdr:row>
      <xdr:rowOff>95250</xdr:rowOff>
    </xdr:from>
    <xdr:to>
      <xdr:col>29</xdr:col>
      <xdr:colOff>47625</xdr:colOff>
      <xdr:row>173</xdr:row>
      <xdr:rowOff>142875</xdr:rowOff>
    </xdr:to>
    <xdr:cxnSp macro="">
      <xdr:nvCxnSpPr>
        <xdr:cNvPr id="294" name="Straight Arrow Connector 293">
          <a:extLst>
            <a:ext uri="{FF2B5EF4-FFF2-40B4-BE49-F238E27FC236}">
              <a16:creationId xmlns:a16="http://schemas.microsoft.com/office/drawing/2014/main" xmlns="" id="{00000000-0008-0000-0000-000026010000}"/>
            </a:ext>
          </a:extLst>
        </xdr:cNvPr>
        <xdr:cNvCxnSpPr/>
      </xdr:nvCxnSpPr>
      <xdr:spPr>
        <a:xfrm flipV="1">
          <a:off x="17726025" y="15411450"/>
          <a:ext cx="0" cy="19097625"/>
        </a:xfrm>
        <a:prstGeom prst="straightConnector1">
          <a:avLst/>
        </a:prstGeom>
        <a:ln w="38100">
          <a:solidFill>
            <a:srgbClr val="0070C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47625</xdr:colOff>
      <xdr:row>76</xdr:row>
      <xdr:rowOff>123825</xdr:rowOff>
    </xdr:from>
    <xdr:to>
      <xdr:col>48</xdr:col>
      <xdr:colOff>590550</xdr:colOff>
      <xdr:row>76</xdr:row>
      <xdr:rowOff>123825</xdr:rowOff>
    </xdr:to>
    <xdr:cxnSp macro="">
      <xdr:nvCxnSpPr>
        <xdr:cNvPr id="297" name="Straight Arrow Connector 296">
          <a:extLst>
            <a:ext uri="{FF2B5EF4-FFF2-40B4-BE49-F238E27FC236}">
              <a16:creationId xmlns:a16="http://schemas.microsoft.com/office/drawing/2014/main" xmlns="" id="{00000000-0008-0000-0000-000029010000}"/>
            </a:ext>
          </a:extLst>
        </xdr:cNvPr>
        <xdr:cNvCxnSpPr/>
      </xdr:nvCxnSpPr>
      <xdr:spPr>
        <a:xfrm>
          <a:off x="17726025" y="15440025"/>
          <a:ext cx="12125325" cy="0"/>
        </a:xfrm>
        <a:prstGeom prst="straightConnector1">
          <a:avLst/>
        </a:prstGeom>
        <a:ln w="38100">
          <a:solidFill>
            <a:srgbClr val="0070C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590550</xdr:colOff>
      <xdr:row>67</xdr:row>
      <xdr:rowOff>95251</xdr:rowOff>
    </xdr:from>
    <xdr:to>
      <xdr:col>48</xdr:col>
      <xdr:colOff>590550</xdr:colOff>
      <xdr:row>76</xdr:row>
      <xdr:rowOff>152400</xdr:rowOff>
    </xdr:to>
    <xdr:cxnSp macro="">
      <xdr:nvCxnSpPr>
        <xdr:cNvPr id="300" name="Straight Arrow Connector 299">
          <a:extLst>
            <a:ext uri="{FF2B5EF4-FFF2-40B4-BE49-F238E27FC236}">
              <a16:creationId xmlns:a16="http://schemas.microsoft.com/office/drawing/2014/main" xmlns="" id="{00000000-0008-0000-0000-00002C010000}"/>
            </a:ext>
          </a:extLst>
        </xdr:cNvPr>
        <xdr:cNvCxnSpPr/>
      </xdr:nvCxnSpPr>
      <xdr:spPr>
        <a:xfrm flipV="1">
          <a:off x="29851350" y="13630276"/>
          <a:ext cx="0" cy="1838324"/>
        </a:xfrm>
        <a:prstGeom prst="straightConnector1">
          <a:avLst/>
        </a:prstGeom>
        <a:ln w="38100">
          <a:solidFill>
            <a:srgbClr val="0070C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276225</xdr:colOff>
      <xdr:row>171</xdr:row>
      <xdr:rowOff>171450</xdr:rowOff>
    </xdr:from>
    <xdr:to>
      <xdr:col>40</xdr:col>
      <xdr:colOff>352425</xdr:colOff>
      <xdr:row>171</xdr:row>
      <xdr:rowOff>171450</xdr:rowOff>
    </xdr:to>
    <xdr:cxnSp macro="">
      <xdr:nvCxnSpPr>
        <xdr:cNvPr id="302" name="Straight Arrow Connector 301">
          <a:extLst>
            <a:ext uri="{FF2B5EF4-FFF2-40B4-BE49-F238E27FC236}">
              <a16:creationId xmlns:a16="http://schemas.microsoft.com/office/drawing/2014/main" xmlns="" id="{00000000-0008-0000-0000-00002E010000}"/>
            </a:ext>
          </a:extLst>
        </xdr:cNvPr>
        <xdr:cNvCxnSpPr/>
      </xdr:nvCxnSpPr>
      <xdr:spPr>
        <a:xfrm>
          <a:off x="19783425" y="34156650"/>
          <a:ext cx="49530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276225</xdr:colOff>
      <xdr:row>128</xdr:row>
      <xdr:rowOff>123825</xdr:rowOff>
    </xdr:from>
    <xdr:to>
      <xdr:col>32</xdr:col>
      <xdr:colOff>276225</xdr:colOff>
      <xdr:row>172</xdr:row>
      <xdr:rowOff>3</xdr:rowOff>
    </xdr:to>
    <xdr:cxnSp macro="">
      <xdr:nvCxnSpPr>
        <xdr:cNvPr id="303" name="Straight Arrow Connector 302">
          <a:extLst>
            <a:ext uri="{FF2B5EF4-FFF2-40B4-BE49-F238E27FC236}">
              <a16:creationId xmlns:a16="http://schemas.microsoft.com/office/drawing/2014/main" xmlns="" id="{00000000-0008-0000-0000-00002F010000}"/>
            </a:ext>
          </a:extLst>
        </xdr:cNvPr>
        <xdr:cNvCxnSpPr/>
      </xdr:nvCxnSpPr>
      <xdr:spPr>
        <a:xfrm flipV="1">
          <a:off x="19783425" y="25650825"/>
          <a:ext cx="0" cy="8524878"/>
        </a:xfrm>
        <a:prstGeom prst="straightConnector1">
          <a:avLst/>
        </a:prstGeom>
        <a:ln w="38100">
          <a:solidFill>
            <a:srgbClr val="FF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257175</xdr:colOff>
      <xdr:row>128</xdr:row>
      <xdr:rowOff>123825</xdr:rowOff>
    </xdr:from>
    <xdr:to>
      <xdr:col>48</xdr:col>
      <xdr:colOff>542925</xdr:colOff>
      <xdr:row>128</xdr:row>
      <xdr:rowOff>123825</xdr:rowOff>
    </xdr:to>
    <xdr:cxnSp macro="">
      <xdr:nvCxnSpPr>
        <xdr:cNvPr id="310" name="Straight Arrow Connector 309">
          <a:extLst>
            <a:ext uri="{FF2B5EF4-FFF2-40B4-BE49-F238E27FC236}">
              <a16:creationId xmlns:a16="http://schemas.microsoft.com/office/drawing/2014/main" xmlns="" id="{00000000-0008-0000-0000-000036010000}"/>
            </a:ext>
          </a:extLst>
        </xdr:cNvPr>
        <xdr:cNvCxnSpPr/>
      </xdr:nvCxnSpPr>
      <xdr:spPr>
        <a:xfrm>
          <a:off x="19764375" y="25650825"/>
          <a:ext cx="10039350" cy="0"/>
        </a:xfrm>
        <a:prstGeom prst="straightConnector1">
          <a:avLst/>
        </a:prstGeom>
        <a:ln w="38100">
          <a:solidFill>
            <a:srgbClr val="FF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542925</xdr:colOff>
      <xdr:row>119</xdr:row>
      <xdr:rowOff>95250</xdr:rowOff>
    </xdr:from>
    <xdr:to>
      <xdr:col>48</xdr:col>
      <xdr:colOff>542925</xdr:colOff>
      <xdr:row>128</xdr:row>
      <xdr:rowOff>142875</xdr:rowOff>
    </xdr:to>
    <xdr:cxnSp macro="">
      <xdr:nvCxnSpPr>
        <xdr:cNvPr id="312" name="Straight Arrow Connector 311">
          <a:extLst>
            <a:ext uri="{FF2B5EF4-FFF2-40B4-BE49-F238E27FC236}">
              <a16:creationId xmlns:a16="http://schemas.microsoft.com/office/drawing/2014/main" xmlns="" id="{00000000-0008-0000-0000-000038010000}"/>
            </a:ext>
          </a:extLst>
        </xdr:cNvPr>
        <xdr:cNvCxnSpPr/>
      </xdr:nvCxnSpPr>
      <xdr:spPr>
        <a:xfrm flipV="1">
          <a:off x="29803725" y="23926800"/>
          <a:ext cx="0" cy="1828800"/>
        </a:xfrm>
        <a:prstGeom prst="straightConnector1">
          <a:avLst/>
        </a:prstGeom>
        <a:ln w="38100">
          <a:solidFill>
            <a:srgbClr val="FF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552450</xdr:colOff>
      <xdr:row>62</xdr:row>
      <xdr:rowOff>152400</xdr:rowOff>
    </xdr:from>
    <xdr:ext cx="769327" cy="257176"/>
    <xdr:sp macro="" textlink="">
      <xdr:nvSpPr>
        <xdr:cNvPr id="315" name="TextBox 314">
          <a:extLst>
            <a:ext uri="{FF2B5EF4-FFF2-40B4-BE49-F238E27FC236}">
              <a16:creationId xmlns:a16="http://schemas.microsoft.com/office/drawing/2014/main" xmlns="" id="{00000000-0008-0000-0000-00003B010000}"/>
            </a:ext>
          </a:extLst>
        </xdr:cNvPr>
        <xdr:cNvSpPr txBox="1"/>
      </xdr:nvSpPr>
      <xdr:spPr>
        <a:xfrm>
          <a:off x="1162050" y="12725400"/>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RTC_CLKIN</a:t>
          </a:r>
        </a:p>
      </xdr:txBody>
    </xdr:sp>
    <xdr:clientData/>
  </xdr:oneCellAnchor>
  <xdr:twoCellAnchor>
    <xdr:from>
      <xdr:col>3</xdr:col>
      <xdr:colOff>0</xdr:colOff>
      <xdr:row>64</xdr:row>
      <xdr:rowOff>114300</xdr:rowOff>
    </xdr:from>
    <xdr:to>
      <xdr:col>3</xdr:col>
      <xdr:colOff>580292</xdr:colOff>
      <xdr:row>64</xdr:row>
      <xdr:rowOff>114300</xdr:rowOff>
    </xdr:to>
    <xdr:cxnSp macro="">
      <xdr:nvCxnSpPr>
        <xdr:cNvPr id="316" name="Straight Arrow Connector 315">
          <a:extLst>
            <a:ext uri="{FF2B5EF4-FFF2-40B4-BE49-F238E27FC236}">
              <a16:creationId xmlns:a16="http://schemas.microsoft.com/office/drawing/2014/main" xmlns="" id="{00000000-0008-0000-0000-00003C010000}"/>
            </a:ext>
          </a:extLst>
        </xdr:cNvPr>
        <xdr:cNvCxnSpPr/>
      </xdr:nvCxnSpPr>
      <xdr:spPr>
        <a:xfrm>
          <a:off x="1828800" y="13077825"/>
          <a:ext cx="58029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568332</xdr:colOff>
      <xdr:row>64</xdr:row>
      <xdr:rowOff>114300</xdr:rowOff>
    </xdr:from>
    <xdr:to>
      <xdr:col>3</xdr:col>
      <xdr:colOff>581029</xdr:colOff>
      <xdr:row>176</xdr:row>
      <xdr:rowOff>123825</xdr:rowOff>
    </xdr:to>
    <xdr:cxnSp macro="">
      <xdr:nvCxnSpPr>
        <xdr:cNvPr id="317" name="Straight Arrow Connector 316">
          <a:extLst>
            <a:ext uri="{FF2B5EF4-FFF2-40B4-BE49-F238E27FC236}">
              <a16:creationId xmlns:a16="http://schemas.microsoft.com/office/drawing/2014/main" xmlns="" id="{00000000-0008-0000-0000-00003D010000}"/>
            </a:ext>
          </a:extLst>
        </xdr:cNvPr>
        <xdr:cNvCxnSpPr/>
      </xdr:nvCxnSpPr>
      <xdr:spPr>
        <a:xfrm flipH="1">
          <a:off x="2397132" y="13077825"/>
          <a:ext cx="12697" cy="2205990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581025</xdr:colOff>
      <xdr:row>176</xdr:row>
      <xdr:rowOff>123825</xdr:rowOff>
    </xdr:from>
    <xdr:to>
      <xdr:col>40</xdr:col>
      <xdr:colOff>342167</xdr:colOff>
      <xdr:row>176</xdr:row>
      <xdr:rowOff>123825</xdr:rowOff>
    </xdr:to>
    <xdr:cxnSp macro="">
      <xdr:nvCxnSpPr>
        <xdr:cNvPr id="324" name="Straight Arrow Connector 323">
          <a:extLst>
            <a:ext uri="{FF2B5EF4-FFF2-40B4-BE49-F238E27FC236}">
              <a16:creationId xmlns:a16="http://schemas.microsoft.com/office/drawing/2014/main" xmlns="" id="{00000000-0008-0000-0000-000044010000}"/>
            </a:ext>
          </a:extLst>
        </xdr:cNvPr>
        <xdr:cNvCxnSpPr/>
      </xdr:nvCxnSpPr>
      <xdr:spPr>
        <a:xfrm>
          <a:off x="2409825" y="35137725"/>
          <a:ext cx="223163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209550</xdr:colOff>
      <xdr:row>174</xdr:row>
      <xdr:rowOff>28575</xdr:rowOff>
    </xdr:from>
    <xdr:to>
      <xdr:col>44</xdr:col>
      <xdr:colOff>285750</xdr:colOff>
      <xdr:row>174</xdr:row>
      <xdr:rowOff>28575</xdr:rowOff>
    </xdr:to>
    <xdr:cxnSp macro="">
      <xdr:nvCxnSpPr>
        <xdr:cNvPr id="328" name="Straight Arrow Connector 327">
          <a:extLst>
            <a:ext uri="{FF2B5EF4-FFF2-40B4-BE49-F238E27FC236}">
              <a16:creationId xmlns:a16="http://schemas.microsoft.com/office/drawing/2014/main" xmlns="" id="{00000000-0008-0000-0000-000048010000}"/>
            </a:ext>
          </a:extLst>
        </xdr:cNvPr>
        <xdr:cNvCxnSpPr/>
      </xdr:nvCxnSpPr>
      <xdr:spPr>
        <a:xfrm>
          <a:off x="25751204" y="34721556"/>
          <a:ext cx="1292469" cy="0"/>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42</xdr:col>
      <xdr:colOff>447675</xdr:colOff>
      <xdr:row>171</xdr:row>
      <xdr:rowOff>152400</xdr:rowOff>
    </xdr:from>
    <xdr:ext cx="990600" cy="266700"/>
    <xdr:sp macro="" textlink="">
      <xdr:nvSpPr>
        <xdr:cNvPr id="329" name="TextBox 328">
          <a:extLst>
            <a:ext uri="{FF2B5EF4-FFF2-40B4-BE49-F238E27FC236}">
              <a16:creationId xmlns:a16="http://schemas.microsoft.com/office/drawing/2014/main" xmlns="" id="{00000000-0008-0000-0000-000049010000}"/>
            </a:ext>
          </a:extLst>
        </xdr:cNvPr>
        <xdr:cNvSpPr txBox="1"/>
      </xdr:nvSpPr>
      <xdr:spPr>
        <a:xfrm>
          <a:off x="26050875" y="3417570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RTC_CLK</a:t>
          </a:r>
        </a:p>
      </xdr:txBody>
    </xdr:sp>
    <xdr:clientData/>
  </xdr:oneCellAnchor>
  <xdr:twoCellAnchor>
    <xdr:from>
      <xdr:col>44</xdr:col>
      <xdr:colOff>276225</xdr:colOff>
      <xdr:row>162</xdr:row>
      <xdr:rowOff>104775</xdr:rowOff>
    </xdr:from>
    <xdr:to>
      <xdr:col>55</xdr:col>
      <xdr:colOff>342900</xdr:colOff>
      <xdr:row>162</xdr:row>
      <xdr:rowOff>104775</xdr:rowOff>
    </xdr:to>
    <xdr:cxnSp macro="">
      <xdr:nvCxnSpPr>
        <xdr:cNvPr id="330" name="Straight Arrow Connector 329">
          <a:extLst>
            <a:ext uri="{FF2B5EF4-FFF2-40B4-BE49-F238E27FC236}">
              <a16:creationId xmlns:a16="http://schemas.microsoft.com/office/drawing/2014/main" xmlns="" id="{00000000-0008-0000-0000-00004A010000}"/>
            </a:ext>
          </a:extLst>
        </xdr:cNvPr>
        <xdr:cNvCxnSpPr/>
      </xdr:nvCxnSpPr>
      <xdr:spPr>
        <a:xfrm>
          <a:off x="27098625" y="32346900"/>
          <a:ext cx="6772275"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285750</xdr:colOff>
      <xdr:row>162</xdr:row>
      <xdr:rowOff>95254</xdr:rowOff>
    </xdr:from>
    <xdr:to>
      <xdr:col>44</xdr:col>
      <xdr:colOff>285750</xdr:colOff>
      <xdr:row>198</xdr:row>
      <xdr:rowOff>133350</xdr:rowOff>
    </xdr:to>
    <xdr:cxnSp macro="">
      <xdr:nvCxnSpPr>
        <xdr:cNvPr id="333" name="Straight Arrow Connector 332">
          <a:extLst>
            <a:ext uri="{FF2B5EF4-FFF2-40B4-BE49-F238E27FC236}">
              <a16:creationId xmlns:a16="http://schemas.microsoft.com/office/drawing/2014/main" xmlns="" id="{00000000-0008-0000-0000-00004D010000}"/>
            </a:ext>
          </a:extLst>
        </xdr:cNvPr>
        <xdr:cNvCxnSpPr/>
      </xdr:nvCxnSpPr>
      <xdr:spPr>
        <a:xfrm flipV="1">
          <a:off x="27108150" y="32337379"/>
          <a:ext cx="0" cy="7172321"/>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95250</xdr:colOff>
      <xdr:row>183</xdr:row>
      <xdr:rowOff>85725</xdr:rowOff>
    </xdr:from>
    <xdr:to>
      <xdr:col>49</xdr:col>
      <xdr:colOff>323850</xdr:colOff>
      <xdr:row>183</xdr:row>
      <xdr:rowOff>85725</xdr:rowOff>
    </xdr:to>
    <xdr:cxnSp macro="">
      <xdr:nvCxnSpPr>
        <xdr:cNvPr id="338" name="Straight Arrow Connector 337">
          <a:extLst>
            <a:ext uri="{FF2B5EF4-FFF2-40B4-BE49-F238E27FC236}">
              <a16:creationId xmlns:a16="http://schemas.microsoft.com/office/drawing/2014/main" xmlns="" id="{00000000-0008-0000-0000-000052010000}"/>
            </a:ext>
          </a:extLst>
        </xdr:cNvPr>
        <xdr:cNvCxnSpPr/>
      </xdr:nvCxnSpPr>
      <xdr:spPr>
        <a:xfrm>
          <a:off x="16554450" y="36490275"/>
          <a:ext cx="13639800"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113567</xdr:colOff>
      <xdr:row>175</xdr:row>
      <xdr:rowOff>19050</xdr:rowOff>
    </xdr:from>
    <xdr:to>
      <xdr:col>27</xdr:col>
      <xdr:colOff>113567</xdr:colOff>
      <xdr:row>183</xdr:row>
      <xdr:rowOff>104775</xdr:rowOff>
    </xdr:to>
    <xdr:cxnSp macro="">
      <xdr:nvCxnSpPr>
        <xdr:cNvPr id="339" name="Straight Arrow Connector 338">
          <a:extLst>
            <a:ext uri="{FF2B5EF4-FFF2-40B4-BE49-F238E27FC236}">
              <a16:creationId xmlns:a16="http://schemas.microsoft.com/office/drawing/2014/main" xmlns="" id="{00000000-0008-0000-0000-000053010000}"/>
            </a:ext>
          </a:extLst>
        </xdr:cNvPr>
        <xdr:cNvCxnSpPr/>
      </xdr:nvCxnSpPr>
      <xdr:spPr>
        <a:xfrm>
          <a:off x="16572767" y="34851975"/>
          <a:ext cx="0" cy="1657350"/>
        </a:xfrm>
        <a:prstGeom prst="straightConnector1">
          <a:avLst/>
        </a:prstGeom>
        <a:ln w="38100">
          <a:solidFill>
            <a:schemeClr val="accent5"/>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371475</xdr:colOff>
      <xdr:row>181</xdr:row>
      <xdr:rowOff>0</xdr:rowOff>
    </xdr:from>
    <xdr:to>
      <xdr:col>51</xdr:col>
      <xdr:colOff>219075</xdr:colOff>
      <xdr:row>186</xdr:row>
      <xdr:rowOff>180958</xdr:rowOff>
    </xdr:to>
    <xdr:sp macro="" textlink="">
      <xdr:nvSpPr>
        <xdr:cNvPr id="344" name="Rectangle 343">
          <a:extLst>
            <a:ext uri="{FF2B5EF4-FFF2-40B4-BE49-F238E27FC236}">
              <a16:creationId xmlns:a16="http://schemas.microsoft.com/office/drawing/2014/main" xmlns="" id="{00000000-0008-0000-0000-000058010000}"/>
            </a:ext>
          </a:extLst>
        </xdr:cNvPr>
        <xdr:cNvSpPr/>
      </xdr:nvSpPr>
      <xdr:spPr>
        <a:xfrm>
          <a:off x="30241875" y="36023550"/>
          <a:ext cx="1066800" cy="11334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LPO Clock </a:t>
          </a:r>
          <a:r>
            <a:rPr lang="en-US" sz="1100" baseline="0">
              <a:solidFill>
                <a:schemeClr val="lt1"/>
              </a:solidFill>
              <a:effectLst/>
              <a:latin typeface="+mn-lt"/>
              <a:ea typeface="+mn-ea"/>
              <a:cs typeface="+mn-cs"/>
            </a:rPr>
            <a:t>Select</a:t>
          </a:r>
          <a:endParaRPr lang="en-US">
            <a:effectLst/>
          </a:endParaRPr>
        </a:p>
        <a:p>
          <a:pPr algn="ctr"/>
          <a:r>
            <a:rPr lang="en-US" sz="900">
              <a:solidFill>
                <a:schemeClr val="lt1"/>
              </a:solidFill>
              <a:effectLst/>
              <a:latin typeface="+mn-lt"/>
              <a:ea typeface="+mn-ea"/>
              <a:cs typeface="+mn-cs"/>
            </a:rPr>
            <a:t>SIM_LPOCLKS[LPOCLKSEL]</a:t>
          </a:r>
        </a:p>
      </xdr:txBody>
    </xdr:sp>
    <xdr:clientData/>
  </xdr:twoCellAnchor>
  <xdr:twoCellAnchor>
    <xdr:from>
      <xdr:col>46</xdr:col>
      <xdr:colOff>200025</xdr:colOff>
      <xdr:row>182</xdr:row>
      <xdr:rowOff>0</xdr:rowOff>
    </xdr:from>
    <xdr:to>
      <xdr:col>49</xdr:col>
      <xdr:colOff>293014</xdr:colOff>
      <xdr:row>182</xdr:row>
      <xdr:rowOff>0</xdr:rowOff>
    </xdr:to>
    <xdr:cxnSp macro="">
      <xdr:nvCxnSpPr>
        <xdr:cNvPr id="347" name="Straight Arrow Connector 346">
          <a:extLst>
            <a:ext uri="{FF2B5EF4-FFF2-40B4-BE49-F238E27FC236}">
              <a16:creationId xmlns:a16="http://schemas.microsoft.com/office/drawing/2014/main" xmlns="" id="{00000000-0008-0000-0000-00005B010000}"/>
            </a:ext>
          </a:extLst>
        </xdr:cNvPr>
        <xdr:cNvCxnSpPr/>
      </xdr:nvCxnSpPr>
      <xdr:spPr>
        <a:xfrm>
          <a:off x="28241625" y="36214050"/>
          <a:ext cx="1921789"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200025</xdr:colOff>
      <xdr:row>161</xdr:row>
      <xdr:rowOff>47625</xdr:rowOff>
    </xdr:from>
    <xdr:to>
      <xdr:col>46</xdr:col>
      <xdr:colOff>200025</xdr:colOff>
      <xdr:row>182</xdr:row>
      <xdr:rowOff>20293</xdr:rowOff>
    </xdr:to>
    <xdr:cxnSp macro="">
      <xdr:nvCxnSpPr>
        <xdr:cNvPr id="351" name="Straight Arrow Connector 350">
          <a:extLst>
            <a:ext uri="{FF2B5EF4-FFF2-40B4-BE49-F238E27FC236}">
              <a16:creationId xmlns:a16="http://schemas.microsoft.com/office/drawing/2014/main" xmlns="" id="{00000000-0008-0000-0000-00005F010000}"/>
            </a:ext>
          </a:extLst>
        </xdr:cNvPr>
        <xdr:cNvCxnSpPr/>
      </xdr:nvCxnSpPr>
      <xdr:spPr>
        <a:xfrm>
          <a:off x="28241625" y="32089725"/>
          <a:ext cx="0" cy="4144618"/>
        </a:xfrm>
        <a:prstGeom prst="straightConnector1">
          <a:avLst/>
        </a:prstGeom>
        <a:ln w="38100">
          <a:solidFill>
            <a:schemeClr val="accent3">
              <a:lumMod val="60000"/>
              <a:lumOff val="40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200025</xdr:colOff>
      <xdr:row>183</xdr:row>
      <xdr:rowOff>76200</xdr:rowOff>
    </xdr:from>
    <xdr:to>
      <xdr:col>29</xdr:col>
      <xdr:colOff>200025</xdr:colOff>
      <xdr:row>185</xdr:row>
      <xdr:rowOff>104775</xdr:rowOff>
    </xdr:to>
    <xdr:cxnSp macro="">
      <xdr:nvCxnSpPr>
        <xdr:cNvPr id="353" name="Straight Arrow Connector 352">
          <a:extLst>
            <a:ext uri="{FF2B5EF4-FFF2-40B4-BE49-F238E27FC236}">
              <a16:creationId xmlns:a16="http://schemas.microsoft.com/office/drawing/2014/main" xmlns="" id="{00000000-0008-0000-0000-000061010000}"/>
            </a:ext>
          </a:extLst>
        </xdr:cNvPr>
        <xdr:cNvCxnSpPr/>
      </xdr:nvCxnSpPr>
      <xdr:spPr>
        <a:xfrm>
          <a:off x="17878425" y="36480750"/>
          <a:ext cx="0" cy="409575"/>
        </a:xfrm>
        <a:prstGeom prst="straightConnector1">
          <a:avLst/>
        </a:prstGeom>
        <a:ln w="38100">
          <a:solidFill>
            <a:schemeClr val="accent5"/>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200025</xdr:colOff>
      <xdr:row>185</xdr:row>
      <xdr:rowOff>95250</xdr:rowOff>
    </xdr:from>
    <xdr:to>
      <xdr:col>35</xdr:col>
      <xdr:colOff>438978</xdr:colOff>
      <xdr:row>185</xdr:row>
      <xdr:rowOff>95250</xdr:rowOff>
    </xdr:to>
    <xdr:cxnSp macro="">
      <xdr:nvCxnSpPr>
        <xdr:cNvPr id="354" name="Straight Arrow Connector 353">
          <a:extLst>
            <a:ext uri="{FF2B5EF4-FFF2-40B4-BE49-F238E27FC236}">
              <a16:creationId xmlns:a16="http://schemas.microsoft.com/office/drawing/2014/main" xmlns="" id="{00000000-0008-0000-0000-000062010000}"/>
            </a:ext>
          </a:extLst>
        </xdr:cNvPr>
        <xdr:cNvCxnSpPr/>
      </xdr:nvCxnSpPr>
      <xdr:spPr>
        <a:xfrm>
          <a:off x="17974503" y="36795489"/>
          <a:ext cx="3916432"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149087</xdr:colOff>
      <xdr:row>185</xdr:row>
      <xdr:rowOff>9525</xdr:rowOff>
    </xdr:from>
    <xdr:to>
      <xdr:col>49</xdr:col>
      <xdr:colOff>304800</xdr:colOff>
      <xdr:row>185</xdr:row>
      <xdr:rowOff>9525</xdr:rowOff>
    </xdr:to>
    <xdr:cxnSp macro="">
      <xdr:nvCxnSpPr>
        <xdr:cNvPr id="360" name="Straight Arrow Connector 359">
          <a:extLst>
            <a:ext uri="{FF2B5EF4-FFF2-40B4-BE49-F238E27FC236}">
              <a16:creationId xmlns:a16="http://schemas.microsoft.com/office/drawing/2014/main" xmlns="" id="{00000000-0008-0000-0000-000068010000}"/>
            </a:ext>
          </a:extLst>
        </xdr:cNvPr>
        <xdr:cNvCxnSpPr/>
      </xdr:nvCxnSpPr>
      <xdr:spPr>
        <a:xfrm>
          <a:off x="22826870" y="36709764"/>
          <a:ext cx="7510669" cy="0"/>
        </a:xfrm>
        <a:prstGeom prst="straightConnector1">
          <a:avLst/>
        </a:prstGeom>
        <a:ln w="38100">
          <a:solidFill>
            <a:schemeClr val="bg1">
              <a:lumMod val="6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37</xdr:col>
      <xdr:colOff>428625</xdr:colOff>
      <xdr:row>185</xdr:row>
      <xdr:rowOff>200025</xdr:rowOff>
    </xdr:from>
    <xdr:ext cx="990600" cy="266700"/>
    <xdr:sp macro="" textlink="">
      <xdr:nvSpPr>
        <xdr:cNvPr id="362" name="TextBox 361">
          <a:extLst>
            <a:ext uri="{FF2B5EF4-FFF2-40B4-BE49-F238E27FC236}">
              <a16:creationId xmlns:a16="http://schemas.microsoft.com/office/drawing/2014/main" xmlns="" id="{00000000-0008-0000-0000-00006A010000}"/>
            </a:ext>
          </a:extLst>
        </xdr:cNvPr>
        <xdr:cNvSpPr txBox="1"/>
      </xdr:nvSpPr>
      <xdr:spPr>
        <a:xfrm>
          <a:off x="22983825" y="3699510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LPO1K_CLK</a:t>
          </a:r>
        </a:p>
      </xdr:txBody>
    </xdr:sp>
    <xdr:clientData/>
  </xdr:oneCellAnchor>
  <xdr:oneCellAnchor>
    <xdr:from>
      <xdr:col>49</xdr:col>
      <xdr:colOff>581025</xdr:colOff>
      <xdr:row>188</xdr:row>
      <xdr:rowOff>0</xdr:rowOff>
    </xdr:from>
    <xdr:ext cx="1176131" cy="604632"/>
    <xdr:sp macro="" textlink="">
      <xdr:nvSpPr>
        <xdr:cNvPr id="363" name="TextBox 362">
          <a:extLst>
            <a:ext uri="{FF2B5EF4-FFF2-40B4-BE49-F238E27FC236}">
              <a16:creationId xmlns:a16="http://schemas.microsoft.com/office/drawing/2014/main" xmlns="" id="{00000000-0008-0000-0000-00006B010000}"/>
            </a:ext>
          </a:extLst>
        </xdr:cNvPr>
        <xdr:cNvSpPr txBox="1"/>
      </xdr:nvSpPr>
      <xdr:spPr>
        <a:xfrm>
          <a:off x="30451425" y="37461825"/>
          <a:ext cx="1176131" cy="6046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LPO128K_CLK</a:t>
          </a:r>
        </a:p>
        <a:p>
          <a:r>
            <a:rPr lang="en-US" sz="800"/>
            <a:t>1 - No</a:t>
          </a:r>
          <a:r>
            <a:rPr lang="en-US" sz="800" baseline="0"/>
            <a:t> Clock</a:t>
          </a:r>
          <a:endParaRPr lang="en-US" sz="800"/>
        </a:p>
        <a:p>
          <a:r>
            <a:rPr lang="en-US" sz="800"/>
            <a:t>2</a:t>
          </a:r>
          <a:r>
            <a:rPr lang="en-US" sz="800" baseline="0"/>
            <a:t> - LPO32K_CLK</a:t>
          </a:r>
        </a:p>
        <a:p>
          <a:r>
            <a:rPr lang="en-US" sz="800" baseline="0"/>
            <a:t>3 - LPO1K_CLK</a:t>
          </a:r>
          <a:endParaRPr lang="en-US" sz="800"/>
        </a:p>
      </xdr:txBody>
    </xdr:sp>
    <xdr:clientData/>
  </xdr:oneCellAnchor>
  <xdr:twoCellAnchor>
    <xdr:from>
      <xdr:col>51</xdr:col>
      <xdr:colOff>247650</xdr:colOff>
      <xdr:row>183</xdr:row>
      <xdr:rowOff>114300</xdr:rowOff>
    </xdr:from>
    <xdr:to>
      <xdr:col>58</xdr:col>
      <xdr:colOff>552450</xdr:colOff>
      <xdr:row>183</xdr:row>
      <xdr:rowOff>114300</xdr:rowOff>
    </xdr:to>
    <xdr:cxnSp macro="">
      <xdr:nvCxnSpPr>
        <xdr:cNvPr id="365" name="Straight Arrow Connector 364">
          <a:extLst>
            <a:ext uri="{FF2B5EF4-FFF2-40B4-BE49-F238E27FC236}">
              <a16:creationId xmlns:a16="http://schemas.microsoft.com/office/drawing/2014/main" xmlns="" id="{00000000-0008-0000-0000-00006D010000}"/>
            </a:ext>
          </a:extLst>
        </xdr:cNvPr>
        <xdr:cNvCxnSpPr/>
      </xdr:nvCxnSpPr>
      <xdr:spPr>
        <a:xfrm>
          <a:off x="31337250" y="36528375"/>
          <a:ext cx="4572000" cy="0"/>
        </a:xfrm>
        <a:prstGeom prst="straightConnector1">
          <a:avLst/>
        </a:prstGeom>
        <a:ln w="38100">
          <a:solidFill>
            <a:sysClr val="windowText" lastClr="00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59</xdr:col>
      <xdr:colOff>581025</xdr:colOff>
      <xdr:row>182</xdr:row>
      <xdr:rowOff>171450</xdr:rowOff>
    </xdr:from>
    <xdr:ext cx="990600" cy="266700"/>
    <xdr:sp macro="" textlink="">
      <xdr:nvSpPr>
        <xdr:cNvPr id="367" name="TextBox 366">
          <a:extLst>
            <a:ext uri="{FF2B5EF4-FFF2-40B4-BE49-F238E27FC236}">
              <a16:creationId xmlns:a16="http://schemas.microsoft.com/office/drawing/2014/main" xmlns="" id="{00000000-0008-0000-0000-00006F010000}"/>
            </a:ext>
          </a:extLst>
        </xdr:cNvPr>
        <xdr:cNvSpPr txBox="1"/>
      </xdr:nvSpPr>
      <xdr:spPr>
        <a:xfrm>
          <a:off x="36547425" y="3638550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LPO_CLK</a:t>
          </a:r>
        </a:p>
      </xdr:txBody>
    </xdr:sp>
    <xdr:clientData/>
  </xdr:oneCellAnchor>
  <xdr:twoCellAnchor>
    <xdr:from>
      <xdr:col>51</xdr:col>
      <xdr:colOff>0</xdr:colOff>
      <xdr:row>163</xdr:row>
      <xdr:rowOff>95250</xdr:rowOff>
    </xdr:from>
    <xdr:to>
      <xdr:col>55</xdr:col>
      <xdr:colOff>323850</xdr:colOff>
      <xdr:row>163</xdr:row>
      <xdr:rowOff>95250</xdr:rowOff>
    </xdr:to>
    <xdr:cxnSp macro="">
      <xdr:nvCxnSpPr>
        <xdr:cNvPr id="368" name="Straight Arrow Connector 367">
          <a:extLst>
            <a:ext uri="{FF2B5EF4-FFF2-40B4-BE49-F238E27FC236}">
              <a16:creationId xmlns:a16="http://schemas.microsoft.com/office/drawing/2014/main" xmlns="" id="{00000000-0008-0000-0000-000070010000}"/>
            </a:ext>
          </a:extLst>
        </xdr:cNvPr>
        <xdr:cNvCxnSpPr/>
      </xdr:nvCxnSpPr>
      <xdr:spPr>
        <a:xfrm>
          <a:off x="31089600" y="32546925"/>
          <a:ext cx="2762250" cy="0"/>
        </a:xfrm>
        <a:prstGeom prst="straightConnector1">
          <a:avLst/>
        </a:prstGeom>
        <a:ln w="38100">
          <a:solidFill>
            <a:sysClr val="windowText" lastClr="00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314326</xdr:colOff>
      <xdr:row>173</xdr:row>
      <xdr:rowOff>133350</xdr:rowOff>
    </xdr:from>
    <xdr:to>
      <xdr:col>55</xdr:col>
      <xdr:colOff>314327</xdr:colOff>
      <xdr:row>183</xdr:row>
      <xdr:rowOff>95251</xdr:rowOff>
    </xdr:to>
    <xdr:cxnSp macro="">
      <xdr:nvCxnSpPr>
        <xdr:cNvPr id="370" name="Straight Arrow Connector 369">
          <a:extLst>
            <a:ext uri="{FF2B5EF4-FFF2-40B4-BE49-F238E27FC236}">
              <a16:creationId xmlns:a16="http://schemas.microsoft.com/office/drawing/2014/main" xmlns="" id="{00000000-0008-0000-0000-000072010000}"/>
            </a:ext>
          </a:extLst>
        </xdr:cNvPr>
        <xdr:cNvCxnSpPr/>
      </xdr:nvCxnSpPr>
      <xdr:spPr>
        <a:xfrm flipH="1" flipV="1">
          <a:off x="33842326" y="34547175"/>
          <a:ext cx="1" cy="1962151"/>
        </a:xfrm>
        <a:prstGeom prst="straightConnector1">
          <a:avLst/>
        </a:prstGeom>
        <a:ln w="38100">
          <a:solidFill>
            <a:sysClr val="windowText" lastClr="00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19050</xdr:colOff>
      <xdr:row>163</xdr:row>
      <xdr:rowOff>85725</xdr:rowOff>
    </xdr:from>
    <xdr:to>
      <xdr:col>51</xdr:col>
      <xdr:colOff>19051</xdr:colOff>
      <xdr:row>173</xdr:row>
      <xdr:rowOff>123825</xdr:rowOff>
    </xdr:to>
    <xdr:cxnSp macro="">
      <xdr:nvCxnSpPr>
        <xdr:cNvPr id="373" name="Straight Arrow Connector 372">
          <a:extLst>
            <a:ext uri="{FF2B5EF4-FFF2-40B4-BE49-F238E27FC236}">
              <a16:creationId xmlns:a16="http://schemas.microsoft.com/office/drawing/2014/main" xmlns="" id="{00000000-0008-0000-0000-000075010000}"/>
            </a:ext>
          </a:extLst>
        </xdr:cNvPr>
        <xdr:cNvCxnSpPr/>
      </xdr:nvCxnSpPr>
      <xdr:spPr>
        <a:xfrm flipV="1">
          <a:off x="31108650" y="32537400"/>
          <a:ext cx="1" cy="2000250"/>
        </a:xfrm>
        <a:prstGeom prst="straightConnector1">
          <a:avLst/>
        </a:prstGeom>
        <a:ln w="38100">
          <a:solidFill>
            <a:sysClr val="windowText" lastClr="00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0</xdr:colOff>
      <xdr:row>173</xdr:row>
      <xdr:rowOff>123825</xdr:rowOff>
    </xdr:from>
    <xdr:to>
      <xdr:col>55</xdr:col>
      <xdr:colOff>323850</xdr:colOff>
      <xdr:row>173</xdr:row>
      <xdr:rowOff>123825</xdr:rowOff>
    </xdr:to>
    <xdr:cxnSp macro="">
      <xdr:nvCxnSpPr>
        <xdr:cNvPr id="375" name="Straight Arrow Connector 374">
          <a:extLst>
            <a:ext uri="{FF2B5EF4-FFF2-40B4-BE49-F238E27FC236}">
              <a16:creationId xmlns:a16="http://schemas.microsoft.com/office/drawing/2014/main" xmlns="" id="{00000000-0008-0000-0000-000077010000}"/>
            </a:ext>
          </a:extLst>
        </xdr:cNvPr>
        <xdr:cNvCxnSpPr/>
      </xdr:nvCxnSpPr>
      <xdr:spPr>
        <a:xfrm>
          <a:off x="31089600" y="34537650"/>
          <a:ext cx="2762250" cy="0"/>
        </a:xfrm>
        <a:prstGeom prst="straightConnector1">
          <a:avLst/>
        </a:prstGeom>
        <a:ln w="38100">
          <a:solidFill>
            <a:sysClr val="windowText" lastClr="00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304800</xdr:colOff>
      <xdr:row>198</xdr:row>
      <xdr:rowOff>95250</xdr:rowOff>
    </xdr:from>
    <xdr:to>
      <xdr:col>45</xdr:col>
      <xdr:colOff>361950</xdr:colOff>
      <xdr:row>198</xdr:row>
      <xdr:rowOff>95250</xdr:rowOff>
    </xdr:to>
    <xdr:cxnSp macro="">
      <xdr:nvCxnSpPr>
        <xdr:cNvPr id="382" name="Straight Arrow Connector 381">
          <a:extLst>
            <a:ext uri="{FF2B5EF4-FFF2-40B4-BE49-F238E27FC236}">
              <a16:creationId xmlns:a16="http://schemas.microsoft.com/office/drawing/2014/main" xmlns="" id="{00000000-0008-0000-0000-00007E010000}"/>
            </a:ext>
          </a:extLst>
        </xdr:cNvPr>
        <xdr:cNvCxnSpPr/>
      </xdr:nvCxnSpPr>
      <xdr:spPr>
        <a:xfrm>
          <a:off x="27127200" y="39557325"/>
          <a:ext cx="666750"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523875</xdr:colOff>
      <xdr:row>194</xdr:row>
      <xdr:rowOff>47624</xdr:rowOff>
    </xdr:from>
    <xdr:to>
      <xdr:col>45</xdr:col>
      <xdr:colOff>342900</xdr:colOff>
      <xdr:row>194</xdr:row>
      <xdr:rowOff>47624</xdr:rowOff>
    </xdr:to>
    <xdr:cxnSp macro="">
      <xdr:nvCxnSpPr>
        <xdr:cNvPr id="385" name="Straight Arrow Connector 384">
          <a:extLst>
            <a:ext uri="{FF2B5EF4-FFF2-40B4-BE49-F238E27FC236}">
              <a16:creationId xmlns:a16="http://schemas.microsoft.com/office/drawing/2014/main" xmlns="" id="{00000000-0008-0000-0000-000081010000}"/>
            </a:ext>
          </a:extLst>
        </xdr:cNvPr>
        <xdr:cNvCxnSpPr/>
      </xdr:nvCxnSpPr>
      <xdr:spPr>
        <a:xfrm>
          <a:off x="27492049" y="38561754"/>
          <a:ext cx="431938" cy="0"/>
        </a:xfrm>
        <a:prstGeom prst="straightConnector1">
          <a:avLst/>
        </a:prstGeom>
        <a:ln w="38100">
          <a:solidFill>
            <a:schemeClr val="bg1">
              <a:lumMod val="6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523875</xdr:colOff>
      <xdr:row>185</xdr:row>
      <xdr:rowOff>19050</xdr:rowOff>
    </xdr:from>
    <xdr:to>
      <xdr:col>44</xdr:col>
      <xdr:colOff>523875</xdr:colOff>
      <xdr:row>194</xdr:row>
      <xdr:rowOff>66261</xdr:rowOff>
    </xdr:to>
    <xdr:cxnSp macro="">
      <xdr:nvCxnSpPr>
        <xdr:cNvPr id="387" name="Straight Arrow Connector 386">
          <a:extLst>
            <a:ext uri="{FF2B5EF4-FFF2-40B4-BE49-F238E27FC236}">
              <a16:creationId xmlns:a16="http://schemas.microsoft.com/office/drawing/2014/main" xmlns="" id="{00000000-0008-0000-0000-000083010000}"/>
            </a:ext>
          </a:extLst>
        </xdr:cNvPr>
        <xdr:cNvCxnSpPr/>
      </xdr:nvCxnSpPr>
      <xdr:spPr>
        <a:xfrm flipV="1">
          <a:off x="27492049" y="36719289"/>
          <a:ext cx="0" cy="1861102"/>
        </a:xfrm>
        <a:prstGeom prst="straightConnector1">
          <a:avLst/>
        </a:prstGeom>
        <a:ln w="38100">
          <a:solidFill>
            <a:schemeClr val="bg1">
              <a:lumMod val="6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50</xdr:col>
      <xdr:colOff>588072</xdr:colOff>
      <xdr:row>195</xdr:row>
      <xdr:rowOff>152972</xdr:rowOff>
    </xdr:from>
    <xdr:ext cx="990600" cy="266700"/>
    <xdr:sp macro="" textlink="">
      <xdr:nvSpPr>
        <xdr:cNvPr id="393" name="TextBox 392">
          <a:hlinkClick xmlns:r="http://schemas.openxmlformats.org/officeDocument/2006/relationships" r:id="rId8"/>
          <a:extLst>
            <a:ext uri="{FF2B5EF4-FFF2-40B4-BE49-F238E27FC236}">
              <a16:creationId xmlns:a16="http://schemas.microsoft.com/office/drawing/2014/main" xmlns="" id="{00000000-0008-0000-0000-000089010000}"/>
            </a:ext>
          </a:extLst>
        </xdr:cNvPr>
        <xdr:cNvSpPr txBox="1"/>
      </xdr:nvSpPr>
      <xdr:spPr>
        <a:xfrm>
          <a:off x="31233724" y="3883275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RTC_CLKOUT</a:t>
          </a:r>
        </a:p>
      </xdr:txBody>
    </xdr:sp>
    <xdr:clientData/>
  </xdr:oneCellAnchor>
  <xdr:twoCellAnchor>
    <xdr:from>
      <xdr:col>55</xdr:col>
      <xdr:colOff>536864</xdr:colOff>
      <xdr:row>40</xdr:row>
      <xdr:rowOff>121228</xdr:rowOff>
    </xdr:from>
    <xdr:to>
      <xdr:col>66</xdr:col>
      <xdr:colOff>363682</xdr:colOff>
      <xdr:row>133</xdr:row>
      <xdr:rowOff>17318</xdr:rowOff>
    </xdr:to>
    <xdr:grpSp>
      <xdr:nvGrpSpPr>
        <xdr:cNvPr id="404" name="Group 403">
          <a:extLst>
            <a:ext uri="{FF2B5EF4-FFF2-40B4-BE49-F238E27FC236}">
              <a16:creationId xmlns:a16="http://schemas.microsoft.com/office/drawing/2014/main" xmlns="" id="{00000000-0008-0000-0000-000094010000}"/>
            </a:ext>
          </a:extLst>
        </xdr:cNvPr>
        <xdr:cNvGrpSpPr/>
      </xdr:nvGrpSpPr>
      <xdr:grpSpPr>
        <a:xfrm>
          <a:off x="34110584" y="8076508"/>
          <a:ext cx="6532418" cy="17414470"/>
          <a:chOff x="33874364" y="8347364"/>
          <a:chExt cx="6494318" cy="18443863"/>
        </a:xfrm>
      </xdr:grpSpPr>
      <xdr:sp macro="" textlink="">
        <xdr:nvSpPr>
          <xdr:cNvPr id="402" name="Right Brace 401">
            <a:extLst>
              <a:ext uri="{FF2B5EF4-FFF2-40B4-BE49-F238E27FC236}">
                <a16:creationId xmlns:a16="http://schemas.microsoft.com/office/drawing/2014/main" xmlns="" id="{00000000-0008-0000-0000-000092010000}"/>
              </a:ext>
            </a:extLst>
          </xdr:cNvPr>
          <xdr:cNvSpPr/>
        </xdr:nvSpPr>
        <xdr:spPr>
          <a:xfrm>
            <a:off x="33874364" y="8347364"/>
            <a:ext cx="3896591" cy="18443863"/>
          </a:xfrm>
          <a:prstGeom prst="rightBrace">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sp macro="" textlink="">
        <xdr:nvSpPr>
          <xdr:cNvPr id="403" name="TextBox 402">
            <a:extLst>
              <a:ext uri="{FF2B5EF4-FFF2-40B4-BE49-F238E27FC236}">
                <a16:creationId xmlns:a16="http://schemas.microsoft.com/office/drawing/2014/main" xmlns="" id="{00000000-0008-0000-0000-000093010000}"/>
              </a:ext>
            </a:extLst>
          </xdr:cNvPr>
          <xdr:cNvSpPr txBox="1"/>
        </xdr:nvSpPr>
        <xdr:spPr>
          <a:xfrm>
            <a:off x="38013411" y="16590818"/>
            <a:ext cx="2355271" cy="2095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2400" b="1"/>
              <a:t>Asynchronous</a:t>
            </a:r>
          </a:p>
          <a:p>
            <a:pPr algn="l"/>
            <a:r>
              <a:rPr lang="en-US" sz="2400" b="1"/>
              <a:t>Peripheral</a:t>
            </a:r>
          </a:p>
          <a:p>
            <a:pPr algn="l"/>
            <a:r>
              <a:rPr lang="en-US" sz="2400" b="1"/>
              <a:t>Sources</a:t>
            </a:r>
          </a:p>
        </xdr:txBody>
      </xdr:sp>
    </xdr:grpSp>
    <xdr:clientData/>
  </xdr:twoCellAnchor>
  <xdr:twoCellAnchor>
    <xdr:from>
      <xdr:col>45</xdr:col>
      <xdr:colOff>400050</xdr:colOff>
      <xdr:row>193</xdr:row>
      <xdr:rowOff>140805</xdr:rowOff>
    </xdr:from>
    <xdr:to>
      <xdr:col>47</xdr:col>
      <xdr:colOff>186690</xdr:colOff>
      <xdr:row>198</xdr:row>
      <xdr:rowOff>166878</xdr:rowOff>
    </xdr:to>
    <xdr:sp macro="" textlink="">
      <xdr:nvSpPr>
        <xdr:cNvPr id="234" name="Rectangle 233">
          <a:hlinkClick xmlns:r="http://schemas.openxmlformats.org/officeDocument/2006/relationships" r:id="rId9"/>
          <a:extLst>
            <a:ext uri="{FF2B5EF4-FFF2-40B4-BE49-F238E27FC236}">
              <a16:creationId xmlns:a16="http://schemas.microsoft.com/office/drawing/2014/main" xmlns="" id="{00000000-0008-0000-0000-0000EA000000}"/>
            </a:ext>
          </a:extLst>
        </xdr:cNvPr>
        <xdr:cNvSpPr/>
      </xdr:nvSpPr>
      <xdr:spPr>
        <a:xfrm>
          <a:off x="27981137" y="38439588"/>
          <a:ext cx="1012466" cy="10199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RTC</a:t>
          </a:r>
        </a:p>
        <a:p>
          <a:pPr algn="ctr"/>
          <a:r>
            <a:rPr lang="en-US" sz="900">
              <a:effectLst/>
            </a:rPr>
            <a:t>Click</a:t>
          </a:r>
          <a:r>
            <a:rPr lang="en-US" sz="900" baseline="0">
              <a:effectLst/>
            </a:rPr>
            <a:t> me for more info</a:t>
          </a:r>
          <a:endParaRPr lang="en-US" sz="900">
            <a:effectLst/>
          </a:endParaRPr>
        </a:p>
      </xdr:txBody>
    </xdr:sp>
    <xdr:clientData/>
  </xdr:twoCellAnchor>
  <xdr:oneCellAnchor>
    <xdr:from>
      <xdr:col>33</xdr:col>
      <xdr:colOff>333375</xdr:colOff>
      <xdr:row>15</xdr:row>
      <xdr:rowOff>133350</xdr:rowOff>
    </xdr:from>
    <xdr:ext cx="847725" cy="266700"/>
    <xdr:sp macro="" textlink="">
      <xdr:nvSpPr>
        <xdr:cNvPr id="232" name="TextBox 231">
          <a:extLst>
            <a:ext uri="{FF2B5EF4-FFF2-40B4-BE49-F238E27FC236}">
              <a16:creationId xmlns:a16="http://schemas.microsoft.com/office/drawing/2014/main" xmlns="" id="{00000000-0008-0000-0000-0000E8000000}"/>
            </a:ext>
          </a:extLst>
        </xdr:cNvPr>
        <xdr:cNvSpPr txBox="1"/>
      </xdr:nvSpPr>
      <xdr:spPr>
        <a:xfrm>
          <a:off x="20450175" y="32766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FIRC_CLK</a:t>
          </a:r>
        </a:p>
      </xdr:txBody>
    </xdr:sp>
    <xdr:clientData/>
  </xdr:oneCellAnchor>
  <xdr:oneCellAnchor>
    <xdr:from>
      <xdr:col>33</xdr:col>
      <xdr:colOff>333375</xdr:colOff>
      <xdr:row>17</xdr:row>
      <xdr:rowOff>114300</xdr:rowOff>
    </xdr:from>
    <xdr:ext cx="847725" cy="266700"/>
    <xdr:sp macro="" textlink="">
      <xdr:nvSpPr>
        <xdr:cNvPr id="233" name="TextBox 232">
          <a:extLst>
            <a:ext uri="{FF2B5EF4-FFF2-40B4-BE49-F238E27FC236}">
              <a16:creationId xmlns:a16="http://schemas.microsoft.com/office/drawing/2014/main" xmlns="" id="{00000000-0008-0000-0000-0000E9000000}"/>
            </a:ext>
          </a:extLst>
        </xdr:cNvPr>
        <xdr:cNvSpPr txBox="1"/>
      </xdr:nvSpPr>
      <xdr:spPr>
        <a:xfrm>
          <a:off x="20450175" y="36766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SIRC_CLK</a:t>
          </a:r>
        </a:p>
      </xdr:txBody>
    </xdr:sp>
    <xdr:clientData/>
  </xdr:oneCellAnchor>
  <xdr:oneCellAnchor>
    <xdr:from>
      <xdr:col>33</xdr:col>
      <xdr:colOff>333375</xdr:colOff>
      <xdr:row>20</xdr:row>
      <xdr:rowOff>0</xdr:rowOff>
    </xdr:from>
    <xdr:ext cx="847725" cy="266700"/>
    <xdr:sp macro="" textlink="">
      <xdr:nvSpPr>
        <xdr:cNvPr id="239" name="TextBox 238">
          <a:extLst>
            <a:ext uri="{FF2B5EF4-FFF2-40B4-BE49-F238E27FC236}">
              <a16:creationId xmlns:a16="http://schemas.microsoft.com/office/drawing/2014/main" xmlns="" id="{00000000-0008-0000-0000-0000EF000000}"/>
            </a:ext>
          </a:extLst>
        </xdr:cNvPr>
        <xdr:cNvSpPr txBox="1"/>
      </xdr:nvSpPr>
      <xdr:spPr>
        <a:xfrm>
          <a:off x="20450175" y="41910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SOSC_CLK</a:t>
          </a:r>
        </a:p>
      </xdr:txBody>
    </xdr:sp>
    <xdr:clientData/>
  </xdr:oneCellAnchor>
  <xdr:twoCellAnchor>
    <xdr:from>
      <xdr:col>52</xdr:col>
      <xdr:colOff>361950</xdr:colOff>
      <xdr:row>23</xdr:row>
      <xdr:rowOff>123827</xdr:rowOff>
    </xdr:from>
    <xdr:to>
      <xdr:col>52</xdr:col>
      <xdr:colOff>361950</xdr:colOff>
      <xdr:row>27</xdr:row>
      <xdr:rowOff>161925</xdr:rowOff>
    </xdr:to>
    <xdr:cxnSp macro="">
      <xdr:nvCxnSpPr>
        <xdr:cNvPr id="240" name="Straight Arrow Connector 239">
          <a:extLst>
            <a:ext uri="{FF2B5EF4-FFF2-40B4-BE49-F238E27FC236}">
              <a16:creationId xmlns:a16="http://schemas.microsoft.com/office/drawing/2014/main" xmlns="" id="{00000000-0008-0000-0000-0000F0000000}"/>
            </a:ext>
          </a:extLst>
        </xdr:cNvPr>
        <xdr:cNvCxnSpPr/>
      </xdr:nvCxnSpPr>
      <xdr:spPr>
        <a:xfrm>
          <a:off x="32061150" y="4905377"/>
          <a:ext cx="0" cy="876298"/>
        </a:xfrm>
        <a:prstGeom prst="straightConnector1">
          <a:avLst/>
        </a:prstGeom>
        <a:ln w="19050">
          <a:solidFill>
            <a:schemeClr val="accent2">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476250</xdr:colOff>
      <xdr:row>27</xdr:row>
      <xdr:rowOff>152401</xdr:rowOff>
    </xdr:from>
    <xdr:to>
      <xdr:col>52</xdr:col>
      <xdr:colOff>361950</xdr:colOff>
      <xdr:row>27</xdr:row>
      <xdr:rowOff>152401</xdr:rowOff>
    </xdr:to>
    <xdr:cxnSp macro="">
      <xdr:nvCxnSpPr>
        <xdr:cNvPr id="241" name="Straight Arrow Connector 240">
          <a:extLst>
            <a:ext uri="{FF2B5EF4-FFF2-40B4-BE49-F238E27FC236}">
              <a16:creationId xmlns:a16="http://schemas.microsoft.com/office/drawing/2014/main" xmlns="" id="{00000000-0008-0000-0000-0000F1000000}"/>
            </a:ext>
          </a:extLst>
        </xdr:cNvPr>
        <xdr:cNvCxnSpPr/>
      </xdr:nvCxnSpPr>
      <xdr:spPr>
        <a:xfrm>
          <a:off x="27908250" y="5772151"/>
          <a:ext cx="4152900" cy="0"/>
        </a:xfrm>
        <a:prstGeom prst="straightConnector1">
          <a:avLst/>
        </a:prstGeom>
        <a:ln w="19050">
          <a:solidFill>
            <a:schemeClr val="accent2">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485775</xdr:colOff>
      <xdr:row>27</xdr:row>
      <xdr:rowOff>152400</xdr:rowOff>
    </xdr:from>
    <xdr:to>
      <xdr:col>45</xdr:col>
      <xdr:colOff>485775</xdr:colOff>
      <xdr:row>153</xdr:row>
      <xdr:rowOff>66675</xdr:rowOff>
    </xdr:to>
    <xdr:cxnSp macro="">
      <xdr:nvCxnSpPr>
        <xdr:cNvPr id="242" name="Straight Arrow Connector 241">
          <a:extLst>
            <a:ext uri="{FF2B5EF4-FFF2-40B4-BE49-F238E27FC236}">
              <a16:creationId xmlns:a16="http://schemas.microsoft.com/office/drawing/2014/main" xmlns="" id="{00000000-0008-0000-0000-0000F2000000}"/>
            </a:ext>
          </a:extLst>
        </xdr:cNvPr>
        <xdr:cNvCxnSpPr/>
      </xdr:nvCxnSpPr>
      <xdr:spPr>
        <a:xfrm>
          <a:off x="27917775" y="5772150"/>
          <a:ext cx="0" cy="24822150"/>
        </a:xfrm>
        <a:prstGeom prst="straightConnector1">
          <a:avLst/>
        </a:prstGeom>
        <a:ln w="19050">
          <a:solidFill>
            <a:schemeClr val="accent2">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495300</xdr:colOff>
      <xdr:row>153</xdr:row>
      <xdr:rowOff>57152</xdr:rowOff>
    </xdr:from>
    <xdr:to>
      <xdr:col>55</xdr:col>
      <xdr:colOff>285750</xdr:colOff>
      <xdr:row>153</xdr:row>
      <xdr:rowOff>57153</xdr:rowOff>
    </xdr:to>
    <xdr:cxnSp macro="">
      <xdr:nvCxnSpPr>
        <xdr:cNvPr id="247" name="Straight Arrow Connector 246">
          <a:extLst>
            <a:ext uri="{FF2B5EF4-FFF2-40B4-BE49-F238E27FC236}">
              <a16:creationId xmlns:a16="http://schemas.microsoft.com/office/drawing/2014/main" xmlns="" id="{00000000-0008-0000-0000-0000F7000000}"/>
            </a:ext>
          </a:extLst>
        </xdr:cNvPr>
        <xdr:cNvCxnSpPr/>
      </xdr:nvCxnSpPr>
      <xdr:spPr>
        <a:xfrm flipV="1">
          <a:off x="27927300" y="30584777"/>
          <a:ext cx="5886450" cy="1"/>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463825</xdr:colOff>
      <xdr:row>183</xdr:row>
      <xdr:rowOff>157368</xdr:rowOff>
    </xdr:from>
    <xdr:to>
      <xdr:col>37</xdr:col>
      <xdr:colOff>140804</xdr:colOff>
      <xdr:row>187</xdr:row>
      <xdr:rowOff>198782</xdr:rowOff>
    </xdr:to>
    <xdr:sp macro="" textlink="">
      <xdr:nvSpPr>
        <xdr:cNvPr id="253" name="Rectangle 252">
          <a:extLst>
            <a:ext uri="{FF2B5EF4-FFF2-40B4-BE49-F238E27FC236}">
              <a16:creationId xmlns:a16="http://schemas.microsoft.com/office/drawing/2014/main" xmlns="" id="{00000000-0008-0000-0000-0000FD000000}"/>
            </a:ext>
          </a:extLst>
        </xdr:cNvPr>
        <xdr:cNvSpPr/>
      </xdr:nvSpPr>
      <xdr:spPr>
        <a:xfrm>
          <a:off x="21915782" y="36443477"/>
          <a:ext cx="902805" cy="869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LPO1K_CLK Enable</a:t>
          </a:r>
          <a:endParaRPr lang="en-US">
            <a:effectLst/>
          </a:endParaRPr>
        </a:p>
        <a:p>
          <a:pPr algn="ctr"/>
          <a:r>
            <a:rPr lang="en-US" sz="900">
              <a:solidFill>
                <a:schemeClr val="lt1"/>
              </a:solidFill>
              <a:effectLst/>
              <a:latin typeface="+mn-lt"/>
              <a:ea typeface="+mn-ea"/>
              <a:cs typeface="+mn-cs"/>
            </a:rPr>
            <a:t>SIM_LPOCLKS[LPO1KCLKEN]</a:t>
          </a:r>
        </a:p>
      </xdr:txBody>
    </xdr:sp>
    <xdr:clientData/>
  </xdr:twoCellAnchor>
  <xdr:oneCellAnchor>
    <xdr:from>
      <xdr:col>35</xdr:col>
      <xdr:colOff>571500</xdr:colOff>
      <xdr:row>189</xdr:row>
      <xdr:rowOff>8283</xdr:rowOff>
    </xdr:from>
    <xdr:ext cx="1176131" cy="604632"/>
    <xdr:sp macro="" textlink="">
      <xdr:nvSpPr>
        <xdr:cNvPr id="256" name="TextBox 255">
          <a:extLst>
            <a:ext uri="{FF2B5EF4-FFF2-40B4-BE49-F238E27FC236}">
              <a16:creationId xmlns:a16="http://schemas.microsoft.com/office/drawing/2014/main" xmlns="" id="{00000000-0008-0000-0000-000000010000}"/>
            </a:ext>
          </a:extLst>
        </xdr:cNvPr>
        <xdr:cNvSpPr txBox="1"/>
      </xdr:nvSpPr>
      <xdr:spPr>
        <a:xfrm>
          <a:off x="22023457" y="37536783"/>
          <a:ext cx="1176131" cy="6046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LPO1K_CLK Disabled</a:t>
          </a:r>
        </a:p>
        <a:p>
          <a:r>
            <a:rPr lang="en-US" sz="800"/>
            <a:t>1 - LPO1K_CLK</a:t>
          </a:r>
          <a:r>
            <a:rPr lang="en-US" sz="800" baseline="0"/>
            <a:t> Enabled</a:t>
          </a:r>
          <a:endParaRPr lang="en-US" sz="800"/>
        </a:p>
      </xdr:txBody>
    </xdr:sp>
    <xdr:clientData/>
  </xdr:oneCellAnchor>
  <xdr:twoCellAnchor>
    <xdr:from>
      <xdr:col>15</xdr:col>
      <xdr:colOff>438978</xdr:colOff>
      <xdr:row>169</xdr:row>
      <xdr:rowOff>82826</xdr:rowOff>
    </xdr:from>
    <xdr:to>
      <xdr:col>17</xdr:col>
      <xdr:colOff>115957</xdr:colOff>
      <xdr:row>173</xdr:row>
      <xdr:rowOff>182218</xdr:rowOff>
    </xdr:to>
    <xdr:sp macro="" textlink="">
      <xdr:nvSpPr>
        <xdr:cNvPr id="258" name="Rectangle 257">
          <a:extLst>
            <a:ext uri="{FF2B5EF4-FFF2-40B4-BE49-F238E27FC236}">
              <a16:creationId xmlns:a16="http://schemas.microsoft.com/office/drawing/2014/main" xmlns="" id="{00000000-0008-0000-0000-000002010000}"/>
            </a:ext>
          </a:extLst>
        </xdr:cNvPr>
        <xdr:cNvSpPr/>
      </xdr:nvSpPr>
      <xdr:spPr>
        <a:xfrm>
          <a:off x="9632674" y="33610826"/>
          <a:ext cx="902805" cy="869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LPO32K_CLK Enable</a:t>
          </a:r>
          <a:endParaRPr lang="en-US">
            <a:effectLst/>
          </a:endParaRPr>
        </a:p>
        <a:p>
          <a:pPr algn="ctr"/>
          <a:r>
            <a:rPr lang="en-US" sz="900">
              <a:solidFill>
                <a:schemeClr val="lt1"/>
              </a:solidFill>
              <a:effectLst/>
              <a:latin typeface="+mn-lt"/>
              <a:ea typeface="+mn-ea"/>
              <a:cs typeface="+mn-cs"/>
            </a:rPr>
            <a:t>SIM_LPOCLKS[LPO32KCLKEN]</a:t>
          </a:r>
        </a:p>
      </xdr:txBody>
    </xdr:sp>
    <xdr:clientData/>
  </xdr:twoCellAnchor>
  <xdr:twoCellAnchor>
    <xdr:from>
      <xdr:col>17</xdr:col>
      <xdr:colOff>438978</xdr:colOff>
      <xdr:row>172</xdr:row>
      <xdr:rowOff>24848</xdr:rowOff>
    </xdr:from>
    <xdr:to>
      <xdr:col>17</xdr:col>
      <xdr:colOff>438978</xdr:colOff>
      <xdr:row>175</xdr:row>
      <xdr:rowOff>52595</xdr:rowOff>
    </xdr:to>
    <xdr:cxnSp macro="">
      <xdr:nvCxnSpPr>
        <xdr:cNvPr id="261" name="Straight Arrow Connector 260">
          <a:extLst>
            <a:ext uri="{FF2B5EF4-FFF2-40B4-BE49-F238E27FC236}">
              <a16:creationId xmlns:a16="http://schemas.microsoft.com/office/drawing/2014/main" xmlns="" id="{00000000-0008-0000-0000-000005010000}"/>
            </a:ext>
          </a:extLst>
        </xdr:cNvPr>
        <xdr:cNvCxnSpPr/>
      </xdr:nvCxnSpPr>
      <xdr:spPr>
        <a:xfrm>
          <a:off x="10858500" y="34124348"/>
          <a:ext cx="0" cy="640660"/>
        </a:xfrm>
        <a:prstGeom prst="straightConnector1">
          <a:avLst/>
        </a:prstGeom>
        <a:ln w="38100">
          <a:solidFill>
            <a:schemeClr val="accent5"/>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124239</xdr:colOff>
      <xdr:row>172</xdr:row>
      <xdr:rowOff>33129</xdr:rowOff>
    </xdr:from>
    <xdr:to>
      <xdr:col>17</xdr:col>
      <xdr:colOff>460514</xdr:colOff>
      <xdr:row>172</xdr:row>
      <xdr:rowOff>33129</xdr:rowOff>
    </xdr:to>
    <xdr:cxnSp macro="">
      <xdr:nvCxnSpPr>
        <xdr:cNvPr id="262" name="Straight Arrow Connector 261">
          <a:extLst>
            <a:ext uri="{FF2B5EF4-FFF2-40B4-BE49-F238E27FC236}">
              <a16:creationId xmlns:a16="http://schemas.microsoft.com/office/drawing/2014/main" xmlns="" id="{00000000-0008-0000-0000-000006010000}"/>
            </a:ext>
          </a:extLst>
        </xdr:cNvPr>
        <xdr:cNvCxnSpPr/>
      </xdr:nvCxnSpPr>
      <xdr:spPr>
        <a:xfrm>
          <a:off x="10543761" y="34132629"/>
          <a:ext cx="336275" cy="0"/>
        </a:xfrm>
        <a:prstGeom prst="straightConnector1">
          <a:avLst/>
        </a:prstGeom>
        <a:ln w="38100">
          <a:solidFill>
            <a:schemeClr val="accent5"/>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554934</xdr:colOff>
      <xdr:row>175</xdr:row>
      <xdr:rowOff>0</xdr:rowOff>
    </xdr:from>
    <xdr:ext cx="1424608" cy="604632"/>
    <xdr:sp macro="" textlink="">
      <xdr:nvSpPr>
        <xdr:cNvPr id="266" name="TextBox 265">
          <a:extLst>
            <a:ext uri="{FF2B5EF4-FFF2-40B4-BE49-F238E27FC236}">
              <a16:creationId xmlns:a16="http://schemas.microsoft.com/office/drawing/2014/main" xmlns="" id="{00000000-0008-0000-0000-00000A010000}"/>
            </a:ext>
          </a:extLst>
        </xdr:cNvPr>
        <xdr:cNvSpPr txBox="1"/>
      </xdr:nvSpPr>
      <xdr:spPr>
        <a:xfrm>
          <a:off x="9748630" y="34712413"/>
          <a:ext cx="1424608" cy="6046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LPO32K_CLK Disabled</a:t>
          </a:r>
        </a:p>
        <a:p>
          <a:r>
            <a:rPr lang="en-US" sz="800"/>
            <a:t>1 - LPO32K_CLK</a:t>
          </a:r>
          <a:r>
            <a:rPr lang="en-US" sz="800" baseline="0"/>
            <a:t> Enabled</a:t>
          </a:r>
          <a:endParaRPr lang="en-US" sz="800"/>
        </a:p>
      </xdr:txBody>
    </xdr:sp>
    <xdr:clientData/>
  </xdr:oneCellAnchor>
  <xdr:twoCellAnchor>
    <xdr:from>
      <xdr:col>63</xdr:col>
      <xdr:colOff>395653</xdr:colOff>
      <xdr:row>156</xdr:row>
      <xdr:rowOff>29308</xdr:rowOff>
    </xdr:from>
    <xdr:to>
      <xdr:col>65</xdr:col>
      <xdr:colOff>182294</xdr:colOff>
      <xdr:row>161</xdr:row>
      <xdr:rowOff>177136</xdr:rowOff>
    </xdr:to>
    <xdr:sp macro="" textlink="">
      <xdr:nvSpPr>
        <xdr:cNvPr id="269" name="Rectangle 268">
          <a:extLst>
            <a:ext uri="{FF2B5EF4-FFF2-40B4-BE49-F238E27FC236}">
              <a16:creationId xmlns:a16="http://schemas.microsoft.com/office/drawing/2014/main" xmlns="" id="{00000000-0008-0000-0000-00000D010000}"/>
            </a:ext>
          </a:extLst>
        </xdr:cNvPr>
        <xdr:cNvSpPr/>
      </xdr:nvSpPr>
      <xdr:spPr>
        <a:xfrm>
          <a:off x="38708134" y="31146750"/>
          <a:ext cx="1002910" cy="113696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CLKOUT Enable</a:t>
          </a:r>
          <a:endParaRPr lang="en-US">
            <a:effectLst/>
          </a:endParaRPr>
        </a:p>
        <a:p>
          <a:pPr algn="ctr"/>
          <a:r>
            <a:rPr lang="en-US" sz="900">
              <a:solidFill>
                <a:schemeClr val="lt1"/>
              </a:solidFill>
              <a:effectLst/>
              <a:latin typeface="+mn-lt"/>
              <a:ea typeface="+mn-ea"/>
              <a:cs typeface="+mn-cs"/>
            </a:rPr>
            <a:t>SIM_CHIPCTL[CLKOUTEN]</a:t>
          </a:r>
        </a:p>
      </xdr:txBody>
    </xdr:sp>
    <xdr:clientData/>
  </xdr:twoCellAnchor>
  <xdr:twoCellAnchor>
    <xdr:from>
      <xdr:col>65</xdr:col>
      <xdr:colOff>190500</xdr:colOff>
      <xdr:row>158</xdr:row>
      <xdr:rowOff>131885</xdr:rowOff>
    </xdr:from>
    <xdr:to>
      <xdr:col>65</xdr:col>
      <xdr:colOff>600808</xdr:colOff>
      <xdr:row>158</xdr:row>
      <xdr:rowOff>131885</xdr:rowOff>
    </xdr:to>
    <xdr:cxnSp macro="">
      <xdr:nvCxnSpPr>
        <xdr:cNvPr id="270" name="Straight Arrow Connector 269">
          <a:extLst>
            <a:ext uri="{FF2B5EF4-FFF2-40B4-BE49-F238E27FC236}">
              <a16:creationId xmlns:a16="http://schemas.microsoft.com/office/drawing/2014/main" xmlns="" id="{00000000-0008-0000-0000-00000E010000}"/>
            </a:ext>
          </a:extLst>
        </xdr:cNvPr>
        <xdr:cNvCxnSpPr/>
      </xdr:nvCxnSpPr>
      <xdr:spPr>
        <a:xfrm>
          <a:off x="39719250" y="31637654"/>
          <a:ext cx="41030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63</xdr:col>
      <xdr:colOff>534865</xdr:colOff>
      <xdr:row>163</xdr:row>
      <xdr:rowOff>0</xdr:rowOff>
    </xdr:from>
    <xdr:ext cx="1424608" cy="604632"/>
    <xdr:sp macro="" textlink="">
      <xdr:nvSpPr>
        <xdr:cNvPr id="276" name="TextBox 275">
          <a:extLst>
            <a:ext uri="{FF2B5EF4-FFF2-40B4-BE49-F238E27FC236}">
              <a16:creationId xmlns:a16="http://schemas.microsoft.com/office/drawing/2014/main" xmlns="" id="{00000000-0008-0000-0000-000014010000}"/>
            </a:ext>
          </a:extLst>
        </xdr:cNvPr>
        <xdr:cNvSpPr txBox="1"/>
      </xdr:nvSpPr>
      <xdr:spPr>
        <a:xfrm>
          <a:off x="38847346" y="32516885"/>
          <a:ext cx="1424608" cy="6046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CLKOUT Disabled</a:t>
          </a:r>
        </a:p>
        <a:p>
          <a:r>
            <a:rPr lang="en-US" sz="800"/>
            <a:t>1 - CLKOUT Enabled</a:t>
          </a:r>
        </a:p>
      </xdr:txBody>
    </xdr:sp>
    <xdr:clientData/>
  </xdr:oneCellAnchor>
  <xdr:twoCellAnchor>
    <xdr:from>
      <xdr:col>47</xdr:col>
      <xdr:colOff>200058</xdr:colOff>
      <xdr:row>196</xdr:row>
      <xdr:rowOff>115957</xdr:rowOff>
    </xdr:from>
    <xdr:to>
      <xdr:col>50</xdr:col>
      <xdr:colOff>8283</xdr:colOff>
      <xdr:row>196</xdr:row>
      <xdr:rowOff>115957</xdr:rowOff>
    </xdr:to>
    <xdr:cxnSp macro="">
      <xdr:nvCxnSpPr>
        <xdr:cNvPr id="272" name="Straight Arrow Connector 271">
          <a:extLst>
            <a:ext uri="{FF2B5EF4-FFF2-40B4-BE49-F238E27FC236}">
              <a16:creationId xmlns:a16="http://schemas.microsoft.com/office/drawing/2014/main" xmlns="" id="{00000000-0008-0000-0000-000010010000}"/>
            </a:ext>
          </a:extLst>
        </xdr:cNvPr>
        <xdr:cNvCxnSpPr/>
      </xdr:nvCxnSpPr>
      <xdr:spPr>
        <a:xfrm>
          <a:off x="29006971" y="38994522"/>
          <a:ext cx="164696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593481</xdr:colOff>
      <xdr:row>10</xdr:row>
      <xdr:rowOff>102577</xdr:rowOff>
    </xdr:from>
    <xdr:to>
      <xdr:col>42</xdr:col>
      <xdr:colOff>593481</xdr:colOff>
      <xdr:row>15</xdr:row>
      <xdr:rowOff>121628</xdr:rowOff>
    </xdr:to>
    <xdr:cxnSp macro="">
      <xdr:nvCxnSpPr>
        <xdr:cNvPr id="235" name="Straight Arrow Connector 234">
          <a:extLst>
            <a:ext uri="{FF2B5EF4-FFF2-40B4-BE49-F238E27FC236}">
              <a16:creationId xmlns:a16="http://schemas.microsoft.com/office/drawing/2014/main" xmlns="" id="{00000000-0008-0000-0000-0000EB000000}"/>
            </a:ext>
          </a:extLst>
        </xdr:cNvPr>
        <xdr:cNvCxnSpPr/>
      </xdr:nvCxnSpPr>
      <xdr:spPr>
        <a:xfrm>
          <a:off x="26135135" y="2278673"/>
          <a:ext cx="0" cy="105214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586154</xdr:colOff>
      <xdr:row>10</xdr:row>
      <xdr:rowOff>95251</xdr:rowOff>
    </xdr:from>
    <xdr:to>
      <xdr:col>52</xdr:col>
      <xdr:colOff>578827</xdr:colOff>
      <xdr:row>10</xdr:row>
      <xdr:rowOff>95252</xdr:rowOff>
    </xdr:to>
    <xdr:cxnSp macro="">
      <xdr:nvCxnSpPr>
        <xdr:cNvPr id="237" name="Straight Arrow Connector 236">
          <a:extLst>
            <a:ext uri="{FF2B5EF4-FFF2-40B4-BE49-F238E27FC236}">
              <a16:creationId xmlns:a16="http://schemas.microsoft.com/office/drawing/2014/main" xmlns="" id="{00000000-0008-0000-0000-0000ED000000}"/>
            </a:ext>
          </a:extLst>
        </xdr:cNvPr>
        <xdr:cNvCxnSpPr/>
      </xdr:nvCxnSpPr>
      <xdr:spPr>
        <a:xfrm flipV="1">
          <a:off x="26127808" y="2271347"/>
          <a:ext cx="6074019"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53</xdr:col>
      <xdr:colOff>586152</xdr:colOff>
      <xdr:row>9</xdr:row>
      <xdr:rowOff>168519</xdr:rowOff>
    </xdr:from>
    <xdr:ext cx="1897675" cy="266700"/>
    <xdr:sp macro="" textlink="">
      <xdr:nvSpPr>
        <xdr:cNvPr id="243" name="TextBox 242">
          <a:extLst>
            <a:ext uri="{FF2B5EF4-FFF2-40B4-BE49-F238E27FC236}">
              <a16:creationId xmlns:a16="http://schemas.microsoft.com/office/drawing/2014/main" xmlns="" id="{00000000-0008-0000-0000-0000F3000000}"/>
            </a:ext>
          </a:extLst>
        </xdr:cNvPr>
        <xdr:cNvSpPr txBox="1"/>
      </xdr:nvSpPr>
      <xdr:spPr>
        <a:xfrm>
          <a:off x="32817287" y="2146788"/>
          <a:ext cx="189767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PREDIV_SYS_CLK (QSPI only)</a:t>
          </a:r>
        </a:p>
      </xdr:txBody>
    </xdr:sp>
    <xdr:clientData/>
  </xdr:oneCellAnchor>
  <xdr:oneCellAnchor>
    <xdr:from>
      <xdr:col>60</xdr:col>
      <xdr:colOff>578827</xdr:colOff>
      <xdr:row>144</xdr:row>
      <xdr:rowOff>168519</xdr:rowOff>
    </xdr:from>
    <xdr:ext cx="1948543" cy="266700"/>
    <xdr:sp macro="" textlink="">
      <xdr:nvSpPr>
        <xdr:cNvPr id="245" name="TextBox 244">
          <a:hlinkClick xmlns:r="http://schemas.openxmlformats.org/officeDocument/2006/relationships" r:id="rId10"/>
          <a:extLst>
            <a:ext uri="{FF2B5EF4-FFF2-40B4-BE49-F238E27FC236}">
              <a16:creationId xmlns:a16="http://schemas.microsoft.com/office/drawing/2014/main" xmlns="" id="{00000000-0008-0000-0000-0000F5000000}"/>
            </a:ext>
          </a:extLst>
        </xdr:cNvPr>
        <xdr:cNvSpPr txBox="1"/>
      </xdr:nvSpPr>
      <xdr:spPr>
        <a:xfrm>
          <a:off x="37066904" y="28999961"/>
          <a:ext cx="194854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QSPI_SFIF_CLK_HYP_PREMUX</a:t>
          </a:r>
        </a:p>
      </xdr:txBody>
    </xdr:sp>
    <xdr:clientData/>
  </xdr:oneCellAnchor>
  <xdr:twoCellAnchor>
    <xdr:from>
      <xdr:col>57</xdr:col>
      <xdr:colOff>205154</xdr:colOff>
      <xdr:row>145</xdr:row>
      <xdr:rowOff>109905</xdr:rowOff>
    </xdr:from>
    <xdr:to>
      <xdr:col>59</xdr:col>
      <xdr:colOff>600808</xdr:colOff>
      <xdr:row>145</xdr:row>
      <xdr:rowOff>109905</xdr:rowOff>
    </xdr:to>
    <xdr:cxnSp macro="">
      <xdr:nvCxnSpPr>
        <xdr:cNvPr id="246" name="Straight Arrow Connector 245">
          <a:extLst>
            <a:ext uri="{FF2B5EF4-FFF2-40B4-BE49-F238E27FC236}">
              <a16:creationId xmlns:a16="http://schemas.microsoft.com/office/drawing/2014/main" xmlns="" id="{00000000-0008-0000-0000-0000F6000000}"/>
            </a:ext>
          </a:extLst>
        </xdr:cNvPr>
        <xdr:cNvCxnSpPr/>
      </xdr:nvCxnSpPr>
      <xdr:spPr>
        <a:xfrm flipH="1">
          <a:off x="34868827" y="29153828"/>
          <a:ext cx="1611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60</xdr:col>
      <xdr:colOff>556847</xdr:colOff>
      <xdr:row>146</xdr:row>
      <xdr:rowOff>175846</xdr:rowOff>
    </xdr:from>
    <xdr:ext cx="1948543" cy="266700"/>
    <xdr:sp macro="" textlink="">
      <xdr:nvSpPr>
        <xdr:cNvPr id="249" name="TextBox 248">
          <a:hlinkClick xmlns:r="http://schemas.openxmlformats.org/officeDocument/2006/relationships" r:id="rId11"/>
          <a:extLst>
            <a:ext uri="{FF2B5EF4-FFF2-40B4-BE49-F238E27FC236}">
              <a16:creationId xmlns:a16="http://schemas.microsoft.com/office/drawing/2014/main" xmlns="" id="{00000000-0008-0000-0000-0000F9000000}"/>
            </a:ext>
          </a:extLst>
        </xdr:cNvPr>
        <xdr:cNvSpPr txBox="1"/>
      </xdr:nvSpPr>
      <xdr:spPr>
        <a:xfrm>
          <a:off x="37044924" y="29432250"/>
          <a:ext cx="194854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QSPI Module Clock</a:t>
          </a:r>
        </a:p>
      </xdr:txBody>
    </xdr:sp>
    <xdr:clientData/>
  </xdr:oneCellAnchor>
  <xdr:twoCellAnchor>
    <xdr:from>
      <xdr:col>57</xdr:col>
      <xdr:colOff>219808</xdr:colOff>
      <xdr:row>147</xdr:row>
      <xdr:rowOff>117231</xdr:rowOff>
    </xdr:from>
    <xdr:to>
      <xdr:col>60</xdr:col>
      <xdr:colOff>7327</xdr:colOff>
      <xdr:row>147</xdr:row>
      <xdr:rowOff>117231</xdr:rowOff>
    </xdr:to>
    <xdr:cxnSp macro="">
      <xdr:nvCxnSpPr>
        <xdr:cNvPr id="251" name="Straight Arrow Connector 250">
          <a:extLst>
            <a:ext uri="{FF2B5EF4-FFF2-40B4-BE49-F238E27FC236}">
              <a16:creationId xmlns:a16="http://schemas.microsoft.com/office/drawing/2014/main" xmlns="" id="{00000000-0008-0000-0000-0000FB000000}"/>
            </a:ext>
          </a:extLst>
        </xdr:cNvPr>
        <xdr:cNvCxnSpPr/>
      </xdr:nvCxnSpPr>
      <xdr:spPr>
        <a:xfrm flipH="1">
          <a:off x="34883481" y="29586116"/>
          <a:ext cx="1611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60</xdr:col>
      <xdr:colOff>555381</xdr:colOff>
      <xdr:row>148</xdr:row>
      <xdr:rowOff>181708</xdr:rowOff>
    </xdr:from>
    <xdr:ext cx="1948543" cy="266700"/>
    <xdr:sp macro="" textlink="">
      <xdr:nvSpPr>
        <xdr:cNvPr id="259" name="TextBox 258">
          <a:hlinkClick xmlns:r="http://schemas.openxmlformats.org/officeDocument/2006/relationships" r:id="rId12"/>
          <a:extLst>
            <a:ext uri="{FF2B5EF4-FFF2-40B4-BE49-F238E27FC236}">
              <a16:creationId xmlns:a16="http://schemas.microsoft.com/office/drawing/2014/main" xmlns="" id="{00000000-0008-0000-0000-000003010000}"/>
            </a:ext>
          </a:extLst>
        </xdr:cNvPr>
        <xdr:cNvSpPr txBox="1"/>
      </xdr:nvSpPr>
      <xdr:spPr>
        <a:xfrm>
          <a:off x="37043458" y="29863073"/>
          <a:ext cx="194854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QSPI_SFIF_CLK</a:t>
          </a:r>
        </a:p>
      </xdr:txBody>
    </xdr:sp>
    <xdr:clientData/>
  </xdr:oneCellAnchor>
  <xdr:twoCellAnchor>
    <xdr:from>
      <xdr:col>57</xdr:col>
      <xdr:colOff>205154</xdr:colOff>
      <xdr:row>149</xdr:row>
      <xdr:rowOff>124557</xdr:rowOff>
    </xdr:from>
    <xdr:to>
      <xdr:col>59</xdr:col>
      <xdr:colOff>600808</xdr:colOff>
      <xdr:row>149</xdr:row>
      <xdr:rowOff>124557</xdr:rowOff>
    </xdr:to>
    <xdr:cxnSp macro="">
      <xdr:nvCxnSpPr>
        <xdr:cNvPr id="263" name="Straight Arrow Connector 262">
          <a:extLst>
            <a:ext uri="{FF2B5EF4-FFF2-40B4-BE49-F238E27FC236}">
              <a16:creationId xmlns:a16="http://schemas.microsoft.com/office/drawing/2014/main" xmlns="" id="{00000000-0008-0000-0000-000007010000}"/>
            </a:ext>
          </a:extLst>
        </xdr:cNvPr>
        <xdr:cNvCxnSpPr/>
      </xdr:nvCxnSpPr>
      <xdr:spPr>
        <a:xfrm flipH="1">
          <a:off x="34868827" y="30018403"/>
          <a:ext cx="1611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219808</xdr:colOff>
      <xdr:row>151</xdr:row>
      <xdr:rowOff>95250</xdr:rowOff>
    </xdr:from>
    <xdr:to>
      <xdr:col>60</xdr:col>
      <xdr:colOff>7327</xdr:colOff>
      <xdr:row>151</xdr:row>
      <xdr:rowOff>95250</xdr:rowOff>
    </xdr:to>
    <xdr:cxnSp macro="">
      <xdr:nvCxnSpPr>
        <xdr:cNvPr id="264" name="Straight Arrow Connector 263">
          <a:extLst>
            <a:ext uri="{FF2B5EF4-FFF2-40B4-BE49-F238E27FC236}">
              <a16:creationId xmlns:a16="http://schemas.microsoft.com/office/drawing/2014/main" xmlns="" id="{00000000-0008-0000-0000-000008010000}"/>
            </a:ext>
          </a:extLst>
        </xdr:cNvPr>
        <xdr:cNvCxnSpPr/>
      </xdr:nvCxnSpPr>
      <xdr:spPr>
        <a:xfrm flipH="1">
          <a:off x="34883481" y="30414058"/>
          <a:ext cx="1611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60</xdr:col>
      <xdr:colOff>571500</xdr:colOff>
      <xdr:row>150</xdr:row>
      <xdr:rowOff>190500</xdr:rowOff>
    </xdr:from>
    <xdr:ext cx="1948543" cy="266700"/>
    <xdr:sp macro="" textlink="">
      <xdr:nvSpPr>
        <xdr:cNvPr id="265" name="TextBox 264">
          <a:hlinkClick xmlns:r="http://schemas.openxmlformats.org/officeDocument/2006/relationships" r:id="rId13"/>
          <a:extLst>
            <a:ext uri="{FF2B5EF4-FFF2-40B4-BE49-F238E27FC236}">
              <a16:creationId xmlns:a16="http://schemas.microsoft.com/office/drawing/2014/main" xmlns="" id="{00000000-0008-0000-0000-000009010000}"/>
            </a:ext>
          </a:extLst>
        </xdr:cNvPr>
        <xdr:cNvSpPr txBox="1"/>
      </xdr:nvSpPr>
      <xdr:spPr>
        <a:xfrm>
          <a:off x="37059577" y="30296827"/>
          <a:ext cx="194854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2xQSPI_SFIF_CLK</a:t>
          </a:r>
        </a:p>
      </xdr:txBody>
    </xdr:sp>
    <xdr:clientData/>
  </xdr:oneCellAnchor>
  <mc:AlternateContent xmlns:mc="http://schemas.openxmlformats.org/markup-compatibility/2006">
    <mc:Choice xmlns:a14="http://schemas.microsoft.com/office/drawing/2010/main" Requires="a14">
      <xdr:twoCellAnchor>
        <xdr:from>
          <xdr:col>1</xdr:col>
          <xdr:colOff>243840</xdr:colOff>
          <xdr:row>1</xdr:row>
          <xdr:rowOff>175260</xdr:rowOff>
        </xdr:from>
        <xdr:to>
          <xdr:col>3</xdr:col>
          <xdr:colOff>525780</xdr:colOff>
          <xdr:row>3</xdr:row>
          <xdr:rowOff>106680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243840</xdr:colOff>
          <xdr:row>4</xdr:row>
          <xdr:rowOff>175260</xdr:rowOff>
        </xdr:from>
        <xdr:to>
          <xdr:col>3</xdr:col>
          <xdr:colOff>518160</xdr:colOff>
          <xdr:row>7</xdr:row>
          <xdr:rowOff>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Max</a:t>
              </a:r>
            </a:p>
          </xdr:txBody>
        </xdr:sp>
        <xdr:clientData fPrintsWithSheet="0"/>
      </xdr:twoCellAnchor>
    </mc:Choice>
    <mc:Fallback/>
  </mc:AlternateContent>
  <xdr:oneCellAnchor>
    <xdr:from>
      <xdr:col>34</xdr:col>
      <xdr:colOff>333375</xdr:colOff>
      <xdr:row>14</xdr:row>
      <xdr:rowOff>0</xdr:rowOff>
    </xdr:from>
    <xdr:ext cx="847725" cy="266700"/>
    <xdr:sp macro="" textlink="">
      <xdr:nvSpPr>
        <xdr:cNvPr id="267" name="TextBox 266">
          <a:hlinkClick xmlns:r="http://schemas.openxmlformats.org/officeDocument/2006/relationships" r:id="rId5"/>
          <a:extLst>
            <a:ext uri="{FF2B5EF4-FFF2-40B4-BE49-F238E27FC236}">
              <a16:creationId xmlns:a16="http://schemas.microsoft.com/office/drawing/2014/main" xmlns="" id="{00000000-0008-0000-0000-00000B010000}"/>
            </a:ext>
          </a:extLst>
        </xdr:cNvPr>
        <xdr:cNvSpPr txBox="1"/>
      </xdr:nvSpPr>
      <xdr:spPr>
        <a:xfrm>
          <a:off x="21059775" y="30480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SPLL_CLK</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xdr:col>
      <xdr:colOff>123825</xdr:colOff>
      <xdr:row>0</xdr:row>
      <xdr:rowOff>142875</xdr:rowOff>
    </xdr:from>
    <xdr:ext cx="5686424" cy="771526"/>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1343025" y="142875"/>
          <a:ext cx="5686424" cy="771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Device Select</a:t>
          </a:r>
        </a:p>
      </xdr:txBody>
    </xdr:sp>
    <xdr:clientData/>
  </xdr:oneCellAnchor>
  <xdr:twoCellAnchor>
    <xdr:from>
      <xdr:col>4</xdr:col>
      <xdr:colOff>342900</xdr:colOff>
      <xdr:row>6</xdr:row>
      <xdr:rowOff>76200</xdr:rowOff>
    </xdr:from>
    <xdr:to>
      <xdr:col>8</xdr:col>
      <xdr:colOff>280580</xdr:colOff>
      <xdr:row>15</xdr:row>
      <xdr:rowOff>163086</xdr:rowOff>
    </xdr:to>
    <xdr:sp macro="" textlink="">
      <xdr:nvSpPr>
        <xdr:cNvPr id="3" name="Rectangle 2">
          <a:extLst>
            <a:ext uri="{FF2B5EF4-FFF2-40B4-BE49-F238E27FC236}">
              <a16:creationId xmlns:a16="http://schemas.microsoft.com/office/drawing/2014/main" xmlns="" id="{00000000-0008-0000-0100-000003000000}"/>
            </a:ext>
          </a:extLst>
        </xdr:cNvPr>
        <xdr:cNvSpPr/>
      </xdr:nvSpPr>
      <xdr:spPr>
        <a:xfrm>
          <a:off x="2781300" y="1219200"/>
          <a:ext cx="2376080" cy="18013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Which</a:t>
          </a:r>
          <a:r>
            <a:rPr lang="en-US" sz="1100" baseline="0">
              <a:solidFill>
                <a:schemeClr val="lt1"/>
              </a:solidFill>
              <a:effectLst/>
              <a:latin typeface="+mn-lt"/>
              <a:ea typeface="+mn-ea"/>
              <a:cs typeface="+mn-cs"/>
            </a:rPr>
            <a:t> S32K Family do you want?</a:t>
          </a:r>
          <a:endParaRPr lang="en-US" sz="900">
            <a:solidFill>
              <a:schemeClr val="lt1"/>
            </a:solidFill>
            <a:effectLst/>
            <a:latin typeface="+mn-lt"/>
            <a:ea typeface="+mn-ea"/>
            <a:cs typeface="+mn-cs"/>
          </a:endParaRPr>
        </a:p>
      </xdr:txBody>
    </xdr:sp>
    <xdr:clientData/>
  </xdr:twoCellAnchor>
  <xdr:twoCellAnchor>
    <xdr:from>
      <xdr:col>10</xdr:col>
      <xdr:colOff>9524</xdr:colOff>
      <xdr:row>1</xdr:row>
      <xdr:rowOff>28575</xdr:rowOff>
    </xdr:from>
    <xdr:to>
      <xdr:col>22</xdr:col>
      <xdr:colOff>609599</xdr:colOff>
      <xdr:row>9</xdr:row>
      <xdr:rowOff>166066</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105524" y="219075"/>
          <a:ext cx="7915275" cy="1661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The</a:t>
          </a:r>
          <a:r>
            <a:rPr lang="en-US" sz="1600" baseline="0"/>
            <a:t> S32K family features two series: S32K14x and S32K11x.  S32K14x is the fully featured series, while S32K11x is the low-cost line.  The S32K11x clock architecture is the same as S32K14x but with a few features removed.  Choose the product series you wish to configure.</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114300</xdr:colOff>
      <xdr:row>0</xdr:row>
      <xdr:rowOff>104775</xdr:rowOff>
    </xdr:from>
    <xdr:ext cx="5686424" cy="771526"/>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1943100" y="104775"/>
          <a:ext cx="5686424" cy="771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Oscillator Source Control</a:t>
          </a:r>
        </a:p>
      </xdr:txBody>
    </xdr:sp>
    <xdr:clientData/>
  </xdr:oneCellAnchor>
  <xdr:oneCellAnchor>
    <xdr:from>
      <xdr:col>2</xdr:col>
      <xdr:colOff>80597</xdr:colOff>
      <xdr:row>11</xdr:row>
      <xdr:rowOff>183174</xdr:rowOff>
    </xdr:from>
    <xdr:ext cx="569302" cy="257176"/>
    <xdr:sp macro="" textlink="">
      <xdr:nvSpPr>
        <xdr:cNvPr id="8" name="TextBox 7">
          <a:extLst>
            <a:ext uri="{FF2B5EF4-FFF2-40B4-BE49-F238E27FC236}">
              <a16:creationId xmlns:a16="http://schemas.microsoft.com/office/drawing/2014/main" xmlns="" id="{00000000-0008-0000-0200-000008000000}"/>
            </a:ext>
          </a:extLst>
        </xdr:cNvPr>
        <xdr:cNvSpPr txBox="1"/>
      </xdr:nvSpPr>
      <xdr:spPr>
        <a:xfrm>
          <a:off x="1296866" y="2278674"/>
          <a:ext cx="569302"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EXTAL</a:t>
          </a:r>
        </a:p>
      </xdr:txBody>
    </xdr:sp>
    <xdr:clientData/>
  </xdr:oneCellAnchor>
  <xdr:twoCellAnchor>
    <xdr:from>
      <xdr:col>4</xdr:col>
      <xdr:colOff>7327</xdr:colOff>
      <xdr:row>12</xdr:row>
      <xdr:rowOff>102577</xdr:rowOff>
    </xdr:from>
    <xdr:to>
      <xdr:col>15</xdr:col>
      <xdr:colOff>402981</xdr:colOff>
      <xdr:row>12</xdr:row>
      <xdr:rowOff>102577</xdr:rowOff>
    </xdr:to>
    <xdr:cxnSp macro="">
      <xdr:nvCxnSpPr>
        <xdr:cNvPr id="9" name="Straight Arrow Connector 8">
          <a:extLst>
            <a:ext uri="{FF2B5EF4-FFF2-40B4-BE49-F238E27FC236}">
              <a16:creationId xmlns:a16="http://schemas.microsoft.com/office/drawing/2014/main" xmlns="" id="{00000000-0008-0000-0200-000009000000}"/>
            </a:ext>
          </a:extLst>
        </xdr:cNvPr>
        <xdr:cNvCxnSpPr/>
      </xdr:nvCxnSpPr>
      <xdr:spPr>
        <a:xfrm>
          <a:off x="2439865" y="2395904"/>
          <a:ext cx="708513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417636</xdr:colOff>
      <xdr:row>20</xdr:row>
      <xdr:rowOff>80597</xdr:rowOff>
    </xdr:from>
    <xdr:to>
      <xdr:col>4</xdr:col>
      <xdr:colOff>207207</xdr:colOff>
      <xdr:row>24</xdr:row>
      <xdr:rowOff>190324</xdr:rowOff>
    </xdr:to>
    <xdr:sp macro="" textlink="">
      <xdr:nvSpPr>
        <xdr:cNvPr id="12" name="Rectangle 11">
          <a:extLst>
            <a:ext uri="{FF2B5EF4-FFF2-40B4-BE49-F238E27FC236}">
              <a16:creationId xmlns:a16="http://schemas.microsoft.com/office/drawing/2014/main" xmlns="" id="{00000000-0008-0000-0200-00000C000000}"/>
            </a:ext>
          </a:extLst>
        </xdr:cNvPr>
        <xdr:cNvSpPr/>
      </xdr:nvSpPr>
      <xdr:spPr>
        <a:xfrm>
          <a:off x="1633905" y="3927232"/>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SOSC RANGE</a:t>
          </a:r>
          <a:endParaRPr lang="en-US">
            <a:effectLst/>
          </a:endParaRPr>
        </a:p>
        <a:p>
          <a:pPr algn="ctr"/>
          <a:r>
            <a:rPr lang="en-US" sz="900">
              <a:solidFill>
                <a:schemeClr val="lt1"/>
              </a:solidFill>
              <a:effectLst/>
              <a:latin typeface="+mn-lt"/>
              <a:ea typeface="+mn-ea"/>
              <a:cs typeface="+mn-cs"/>
            </a:rPr>
            <a:t>SCG_SOSCCFG[RANGE]</a:t>
          </a:r>
          <a:endParaRPr lang="en-US" sz="900">
            <a:effectLst/>
          </a:endParaRPr>
        </a:p>
      </xdr:txBody>
    </xdr:sp>
    <xdr:clientData/>
  </xdr:twoCellAnchor>
  <xdr:oneCellAnchor>
    <xdr:from>
      <xdr:col>2</xdr:col>
      <xdr:colOff>571501</xdr:colOff>
      <xdr:row>26</xdr:row>
      <xdr:rowOff>21981</xdr:rowOff>
    </xdr:from>
    <xdr:ext cx="1152526" cy="681404"/>
    <xdr:sp macro="" textlink="">
      <xdr:nvSpPr>
        <xdr:cNvPr id="14" name="TextBox 13">
          <a:extLst>
            <a:ext uri="{FF2B5EF4-FFF2-40B4-BE49-F238E27FC236}">
              <a16:creationId xmlns:a16="http://schemas.microsoft.com/office/drawing/2014/main" xmlns="" id="{00000000-0008-0000-0200-00000E000000}"/>
            </a:ext>
          </a:extLst>
        </xdr:cNvPr>
        <xdr:cNvSpPr txBox="1"/>
      </xdr:nvSpPr>
      <xdr:spPr>
        <a:xfrm>
          <a:off x="1787770" y="5040923"/>
          <a:ext cx="1152526" cy="681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Reserved</a:t>
          </a:r>
        </a:p>
        <a:p>
          <a:r>
            <a:rPr lang="en-US" sz="800"/>
            <a:t>1 - Reserved</a:t>
          </a:r>
        </a:p>
        <a:p>
          <a:r>
            <a:rPr lang="en-US" sz="800"/>
            <a:t>2 - 4-8</a:t>
          </a:r>
          <a:r>
            <a:rPr lang="en-US" sz="800" baseline="0"/>
            <a:t> MHz SOSC</a:t>
          </a:r>
        </a:p>
        <a:p>
          <a:r>
            <a:rPr lang="en-US" sz="800"/>
            <a:t>3 - 8-40</a:t>
          </a:r>
          <a:r>
            <a:rPr lang="en-US" sz="800" baseline="0"/>
            <a:t> MHz SOSC</a:t>
          </a:r>
          <a:endParaRPr lang="en-US" sz="800"/>
        </a:p>
      </xdr:txBody>
    </xdr:sp>
    <xdr:clientData/>
  </xdr:oneCellAnchor>
  <xdr:twoCellAnchor>
    <xdr:from>
      <xdr:col>4</xdr:col>
      <xdr:colOff>218343</xdr:colOff>
      <xdr:row>22</xdr:row>
      <xdr:rowOff>159727</xdr:rowOff>
    </xdr:from>
    <xdr:to>
      <xdr:col>5</xdr:col>
      <xdr:colOff>190500</xdr:colOff>
      <xdr:row>22</xdr:row>
      <xdr:rowOff>159727</xdr:rowOff>
    </xdr:to>
    <xdr:cxnSp macro="">
      <xdr:nvCxnSpPr>
        <xdr:cNvPr id="15" name="Straight Arrow Connector 14">
          <a:extLst>
            <a:ext uri="{FF2B5EF4-FFF2-40B4-BE49-F238E27FC236}">
              <a16:creationId xmlns:a16="http://schemas.microsoft.com/office/drawing/2014/main" xmlns="" id="{00000000-0008-0000-0200-00000F000000}"/>
            </a:ext>
          </a:extLst>
        </xdr:cNvPr>
        <xdr:cNvCxnSpPr/>
      </xdr:nvCxnSpPr>
      <xdr:spPr>
        <a:xfrm>
          <a:off x="2650881" y="4387362"/>
          <a:ext cx="58029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196361</xdr:colOff>
      <xdr:row>19</xdr:row>
      <xdr:rowOff>167054</xdr:rowOff>
    </xdr:from>
    <xdr:to>
      <xdr:col>7</xdr:col>
      <xdr:colOff>329710</xdr:colOff>
      <xdr:row>25</xdr:row>
      <xdr:rowOff>117229</xdr:rowOff>
    </xdr:to>
    <xdr:sp macro="" textlink="">
      <xdr:nvSpPr>
        <xdr:cNvPr id="16" name="Rectangle 15">
          <a:extLst>
            <a:ext uri="{FF2B5EF4-FFF2-40B4-BE49-F238E27FC236}">
              <a16:creationId xmlns:a16="http://schemas.microsoft.com/office/drawing/2014/main" xmlns="" id="{00000000-0008-0000-0200-000010000000}"/>
            </a:ext>
          </a:extLst>
        </xdr:cNvPr>
        <xdr:cNvSpPr/>
      </xdr:nvSpPr>
      <xdr:spPr>
        <a:xfrm>
          <a:off x="3237034" y="3823189"/>
          <a:ext cx="1349618" cy="11005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SOSC Gain Option</a:t>
          </a:r>
          <a:endParaRPr lang="en-US">
            <a:effectLst/>
          </a:endParaRPr>
        </a:p>
        <a:p>
          <a:pPr algn="ctr"/>
          <a:r>
            <a:rPr lang="en-US" sz="900">
              <a:solidFill>
                <a:schemeClr val="lt1"/>
              </a:solidFill>
              <a:effectLst/>
              <a:latin typeface="+mn-lt"/>
              <a:ea typeface="+mn-ea"/>
              <a:cs typeface="+mn-cs"/>
            </a:rPr>
            <a:t>SCG_SOSCCFG[HGO]</a:t>
          </a:r>
        </a:p>
        <a:p>
          <a:pPr algn="ctr"/>
          <a:r>
            <a:rPr lang="en-US" sz="900">
              <a:solidFill>
                <a:schemeClr val="lt1"/>
              </a:solidFill>
              <a:effectLst/>
              <a:latin typeface="+mn-lt"/>
              <a:ea typeface="+mn-ea"/>
              <a:cs typeface="+mn-cs"/>
            </a:rPr>
            <a:t>FYI Only: Crystal</a:t>
          </a:r>
          <a:r>
            <a:rPr lang="en-US" sz="900" baseline="0">
              <a:solidFill>
                <a:schemeClr val="lt1"/>
              </a:solidFill>
              <a:effectLst/>
              <a:latin typeface="+mn-lt"/>
              <a:ea typeface="+mn-ea"/>
              <a:cs typeface="+mn-cs"/>
            </a:rPr>
            <a:t> oscillator for low-power or high-gain operaiton</a:t>
          </a:r>
          <a:endParaRPr lang="en-US" sz="900">
            <a:effectLst/>
          </a:endParaRPr>
        </a:p>
      </xdr:txBody>
    </xdr:sp>
    <xdr:clientData/>
  </xdr:twoCellAnchor>
  <xdr:twoCellAnchor>
    <xdr:from>
      <xdr:col>8</xdr:col>
      <xdr:colOff>402980</xdr:colOff>
      <xdr:row>20</xdr:row>
      <xdr:rowOff>65942</xdr:rowOff>
    </xdr:from>
    <xdr:to>
      <xdr:col>10</xdr:col>
      <xdr:colOff>192551</xdr:colOff>
      <xdr:row>24</xdr:row>
      <xdr:rowOff>175669</xdr:rowOff>
    </xdr:to>
    <xdr:sp macro="" textlink="">
      <xdr:nvSpPr>
        <xdr:cNvPr id="19" name="Rectangle 18">
          <a:extLst>
            <a:ext uri="{FF2B5EF4-FFF2-40B4-BE49-F238E27FC236}">
              <a16:creationId xmlns:a16="http://schemas.microsoft.com/office/drawing/2014/main" xmlns="" id="{00000000-0008-0000-0200-000013000000}"/>
            </a:ext>
          </a:extLst>
        </xdr:cNvPr>
        <xdr:cNvSpPr/>
      </xdr:nvSpPr>
      <xdr:spPr>
        <a:xfrm>
          <a:off x="5268057" y="3912577"/>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4-8/8-40</a:t>
          </a:r>
          <a:r>
            <a:rPr lang="en-US" sz="1100" baseline="0">
              <a:solidFill>
                <a:schemeClr val="lt1"/>
              </a:solidFill>
              <a:effectLst/>
              <a:latin typeface="+mn-lt"/>
              <a:ea typeface="+mn-ea"/>
              <a:cs typeface="+mn-cs"/>
            </a:rPr>
            <a:t> MHz</a:t>
          </a:r>
        </a:p>
        <a:p>
          <a:pPr algn="ctr"/>
          <a:r>
            <a:rPr lang="en-US" sz="1100" baseline="0">
              <a:solidFill>
                <a:schemeClr val="lt1"/>
              </a:solidFill>
              <a:effectLst/>
              <a:latin typeface="+mn-lt"/>
              <a:ea typeface="+mn-ea"/>
              <a:cs typeface="+mn-cs"/>
            </a:rPr>
            <a:t>SOSC</a:t>
          </a:r>
          <a:endParaRPr lang="en-US">
            <a:effectLst/>
          </a:endParaRPr>
        </a:p>
      </xdr:txBody>
    </xdr:sp>
    <xdr:clientData/>
  </xdr:twoCellAnchor>
  <xdr:twoCellAnchor>
    <xdr:from>
      <xdr:col>7</xdr:col>
      <xdr:colOff>319454</xdr:colOff>
      <xdr:row>22</xdr:row>
      <xdr:rowOff>136281</xdr:rowOff>
    </xdr:from>
    <xdr:to>
      <xdr:col>8</xdr:col>
      <xdr:colOff>395654</xdr:colOff>
      <xdr:row>22</xdr:row>
      <xdr:rowOff>136281</xdr:rowOff>
    </xdr:to>
    <xdr:cxnSp macro="">
      <xdr:nvCxnSpPr>
        <xdr:cNvPr id="20" name="Straight Arrow Connector 19">
          <a:extLst>
            <a:ext uri="{FF2B5EF4-FFF2-40B4-BE49-F238E27FC236}">
              <a16:creationId xmlns:a16="http://schemas.microsoft.com/office/drawing/2014/main" xmlns="" id="{00000000-0008-0000-0200-000014000000}"/>
            </a:ext>
          </a:extLst>
        </xdr:cNvPr>
        <xdr:cNvCxnSpPr/>
      </xdr:nvCxnSpPr>
      <xdr:spPr>
        <a:xfrm>
          <a:off x="4576396" y="4363916"/>
          <a:ext cx="6843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571500</xdr:colOff>
      <xdr:row>25</xdr:row>
      <xdr:rowOff>197826</xdr:rowOff>
    </xdr:from>
    <xdr:ext cx="1152526" cy="681404"/>
    <xdr:sp macro="" textlink="">
      <xdr:nvSpPr>
        <xdr:cNvPr id="22" name="TextBox 21">
          <a:extLst>
            <a:ext uri="{FF2B5EF4-FFF2-40B4-BE49-F238E27FC236}">
              <a16:creationId xmlns:a16="http://schemas.microsoft.com/office/drawing/2014/main" xmlns="" id="{00000000-0008-0000-0200-000016000000}"/>
            </a:ext>
          </a:extLst>
        </xdr:cNvPr>
        <xdr:cNvSpPr txBox="1"/>
      </xdr:nvSpPr>
      <xdr:spPr>
        <a:xfrm>
          <a:off x="5436577" y="5004288"/>
          <a:ext cx="1152526" cy="681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Refer to SOSC Range block for valid range. Cell</a:t>
          </a:r>
          <a:r>
            <a:rPr lang="en-US" sz="800" baseline="0"/>
            <a:t> will return error message if invalid frequency inputed</a:t>
          </a:r>
          <a:endParaRPr lang="en-US" sz="800"/>
        </a:p>
      </xdr:txBody>
    </xdr:sp>
    <xdr:clientData/>
  </xdr:oneCellAnchor>
  <xdr:twoCellAnchor>
    <xdr:from>
      <xdr:col>13</xdr:col>
      <xdr:colOff>185225</xdr:colOff>
      <xdr:row>22</xdr:row>
      <xdr:rowOff>137658</xdr:rowOff>
    </xdr:from>
    <xdr:to>
      <xdr:col>16</xdr:col>
      <xdr:colOff>468923</xdr:colOff>
      <xdr:row>22</xdr:row>
      <xdr:rowOff>139123</xdr:rowOff>
    </xdr:to>
    <xdr:cxnSp macro="">
      <xdr:nvCxnSpPr>
        <xdr:cNvPr id="13" name="Straight Arrow Connector 12">
          <a:extLst>
            <a:ext uri="{FF2B5EF4-FFF2-40B4-BE49-F238E27FC236}">
              <a16:creationId xmlns:a16="http://schemas.microsoft.com/office/drawing/2014/main" xmlns="" id="{00000000-0008-0000-0200-00000D000000}"/>
            </a:ext>
          </a:extLst>
        </xdr:cNvPr>
        <xdr:cNvCxnSpPr>
          <a:stCxn id="26" idx="3"/>
          <a:endCxn id="23" idx="1"/>
        </xdr:cNvCxnSpPr>
      </xdr:nvCxnSpPr>
      <xdr:spPr>
        <a:xfrm>
          <a:off x="8090975" y="4372620"/>
          <a:ext cx="2108102" cy="1465"/>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402976</xdr:colOff>
      <xdr:row>12</xdr:row>
      <xdr:rowOff>101113</xdr:rowOff>
    </xdr:from>
    <xdr:to>
      <xdr:col>15</xdr:col>
      <xdr:colOff>402977</xdr:colOff>
      <xdr:row>21</xdr:row>
      <xdr:rowOff>14653</xdr:rowOff>
    </xdr:to>
    <xdr:cxnSp macro="">
      <xdr:nvCxnSpPr>
        <xdr:cNvPr id="17" name="Straight Arrow Connector 16">
          <a:extLst>
            <a:ext uri="{FF2B5EF4-FFF2-40B4-BE49-F238E27FC236}">
              <a16:creationId xmlns:a16="http://schemas.microsoft.com/office/drawing/2014/main" xmlns="" id="{00000000-0008-0000-0200-000011000000}"/>
            </a:ext>
          </a:extLst>
        </xdr:cNvPr>
        <xdr:cNvCxnSpPr/>
      </xdr:nvCxnSpPr>
      <xdr:spPr>
        <a:xfrm flipV="1">
          <a:off x="9524995" y="2394440"/>
          <a:ext cx="1" cy="165734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408838</xdr:colOff>
      <xdr:row>21</xdr:row>
      <xdr:rowOff>5861</xdr:rowOff>
    </xdr:from>
    <xdr:to>
      <xdr:col>16</xdr:col>
      <xdr:colOff>446937</xdr:colOff>
      <xdr:row>21</xdr:row>
      <xdr:rowOff>5861</xdr:rowOff>
    </xdr:to>
    <xdr:cxnSp macro="">
      <xdr:nvCxnSpPr>
        <xdr:cNvPr id="21" name="Straight Arrow Connector 20">
          <a:extLst>
            <a:ext uri="{FF2B5EF4-FFF2-40B4-BE49-F238E27FC236}">
              <a16:creationId xmlns:a16="http://schemas.microsoft.com/office/drawing/2014/main" xmlns="" id="{00000000-0008-0000-0200-000015000000}"/>
            </a:ext>
          </a:extLst>
        </xdr:cNvPr>
        <xdr:cNvCxnSpPr/>
      </xdr:nvCxnSpPr>
      <xdr:spPr>
        <a:xfrm>
          <a:off x="9530857" y="4042996"/>
          <a:ext cx="6462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468923</xdr:colOff>
      <xdr:row>20</xdr:row>
      <xdr:rowOff>73269</xdr:rowOff>
    </xdr:from>
    <xdr:to>
      <xdr:col>18</xdr:col>
      <xdr:colOff>258494</xdr:colOff>
      <xdr:row>24</xdr:row>
      <xdr:rowOff>182996</xdr:rowOff>
    </xdr:to>
    <xdr:sp macro="" textlink="">
      <xdr:nvSpPr>
        <xdr:cNvPr id="23" name="Rectangle 22">
          <a:extLst>
            <a:ext uri="{FF2B5EF4-FFF2-40B4-BE49-F238E27FC236}">
              <a16:creationId xmlns:a16="http://schemas.microsoft.com/office/drawing/2014/main" xmlns="" id="{00000000-0008-0000-0200-000017000000}"/>
            </a:ext>
          </a:extLst>
        </xdr:cNvPr>
        <xdr:cNvSpPr/>
      </xdr:nvSpPr>
      <xdr:spPr>
        <a:xfrm>
          <a:off x="10199077" y="3919904"/>
          <a:ext cx="1005840" cy="9083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Ext.</a:t>
          </a:r>
          <a:r>
            <a:rPr lang="en-US" sz="1100" baseline="0">
              <a:solidFill>
                <a:schemeClr val="lt1"/>
              </a:solidFill>
              <a:effectLst/>
              <a:latin typeface="+mn-lt"/>
              <a:ea typeface="+mn-ea"/>
              <a:cs typeface="+mn-cs"/>
            </a:rPr>
            <a:t> Ref. Select</a:t>
          </a:r>
        </a:p>
        <a:p>
          <a:pPr algn="ctr"/>
          <a:r>
            <a:rPr lang="en-US" sz="900">
              <a:effectLst/>
            </a:rPr>
            <a:t>SCG_SOSCCFG[EREFS]</a:t>
          </a:r>
        </a:p>
      </xdr:txBody>
    </xdr:sp>
    <xdr:clientData/>
  </xdr:twoCellAnchor>
  <xdr:oneCellAnchor>
    <xdr:from>
      <xdr:col>16</xdr:col>
      <xdr:colOff>571496</xdr:colOff>
      <xdr:row>26</xdr:row>
      <xdr:rowOff>0</xdr:rowOff>
    </xdr:from>
    <xdr:ext cx="1152526" cy="366346"/>
    <xdr:sp macro="" textlink="">
      <xdr:nvSpPr>
        <xdr:cNvPr id="27" name="TextBox 26">
          <a:extLst>
            <a:ext uri="{FF2B5EF4-FFF2-40B4-BE49-F238E27FC236}">
              <a16:creationId xmlns:a16="http://schemas.microsoft.com/office/drawing/2014/main" xmlns="" id="{00000000-0008-0000-0200-00001B000000}"/>
            </a:ext>
          </a:extLst>
        </xdr:cNvPr>
        <xdr:cNvSpPr txBox="1"/>
      </xdr:nvSpPr>
      <xdr:spPr>
        <a:xfrm>
          <a:off x="10301650" y="5055577"/>
          <a:ext cx="1152526" cy="366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EXTAL</a:t>
          </a:r>
        </a:p>
        <a:p>
          <a:r>
            <a:rPr lang="en-US" sz="800"/>
            <a:t>1 - SOSC</a:t>
          </a:r>
          <a:r>
            <a:rPr lang="en-US" sz="800" baseline="0"/>
            <a:t> (XTAL)</a:t>
          </a:r>
          <a:endParaRPr lang="en-US" sz="800"/>
        </a:p>
      </xdr:txBody>
    </xdr:sp>
    <xdr:clientData/>
  </xdr:oneCellAnchor>
  <xdr:twoCellAnchor>
    <xdr:from>
      <xdr:col>18</xdr:col>
      <xdr:colOff>263769</xdr:colOff>
      <xdr:row>22</xdr:row>
      <xdr:rowOff>95250</xdr:rowOff>
    </xdr:from>
    <xdr:to>
      <xdr:col>19</xdr:col>
      <xdr:colOff>586153</xdr:colOff>
      <xdr:row>22</xdr:row>
      <xdr:rowOff>95250</xdr:rowOff>
    </xdr:to>
    <xdr:cxnSp macro="">
      <xdr:nvCxnSpPr>
        <xdr:cNvPr id="18" name="Straight Arrow Connector 17">
          <a:extLst>
            <a:ext uri="{FF2B5EF4-FFF2-40B4-BE49-F238E27FC236}">
              <a16:creationId xmlns:a16="http://schemas.microsoft.com/office/drawing/2014/main" xmlns="" id="{00000000-0008-0000-0200-000012000000}"/>
            </a:ext>
          </a:extLst>
        </xdr:cNvPr>
        <xdr:cNvCxnSpPr/>
      </xdr:nvCxnSpPr>
      <xdr:spPr>
        <a:xfrm>
          <a:off x="11210192" y="4330212"/>
          <a:ext cx="930519"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20</xdr:col>
      <xdr:colOff>578827</xdr:colOff>
      <xdr:row>21</xdr:row>
      <xdr:rowOff>175845</xdr:rowOff>
    </xdr:from>
    <xdr:ext cx="769327" cy="257176"/>
    <xdr:sp macro="" textlink="">
      <xdr:nvSpPr>
        <xdr:cNvPr id="24" name="TextBox 23">
          <a:extLst>
            <a:ext uri="{FF2B5EF4-FFF2-40B4-BE49-F238E27FC236}">
              <a16:creationId xmlns:a16="http://schemas.microsoft.com/office/drawing/2014/main" xmlns="" id="{00000000-0008-0000-0200-000018000000}"/>
            </a:ext>
          </a:extLst>
        </xdr:cNvPr>
        <xdr:cNvSpPr txBox="1"/>
      </xdr:nvSpPr>
      <xdr:spPr>
        <a:xfrm>
          <a:off x="12741519" y="4212980"/>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SOSC_CLK</a:t>
          </a:r>
        </a:p>
      </xdr:txBody>
    </xdr:sp>
    <xdr:clientData/>
  </xdr:oneCellAnchor>
  <xdr:twoCellAnchor>
    <xdr:from>
      <xdr:col>11</xdr:col>
      <xdr:colOff>395654</xdr:colOff>
      <xdr:row>20</xdr:row>
      <xdr:rowOff>80596</xdr:rowOff>
    </xdr:from>
    <xdr:to>
      <xdr:col>13</xdr:col>
      <xdr:colOff>185225</xdr:colOff>
      <xdr:row>24</xdr:row>
      <xdr:rowOff>172739</xdr:rowOff>
    </xdr:to>
    <xdr:sp macro="" textlink="">
      <xdr:nvSpPr>
        <xdr:cNvPr id="26" name="Rectangle 25">
          <a:extLst>
            <a:ext uri="{FF2B5EF4-FFF2-40B4-BE49-F238E27FC236}">
              <a16:creationId xmlns:a16="http://schemas.microsoft.com/office/drawing/2014/main" xmlns="" id="{00000000-0008-0000-0200-00001A000000}"/>
            </a:ext>
          </a:extLst>
        </xdr:cNvPr>
        <xdr:cNvSpPr/>
      </xdr:nvSpPr>
      <xdr:spPr>
        <a:xfrm>
          <a:off x="7085135" y="3927231"/>
          <a:ext cx="1005840" cy="8907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SOSC Enable</a:t>
          </a:r>
          <a:endParaRPr lang="en-US">
            <a:effectLst/>
          </a:endParaRPr>
        </a:p>
        <a:p>
          <a:pPr algn="ctr"/>
          <a:r>
            <a:rPr lang="en-US" sz="900">
              <a:solidFill>
                <a:schemeClr val="lt1"/>
              </a:solidFill>
              <a:effectLst/>
              <a:latin typeface="+mn-lt"/>
              <a:ea typeface="+mn-ea"/>
              <a:cs typeface="+mn-cs"/>
            </a:rPr>
            <a:t>SCG_SOSCCSR[SOSCEN]</a:t>
          </a:r>
          <a:endParaRPr lang="en-US" sz="900">
            <a:effectLst/>
          </a:endParaRPr>
        </a:p>
      </xdr:txBody>
    </xdr:sp>
    <xdr:clientData/>
  </xdr:twoCellAnchor>
  <xdr:twoCellAnchor>
    <xdr:from>
      <xdr:col>10</xdr:col>
      <xdr:colOff>192551</xdr:colOff>
      <xdr:row>22</xdr:row>
      <xdr:rowOff>131796</xdr:rowOff>
    </xdr:from>
    <xdr:to>
      <xdr:col>11</xdr:col>
      <xdr:colOff>395654</xdr:colOff>
      <xdr:row>22</xdr:row>
      <xdr:rowOff>137658</xdr:rowOff>
    </xdr:to>
    <xdr:cxnSp macro="">
      <xdr:nvCxnSpPr>
        <xdr:cNvPr id="28" name="Straight Arrow Connector 27">
          <a:extLst>
            <a:ext uri="{FF2B5EF4-FFF2-40B4-BE49-F238E27FC236}">
              <a16:creationId xmlns:a16="http://schemas.microsoft.com/office/drawing/2014/main" xmlns="" id="{00000000-0008-0000-0200-00001C000000}"/>
            </a:ext>
          </a:extLst>
        </xdr:cNvPr>
        <xdr:cNvCxnSpPr>
          <a:stCxn id="19" idx="3"/>
          <a:endCxn id="26" idx="1"/>
        </xdr:cNvCxnSpPr>
      </xdr:nvCxnSpPr>
      <xdr:spPr>
        <a:xfrm>
          <a:off x="6273897" y="4366758"/>
          <a:ext cx="811238" cy="586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578826</xdr:colOff>
      <xdr:row>26</xdr:row>
      <xdr:rowOff>21981</xdr:rowOff>
    </xdr:from>
    <xdr:ext cx="930520" cy="353156"/>
    <xdr:sp macro="" textlink="">
      <xdr:nvSpPr>
        <xdr:cNvPr id="29" name="TextBox 28">
          <a:extLst>
            <a:ext uri="{FF2B5EF4-FFF2-40B4-BE49-F238E27FC236}">
              <a16:creationId xmlns:a16="http://schemas.microsoft.com/office/drawing/2014/main" xmlns="" id="{00000000-0008-0000-0200-00001D000000}"/>
            </a:ext>
          </a:extLst>
        </xdr:cNvPr>
        <xdr:cNvSpPr txBox="1"/>
      </xdr:nvSpPr>
      <xdr:spPr>
        <a:xfrm>
          <a:off x="7268307" y="5106866"/>
          <a:ext cx="930520"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SOSC</a:t>
          </a:r>
          <a:r>
            <a:rPr lang="en-US" sz="800" baseline="0"/>
            <a:t> Off</a:t>
          </a:r>
          <a:endParaRPr lang="en-US" sz="800"/>
        </a:p>
        <a:p>
          <a:r>
            <a:rPr lang="en-US" sz="800"/>
            <a:t>1 - SOSC </a:t>
          </a:r>
          <a:r>
            <a:rPr lang="en-US" sz="800" baseline="0"/>
            <a:t>On</a:t>
          </a:r>
          <a:endParaRPr lang="en-US" sz="800"/>
        </a:p>
      </xdr:txBody>
    </xdr:sp>
    <xdr:clientData/>
  </xdr:oneCellAnchor>
  <xdr:oneCellAnchor>
    <xdr:from>
      <xdr:col>7</xdr:col>
      <xdr:colOff>58615</xdr:colOff>
      <xdr:row>8</xdr:row>
      <xdr:rowOff>168519</xdr:rowOff>
    </xdr:from>
    <xdr:ext cx="2806943" cy="771526"/>
    <xdr:sp macro="" textlink="">
      <xdr:nvSpPr>
        <xdr:cNvPr id="25" name="TextBox 24">
          <a:extLst>
            <a:ext uri="{FF2B5EF4-FFF2-40B4-BE49-F238E27FC236}">
              <a16:creationId xmlns:a16="http://schemas.microsoft.com/office/drawing/2014/main" xmlns="" id="{00000000-0008-0000-0200-000019000000}"/>
            </a:ext>
          </a:extLst>
        </xdr:cNvPr>
        <xdr:cNvSpPr txBox="1"/>
      </xdr:nvSpPr>
      <xdr:spPr>
        <a:xfrm>
          <a:off x="4315557" y="1692519"/>
          <a:ext cx="2806943" cy="771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System</a:t>
          </a:r>
          <a:r>
            <a:rPr lang="en-US" sz="1400" b="1" baseline="0"/>
            <a:t> Oscillator</a:t>
          </a:r>
          <a:endParaRPr lang="en-US" sz="1400" b="1"/>
        </a:p>
      </xdr:txBody>
    </xdr:sp>
    <xdr:clientData/>
  </xdr:oneCellAnchor>
  <xdr:oneCellAnchor>
    <xdr:from>
      <xdr:col>5</xdr:col>
      <xdr:colOff>446940</xdr:colOff>
      <xdr:row>32</xdr:row>
      <xdr:rowOff>73270</xdr:rowOff>
    </xdr:from>
    <xdr:ext cx="5150826" cy="771526"/>
    <xdr:sp macro="" textlink="">
      <xdr:nvSpPr>
        <xdr:cNvPr id="30" name="TextBox 29">
          <a:extLst>
            <a:ext uri="{FF2B5EF4-FFF2-40B4-BE49-F238E27FC236}">
              <a16:creationId xmlns:a16="http://schemas.microsoft.com/office/drawing/2014/main" xmlns="" id="{00000000-0008-0000-0200-00001E000000}"/>
            </a:ext>
          </a:extLst>
        </xdr:cNvPr>
        <xdr:cNvSpPr txBox="1"/>
      </xdr:nvSpPr>
      <xdr:spPr>
        <a:xfrm>
          <a:off x="3487613" y="6308482"/>
          <a:ext cx="5150826" cy="771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Low Power Oscillator</a:t>
          </a:r>
        </a:p>
      </xdr:txBody>
    </xdr:sp>
    <xdr:clientData/>
  </xdr:oneCellAnchor>
  <xdr:twoCellAnchor>
    <xdr:from>
      <xdr:col>2</xdr:col>
      <xdr:colOff>395654</xdr:colOff>
      <xdr:row>38</xdr:row>
      <xdr:rowOff>7327</xdr:rowOff>
    </xdr:from>
    <xdr:to>
      <xdr:col>4</xdr:col>
      <xdr:colOff>185225</xdr:colOff>
      <xdr:row>42</xdr:row>
      <xdr:rowOff>168342</xdr:rowOff>
    </xdr:to>
    <xdr:sp macro="" textlink="">
      <xdr:nvSpPr>
        <xdr:cNvPr id="31" name="Rectangle 30">
          <a:extLst>
            <a:ext uri="{FF2B5EF4-FFF2-40B4-BE49-F238E27FC236}">
              <a16:creationId xmlns:a16="http://schemas.microsoft.com/office/drawing/2014/main" xmlns="" id="{00000000-0008-0000-0200-00001F000000}"/>
            </a:ext>
          </a:extLst>
        </xdr:cNvPr>
        <xdr:cNvSpPr/>
      </xdr:nvSpPr>
      <xdr:spPr>
        <a:xfrm>
          <a:off x="1611923" y="7385539"/>
          <a:ext cx="1005840" cy="923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128 kHz LPO</a:t>
          </a:r>
          <a:endParaRPr lang="en-US">
            <a:effectLst/>
          </a:endParaRPr>
        </a:p>
      </xdr:txBody>
    </xdr:sp>
    <xdr:clientData/>
  </xdr:twoCellAnchor>
  <xdr:twoCellAnchor>
    <xdr:from>
      <xdr:col>6</xdr:col>
      <xdr:colOff>395653</xdr:colOff>
      <xdr:row>38</xdr:row>
      <xdr:rowOff>14654</xdr:rowOff>
    </xdr:from>
    <xdr:to>
      <xdr:col>8</xdr:col>
      <xdr:colOff>185224</xdr:colOff>
      <xdr:row>42</xdr:row>
      <xdr:rowOff>175669</xdr:rowOff>
    </xdr:to>
    <xdr:sp macro="" textlink="">
      <xdr:nvSpPr>
        <xdr:cNvPr id="32" name="Rectangle 31">
          <a:extLst>
            <a:ext uri="{FF2B5EF4-FFF2-40B4-BE49-F238E27FC236}">
              <a16:creationId xmlns:a16="http://schemas.microsoft.com/office/drawing/2014/main" xmlns="" id="{00000000-0008-0000-0200-000020000000}"/>
            </a:ext>
          </a:extLst>
        </xdr:cNvPr>
        <xdr:cNvSpPr/>
      </xdr:nvSpPr>
      <xdr:spPr>
        <a:xfrm>
          <a:off x="4044461" y="7392866"/>
          <a:ext cx="1005840" cy="923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LPO Trim</a:t>
          </a:r>
        </a:p>
        <a:p>
          <a:pPr algn="ctr"/>
          <a:r>
            <a:rPr lang="en-US" sz="900">
              <a:effectLst/>
            </a:rPr>
            <a:t>PMC_LPOTRIM[LPOTRIM]</a:t>
          </a:r>
        </a:p>
      </xdr:txBody>
    </xdr:sp>
    <xdr:clientData/>
  </xdr:twoCellAnchor>
  <xdr:twoCellAnchor>
    <xdr:from>
      <xdr:col>4</xdr:col>
      <xdr:colOff>190501</xdr:colOff>
      <xdr:row>41</xdr:row>
      <xdr:rowOff>0</xdr:rowOff>
    </xdr:from>
    <xdr:to>
      <xdr:col>6</xdr:col>
      <xdr:colOff>388327</xdr:colOff>
      <xdr:row>41</xdr:row>
      <xdr:rowOff>0</xdr:rowOff>
    </xdr:to>
    <xdr:cxnSp macro="">
      <xdr:nvCxnSpPr>
        <xdr:cNvPr id="33" name="Straight Arrow Connector 32">
          <a:extLst>
            <a:ext uri="{FF2B5EF4-FFF2-40B4-BE49-F238E27FC236}">
              <a16:creationId xmlns:a16="http://schemas.microsoft.com/office/drawing/2014/main" xmlns="" id="{00000000-0008-0000-0200-000021000000}"/>
            </a:ext>
          </a:extLst>
        </xdr:cNvPr>
        <xdr:cNvCxnSpPr/>
      </xdr:nvCxnSpPr>
      <xdr:spPr>
        <a:xfrm>
          <a:off x="2623039" y="7949712"/>
          <a:ext cx="14140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197828</xdr:colOff>
      <xdr:row>41</xdr:row>
      <xdr:rowOff>0</xdr:rowOff>
    </xdr:from>
    <xdr:to>
      <xdr:col>10</xdr:col>
      <xdr:colOff>395655</xdr:colOff>
      <xdr:row>41</xdr:row>
      <xdr:rowOff>0</xdr:rowOff>
    </xdr:to>
    <xdr:cxnSp macro="">
      <xdr:nvCxnSpPr>
        <xdr:cNvPr id="34" name="Straight Arrow Connector 33">
          <a:extLst>
            <a:ext uri="{FF2B5EF4-FFF2-40B4-BE49-F238E27FC236}">
              <a16:creationId xmlns:a16="http://schemas.microsoft.com/office/drawing/2014/main" xmlns="" id="{00000000-0008-0000-0200-000022000000}"/>
            </a:ext>
          </a:extLst>
        </xdr:cNvPr>
        <xdr:cNvCxnSpPr/>
      </xdr:nvCxnSpPr>
      <xdr:spPr>
        <a:xfrm>
          <a:off x="5062905" y="7979019"/>
          <a:ext cx="14140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402981</xdr:colOff>
      <xdr:row>38</xdr:row>
      <xdr:rowOff>80595</xdr:rowOff>
    </xdr:from>
    <xdr:to>
      <xdr:col>12</xdr:col>
      <xdr:colOff>192552</xdr:colOff>
      <xdr:row>42</xdr:row>
      <xdr:rowOff>187392</xdr:rowOff>
    </xdr:to>
    <xdr:sp macro="" textlink="">
      <xdr:nvSpPr>
        <xdr:cNvPr id="35" name="Rectangle 34">
          <a:extLst>
            <a:ext uri="{FF2B5EF4-FFF2-40B4-BE49-F238E27FC236}">
              <a16:creationId xmlns:a16="http://schemas.microsoft.com/office/drawing/2014/main" xmlns="" id="{00000000-0008-0000-0200-000023000000}"/>
            </a:ext>
          </a:extLst>
        </xdr:cNvPr>
        <xdr:cNvSpPr/>
      </xdr:nvSpPr>
      <xdr:spPr>
        <a:xfrm>
          <a:off x="6484327" y="7458807"/>
          <a:ext cx="1005840" cy="90543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LPO Control</a:t>
          </a:r>
          <a:endParaRPr lang="en-US">
            <a:effectLst/>
          </a:endParaRPr>
        </a:p>
        <a:p>
          <a:pPr algn="ctr"/>
          <a:r>
            <a:rPr lang="en-US" sz="900">
              <a:solidFill>
                <a:schemeClr val="lt1"/>
              </a:solidFill>
              <a:effectLst/>
              <a:latin typeface="+mn-lt"/>
              <a:ea typeface="+mn-ea"/>
              <a:cs typeface="+mn-cs"/>
            </a:rPr>
            <a:t>PMC_REGSC[LPODIS]</a:t>
          </a:r>
          <a:endParaRPr lang="en-US" sz="900">
            <a:effectLst/>
          </a:endParaRPr>
        </a:p>
      </xdr:txBody>
    </xdr:sp>
    <xdr:clientData/>
  </xdr:twoCellAnchor>
  <xdr:oneCellAnchor>
    <xdr:from>
      <xdr:col>10</xdr:col>
      <xdr:colOff>542192</xdr:colOff>
      <xdr:row>44</xdr:row>
      <xdr:rowOff>14654</xdr:rowOff>
    </xdr:from>
    <xdr:ext cx="996461" cy="353156"/>
    <xdr:sp macro="" textlink="">
      <xdr:nvSpPr>
        <xdr:cNvPr id="36" name="TextBox 35">
          <a:extLst>
            <a:ext uri="{FF2B5EF4-FFF2-40B4-BE49-F238E27FC236}">
              <a16:creationId xmlns:a16="http://schemas.microsoft.com/office/drawing/2014/main" xmlns="" id="{00000000-0008-0000-0200-000024000000}"/>
            </a:ext>
          </a:extLst>
        </xdr:cNvPr>
        <xdr:cNvSpPr txBox="1"/>
      </xdr:nvSpPr>
      <xdr:spPr>
        <a:xfrm>
          <a:off x="6623538" y="8601808"/>
          <a:ext cx="996461"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LPO Enabled</a:t>
          </a:r>
        </a:p>
        <a:p>
          <a:r>
            <a:rPr lang="en-US" sz="800"/>
            <a:t>1 - LPO Disabled</a:t>
          </a:r>
        </a:p>
      </xdr:txBody>
    </xdr:sp>
    <xdr:clientData/>
  </xdr:oneCellAnchor>
  <xdr:twoCellAnchor>
    <xdr:from>
      <xdr:col>12</xdr:col>
      <xdr:colOff>205154</xdr:colOff>
      <xdr:row>40</xdr:row>
      <xdr:rowOff>109903</xdr:rowOff>
    </xdr:from>
    <xdr:to>
      <xdr:col>14</xdr:col>
      <xdr:colOff>571500</xdr:colOff>
      <xdr:row>40</xdr:row>
      <xdr:rowOff>109903</xdr:rowOff>
    </xdr:to>
    <xdr:cxnSp macro="">
      <xdr:nvCxnSpPr>
        <xdr:cNvPr id="37" name="Straight Arrow Connector 36">
          <a:extLst>
            <a:ext uri="{FF2B5EF4-FFF2-40B4-BE49-F238E27FC236}">
              <a16:creationId xmlns:a16="http://schemas.microsoft.com/office/drawing/2014/main" xmlns="" id="{00000000-0008-0000-0200-000025000000}"/>
            </a:ext>
          </a:extLst>
        </xdr:cNvPr>
        <xdr:cNvCxnSpPr/>
      </xdr:nvCxnSpPr>
      <xdr:spPr>
        <a:xfrm>
          <a:off x="7502769" y="7876441"/>
          <a:ext cx="158261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608134</xdr:colOff>
      <xdr:row>39</xdr:row>
      <xdr:rowOff>175845</xdr:rowOff>
    </xdr:from>
    <xdr:ext cx="952501" cy="257176"/>
    <xdr:sp macro="" textlink="">
      <xdr:nvSpPr>
        <xdr:cNvPr id="38" name="TextBox 37">
          <a:extLst>
            <a:ext uri="{FF2B5EF4-FFF2-40B4-BE49-F238E27FC236}">
              <a16:creationId xmlns:a16="http://schemas.microsoft.com/office/drawing/2014/main" xmlns="" id="{00000000-0008-0000-0200-000026000000}"/>
            </a:ext>
          </a:extLst>
        </xdr:cNvPr>
        <xdr:cNvSpPr txBox="1"/>
      </xdr:nvSpPr>
      <xdr:spPr>
        <a:xfrm>
          <a:off x="9730153" y="7744557"/>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LPO128K_CLK</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10</xdr:col>
      <xdr:colOff>381000</xdr:colOff>
      <xdr:row>14</xdr:row>
      <xdr:rowOff>123825</xdr:rowOff>
    </xdr:from>
    <xdr:to>
      <xdr:col>14</xdr:col>
      <xdr:colOff>318680</xdr:colOff>
      <xdr:row>23</xdr:row>
      <xdr:rowOff>172611</xdr:rowOff>
    </xdr:to>
    <xdr:sp macro="" textlink="">
      <xdr:nvSpPr>
        <xdr:cNvPr id="2" name="Rectangle 1">
          <a:extLst>
            <a:ext uri="{FF2B5EF4-FFF2-40B4-BE49-F238E27FC236}">
              <a16:creationId xmlns:a16="http://schemas.microsoft.com/office/drawing/2014/main" xmlns="" id="{00000000-0008-0000-0300-000002000000}"/>
            </a:ext>
          </a:extLst>
        </xdr:cNvPr>
        <xdr:cNvSpPr/>
      </xdr:nvSpPr>
      <xdr:spPr>
        <a:xfrm>
          <a:off x="6477000" y="2790825"/>
          <a:ext cx="2376080" cy="17632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S32K Power Mode</a:t>
          </a:r>
        </a:p>
        <a:p>
          <a:pPr marL="0" marR="0" indent="0" algn="ctr" defTabSz="914400" eaLnBrk="1" fontAlgn="auto" latinLnBrk="0" hangingPunct="1">
            <a:lnSpc>
              <a:spcPct val="100000"/>
            </a:lnSpc>
            <a:spcBef>
              <a:spcPts val="0"/>
            </a:spcBef>
            <a:spcAft>
              <a:spcPts val="0"/>
            </a:spcAft>
            <a:buClrTx/>
            <a:buSzTx/>
            <a:buFontTx/>
            <a:buNone/>
            <a:tabLst/>
            <a:defRPr/>
          </a:pPr>
          <a:r>
            <a:rPr lang="en-US" sz="900">
              <a:solidFill>
                <a:schemeClr val="lt1"/>
              </a:solidFill>
              <a:effectLst/>
              <a:latin typeface="+mn-lt"/>
              <a:ea typeface="+mn-ea"/>
              <a:cs typeface="+mn-cs"/>
            </a:rPr>
            <a:t>SMC_PMCTRL[RUNM],</a:t>
          </a:r>
        </a:p>
        <a:p>
          <a:pPr marL="0" marR="0" indent="0" algn="ctr" defTabSz="914400" eaLnBrk="1" fontAlgn="auto" latinLnBrk="0" hangingPunct="1">
            <a:lnSpc>
              <a:spcPct val="100000"/>
            </a:lnSpc>
            <a:spcBef>
              <a:spcPts val="0"/>
            </a:spcBef>
            <a:spcAft>
              <a:spcPts val="0"/>
            </a:spcAft>
            <a:buClrTx/>
            <a:buSzTx/>
            <a:buFontTx/>
            <a:buNone/>
            <a:tabLst/>
            <a:defRPr/>
          </a:pPr>
          <a:r>
            <a:rPr lang="en-US" sz="900">
              <a:solidFill>
                <a:schemeClr val="lt1"/>
              </a:solidFill>
              <a:effectLst/>
              <a:latin typeface="+mn-lt"/>
              <a:ea typeface="+mn-ea"/>
              <a:cs typeface="+mn-cs"/>
            </a:rPr>
            <a:t>SMC_PMCTRL[STOPM],</a:t>
          </a:r>
        </a:p>
        <a:p>
          <a:pPr marL="0" marR="0" indent="0" algn="ctr" defTabSz="914400" eaLnBrk="1" fontAlgn="auto" latinLnBrk="0" hangingPunct="1">
            <a:lnSpc>
              <a:spcPct val="100000"/>
            </a:lnSpc>
            <a:spcBef>
              <a:spcPts val="0"/>
            </a:spcBef>
            <a:spcAft>
              <a:spcPts val="0"/>
            </a:spcAft>
            <a:buClrTx/>
            <a:buSzTx/>
            <a:buFontTx/>
            <a:buNone/>
            <a:tabLst/>
            <a:defRPr/>
          </a:pPr>
          <a:r>
            <a:rPr lang="en-US" sz="900">
              <a:solidFill>
                <a:schemeClr val="lt1"/>
              </a:solidFill>
              <a:effectLst/>
              <a:latin typeface="+mn-lt"/>
              <a:ea typeface="+mn-ea"/>
              <a:cs typeface="+mn-cs"/>
            </a:rPr>
            <a:t>SMC_STOPCTRL[STOPO]</a:t>
          </a:r>
        </a:p>
      </xdr:txBody>
    </xdr:sp>
    <xdr:clientData/>
  </xdr:twoCellAnchor>
  <xdr:oneCellAnchor>
    <xdr:from>
      <xdr:col>5</xdr:col>
      <xdr:colOff>523875</xdr:colOff>
      <xdr:row>1</xdr:row>
      <xdr:rowOff>28575</xdr:rowOff>
    </xdr:from>
    <xdr:ext cx="5686424" cy="771526"/>
    <xdr:sp macro="" textlink="">
      <xdr:nvSpPr>
        <xdr:cNvPr id="3" name="TextBox 2">
          <a:extLst>
            <a:ext uri="{FF2B5EF4-FFF2-40B4-BE49-F238E27FC236}">
              <a16:creationId xmlns:a16="http://schemas.microsoft.com/office/drawing/2014/main" xmlns="" id="{00000000-0008-0000-0300-000003000000}"/>
            </a:ext>
          </a:extLst>
        </xdr:cNvPr>
        <xdr:cNvSpPr txBox="1"/>
      </xdr:nvSpPr>
      <xdr:spPr>
        <a:xfrm>
          <a:off x="3571875" y="219075"/>
          <a:ext cx="5686424" cy="771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Power</a:t>
          </a:r>
          <a:r>
            <a:rPr lang="en-US" sz="2800" b="1" baseline="0"/>
            <a:t> Mode </a:t>
          </a:r>
          <a:r>
            <a:rPr lang="en-US" sz="2800" b="1"/>
            <a:t>Control</a:t>
          </a:r>
        </a:p>
      </xdr:txBody>
    </xdr:sp>
    <xdr:clientData/>
  </xdr:oneCellAnchor>
  <xdr:twoCellAnchor>
    <xdr:from>
      <xdr:col>3</xdr:col>
      <xdr:colOff>419100</xdr:colOff>
      <xdr:row>12</xdr:row>
      <xdr:rowOff>104775</xdr:rowOff>
    </xdr:from>
    <xdr:to>
      <xdr:col>5</xdr:col>
      <xdr:colOff>205740</xdr:colOff>
      <xdr:row>16</xdr:row>
      <xdr:rowOff>176402</xdr:rowOff>
    </xdr:to>
    <xdr:sp macro="" textlink="">
      <xdr:nvSpPr>
        <xdr:cNvPr id="4" name="Rectangle 3">
          <a:extLst>
            <a:ext uri="{FF2B5EF4-FFF2-40B4-BE49-F238E27FC236}">
              <a16:creationId xmlns:a16="http://schemas.microsoft.com/office/drawing/2014/main" xmlns="" id="{00000000-0008-0000-0300-000004000000}"/>
            </a:ext>
          </a:extLst>
        </xdr:cNvPr>
        <xdr:cNvSpPr/>
      </xdr:nvSpPr>
      <xdr:spPr>
        <a:xfrm>
          <a:off x="2247900" y="2390775"/>
          <a:ext cx="1005840" cy="8336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HSRUN Enable</a:t>
          </a:r>
        </a:p>
        <a:p>
          <a:pPr algn="ctr"/>
          <a:r>
            <a:rPr lang="en-US" sz="900"/>
            <a:t>SMC_PMPROT[AHSRUN]</a:t>
          </a:r>
        </a:p>
      </xdr:txBody>
    </xdr:sp>
    <xdr:clientData/>
  </xdr:twoCellAnchor>
  <xdr:twoCellAnchor>
    <xdr:from>
      <xdr:col>3</xdr:col>
      <xdr:colOff>390525</xdr:colOff>
      <xdr:row>20</xdr:row>
      <xdr:rowOff>123825</xdr:rowOff>
    </xdr:from>
    <xdr:to>
      <xdr:col>5</xdr:col>
      <xdr:colOff>177165</xdr:colOff>
      <xdr:row>24</xdr:row>
      <xdr:rowOff>185927</xdr:rowOff>
    </xdr:to>
    <xdr:sp macro="" textlink="">
      <xdr:nvSpPr>
        <xdr:cNvPr id="5" name="Rectangle 4">
          <a:extLst>
            <a:ext uri="{FF2B5EF4-FFF2-40B4-BE49-F238E27FC236}">
              <a16:creationId xmlns:a16="http://schemas.microsoft.com/office/drawing/2014/main" xmlns="" id="{00000000-0008-0000-0300-000005000000}"/>
            </a:ext>
          </a:extLst>
        </xdr:cNvPr>
        <xdr:cNvSpPr/>
      </xdr:nvSpPr>
      <xdr:spPr>
        <a:xfrm>
          <a:off x="2219325" y="3971925"/>
          <a:ext cx="1005840" cy="8336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VLPR/VLPS Enable</a:t>
          </a:r>
        </a:p>
        <a:p>
          <a:pPr algn="ctr"/>
          <a:r>
            <a:rPr lang="en-US" sz="900"/>
            <a:t>SMC_PMPROT[AVLP]</a:t>
          </a:r>
        </a:p>
      </xdr:txBody>
    </xdr:sp>
    <xdr:clientData/>
  </xdr:twoCellAnchor>
  <xdr:oneCellAnchor>
    <xdr:from>
      <xdr:col>3</xdr:col>
      <xdr:colOff>542924</xdr:colOff>
      <xdr:row>18</xdr:row>
      <xdr:rowOff>9525</xdr:rowOff>
    </xdr:from>
    <xdr:ext cx="1285875" cy="353156"/>
    <xdr:sp macro="" textlink="">
      <xdr:nvSpPr>
        <xdr:cNvPr id="6" name="TextBox 5">
          <a:extLst>
            <a:ext uri="{FF2B5EF4-FFF2-40B4-BE49-F238E27FC236}">
              <a16:creationId xmlns:a16="http://schemas.microsoft.com/office/drawing/2014/main" xmlns="" id="{00000000-0008-0000-0300-000006000000}"/>
            </a:ext>
          </a:extLst>
        </xdr:cNvPr>
        <xdr:cNvSpPr txBox="1"/>
      </xdr:nvSpPr>
      <xdr:spPr>
        <a:xfrm>
          <a:off x="2371724" y="3467100"/>
          <a:ext cx="1285875"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HSRUN not</a:t>
          </a:r>
          <a:r>
            <a:rPr lang="en-US" sz="800" baseline="0"/>
            <a:t> allowed</a:t>
          </a:r>
          <a:endParaRPr lang="en-US" sz="800"/>
        </a:p>
        <a:p>
          <a:r>
            <a:rPr lang="en-US" sz="800"/>
            <a:t>1 - HSRUN allowed</a:t>
          </a:r>
        </a:p>
      </xdr:txBody>
    </xdr:sp>
    <xdr:clientData/>
  </xdr:oneCellAnchor>
  <xdr:oneCellAnchor>
    <xdr:from>
      <xdr:col>3</xdr:col>
      <xdr:colOff>571500</xdr:colOff>
      <xdr:row>26</xdr:row>
      <xdr:rowOff>38100</xdr:rowOff>
    </xdr:from>
    <xdr:ext cx="1609725" cy="353156"/>
    <xdr:sp macro="" textlink="">
      <xdr:nvSpPr>
        <xdr:cNvPr id="7" name="TextBox 6">
          <a:extLst>
            <a:ext uri="{FF2B5EF4-FFF2-40B4-BE49-F238E27FC236}">
              <a16:creationId xmlns:a16="http://schemas.microsoft.com/office/drawing/2014/main" xmlns="" id="{00000000-0008-0000-0300-000007000000}"/>
            </a:ext>
          </a:extLst>
        </xdr:cNvPr>
        <xdr:cNvSpPr txBox="1"/>
      </xdr:nvSpPr>
      <xdr:spPr>
        <a:xfrm>
          <a:off x="2400300" y="5076825"/>
          <a:ext cx="1609725" cy="35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VLPR/VLPS not</a:t>
          </a:r>
          <a:r>
            <a:rPr lang="en-US" sz="800" baseline="0"/>
            <a:t> allowed</a:t>
          </a:r>
          <a:endParaRPr lang="en-US" sz="800"/>
        </a:p>
        <a:p>
          <a:r>
            <a:rPr lang="en-US" sz="800"/>
            <a:t>1 - VLPR/VLPS allowed</a:t>
          </a:r>
        </a:p>
      </xdr:txBody>
    </xdr:sp>
    <xdr:clientData/>
  </xdr:oneCellAnchor>
  <xdr:twoCellAnchor>
    <xdr:from>
      <xdr:col>5</xdr:col>
      <xdr:colOff>219075</xdr:colOff>
      <xdr:row>15</xdr:row>
      <xdr:rowOff>133350</xdr:rowOff>
    </xdr:from>
    <xdr:to>
      <xdr:col>10</xdr:col>
      <xdr:colOff>371475</xdr:colOff>
      <xdr:row>15</xdr:row>
      <xdr:rowOff>133350</xdr:rowOff>
    </xdr:to>
    <xdr:cxnSp macro="">
      <xdr:nvCxnSpPr>
        <xdr:cNvPr id="8" name="Straight Arrow Connector 7">
          <a:extLst>
            <a:ext uri="{FF2B5EF4-FFF2-40B4-BE49-F238E27FC236}">
              <a16:creationId xmlns:a16="http://schemas.microsoft.com/office/drawing/2014/main" xmlns="" id="{00000000-0008-0000-0300-000008000000}"/>
            </a:ext>
          </a:extLst>
        </xdr:cNvPr>
        <xdr:cNvCxnSpPr/>
      </xdr:nvCxnSpPr>
      <xdr:spPr>
        <a:xfrm>
          <a:off x="3267075" y="2990850"/>
          <a:ext cx="32004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200025</xdr:colOff>
      <xdr:row>22</xdr:row>
      <xdr:rowOff>133350</xdr:rowOff>
    </xdr:from>
    <xdr:to>
      <xdr:col>10</xdr:col>
      <xdr:colOff>352425</xdr:colOff>
      <xdr:row>22</xdr:row>
      <xdr:rowOff>133350</xdr:rowOff>
    </xdr:to>
    <xdr:cxnSp macro="">
      <xdr:nvCxnSpPr>
        <xdr:cNvPr id="10" name="Straight Arrow Connector 9">
          <a:extLst>
            <a:ext uri="{FF2B5EF4-FFF2-40B4-BE49-F238E27FC236}">
              <a16:creationId xmlns:a16="http://schemas.microsoft.com/office/drawing/2014/main" xmlns="" id="{00000000-0008-0000-0300-00000A000000}"/>
            </a:ext>
          </a:extLst>
        </xdr:cNvPr>
        <xdr:cNvCxnSpPr/>
      </xdr:nvCxnSpPr>
      <xdr:spPr>
        <a:xfrm>
          <a:off x="3248025" y="4362450"/>
          <a:ext cx="32004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9526</xdr:colOff>
      <xdr:row>1</xdr:row>
      <xdr:rowOff>171451</xdr:rowOff>
    </xdr:from>
    <xdr:to>
      <xdr:col>20</xdr:col>
      <xdr:colOff>600076</xdr:colOff>
      <xdr:row>4</xdr:row>
      <xdr:rowOff>161925</xdr:rowOff>
    </xdr:to>
    <xdr:sp macro="" textlink="">
      <xdr:nvSpPr>
        <xdr:cNvPr id="11" name="TextBox 10">
          <a:extLst>
            <a:ext uri="{FF2B5EF4-FFF2-40B4-BE49-F238E27FC236}">
              <a16:creationId xmlns:a16="http://schemas.microsoft.com/office/drawing/2014/main" xmlns="" id="{00000000-0008-0000-0300-00000B000000}"/>
            </a:ext>
          </a:extLst>
        </xdr:cNvPr>
        <xdr:cNvSpPr txBox="1"/>
      </xdr:nvSpPr>
      <xdr:spPr>
        <a:xfrm>
          <a:off x="9153526" y="361951"/>
          <a:ext cx="3638550" cy="5619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HSRUN</a:t>
          </a:r>
          <a:r>
            <a:rPr lang="en-US" sz="1600" baseline="0"/>
            <a:t> only supported in S32K14x series.</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7</xdr:col>
      <xdr:colOff>337812</xdr:colOff>
      <xdr:row>0</xdr:row>
      <xdr:rowOff>8283</xdr:rowOff>
    </xdr:from>
    <xdr:ext cx="4840942" cy="895348"/>
    <xdr:sp macro="" textlink="">
      <xdr:nvSpPr>
        <xdr:cNvPr id="200" name="TextBox 199">
          <a:extLst>
            <a:ext uri="{FF2B5EF4-FFF2-40B4-BE49-F238E27FC236}">
              <a16:creationId xmlns:a16="http://schemas.microsoft.com/office/drawing/2014/main" xmlns="" id="{00000000-0008-0000-0400-0000C8000000}"/>
            </a:ext>
          </a:extLst>
        </xdr:cNvPr>
        <xdr:cNvSpPr txBox="1"/>
      </xdr:nvSpPr>
      <xdr:spPr>
        <a:xfrm>
          <a:off x="4628203" y="8283"/>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Module Clocking</a:t>
          </a:r>
        </a:p>
      </xdr:txBody>
    </xdr:sp>
    <xdr:clientData/>
  </xdr:oneCellAnchor>
  <xdr:twoCellAnchor>
    <xdr:from>
      <xdr:col>10</xdr:col>
      <xdr:colOff>317229</xdr:colOff>
      <xdr:row>12</xdr:row>
      <xdr:rowOff>56735</xdr:rowOff>
    </xdr:from>
    <xdr:to>
      <xdr:col>10</xdr:col>
      <xdr:colOff>339631</xdr:colOff>
      <xdr:row>534</xdr:row>
      <xdr:rowOff>140805</xdr:rowOff>
    </xdr:to>
    <xdr:cxnSp macro="">
      <xdr:nvCxnSpPr>
        <xdr:cNvPr id="201" name="Straight Arrow Connector 200">
          <a:extLst>
            <a:ext uri="{FF2B5EF4-FFF2-40B4-BE49-F238E27FC236}">
              <a16:creationId xmlns:a16="http://schemas.microsoft.com/office/drawing/2014/main" xmlns="" id="{00000000-0008-0000-0400-0000C9000000}"/>
            </a:ext>
          </a:extLst>
        </xdr:cNvPr>
        <xdr:cNvCxnSpPr/>
      </xdr:nvCxnSpPr>
      <xdr:spPr>
        <a:xfrm>
          <a:off x="6446359" y="2367583"/>
          <a:ext cx="22402" cy="104784526"/>
        </a:xfrm>
        <a:prstGeom prst="straightConnector1">
          <a:avLst/>
        </a:prstGeom>
        <a:ln w="19050">
          <a:solidFill>
            <a:schemeClr val="accent2">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514350</xdr:colOff>
      <xdr:row>9</xdr:row>
      <xdr:rowOff>142875</xdr:rowOff>
    </xdr:from>
    <xdr:ext cx="847725" cy="266700"/>
    <xdr:sp macro="" textlink="">
      <xdr:nvSpPr>
        <xdr:cNvPr id="206" name="TextBox 205">
          <a:hlinkClick xmlns:r="http://schemas.openxmlformats.org/officeDocument/2006/relationships" r:id="rId1"/>
          <a:extLst>
            <a:ext uri="{FF2B5EF4-FFF2-40B4-BE49-F238E27FC236}">
              <a16:creationId xmlns:a16="http://schemas.microsoft.com/office/drawing/2014/main" xmlns="" id="{00000000-0008-0000-0400-0000CE000000}"/>
            </a:ext>
          </a:extLst>
        </xdr:cNvPr>
        <xdr:cNvSpPr txBox="1"/>
      </xdr:nvSpPr>
      <xdr:spPr>
        <a:xfrm>
          <a:off x="6000750" y="185737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BUS_CLK</a:t>
          </a:r>
        </a:p>
      </xdr:txBody>
    </xdr:sp>
    <xdr:clientData/>
  </xdr:oneCellAnchor>
  <xdr:twoCellAnchor>
    <xdr:from>
      <xdr:col>12</xdr:col>
      <xdr:colOff>300426</xdr:colOff>
      <xdr:row>12</xdr:row>
      <xdr:rowOff>28585</xdr:rowOff>
    </xdr:from>
    <xdr:to>
      <xdr:col>12</xdr:col>
      <xdr:colOff>347869</xdr:colOff>
      <xdr:row>534</xdr:row>
      <xdr:rowOff>140805</xdr:rowOff>
    </xdr:to>
    <xdr:cxnSp macro="">
      <xdr:nvCxnSpPr>
        <xdr:cNvPr id="208" name="Straight Arrow Connector 207">
          <a:extLst>
            <a:ext uri="{FF2B5EF4-FFF2-40B4-BE49-F238E27FC236}">
              <a16:creationId xmlns:a16="http://schemas.microsoft.com/office/drawing/2014/main" xmlns="" id="{00000000-0008-0000-0400-0000D0000000}"/>
            </a:ext>
          </a:extLst>
        </xdr:cNvPr>
        <xdr:cNvCxnSpPr/>
      </xdr:nvCxnSpPr>
      <xdr:spPr>
        <a:xfrm flipH="1" flipV="1">
          <a:off x="7655383" y="2339433"/>
          <a:ext cx="47443" cy="104812676"/>
        </a:xfrm>
        <a:prstGeom prst="straightConnector1">
          <a:avLst/>
        </a:prstGeom>
        <a:ln w="19050">
          <a:solidFill>
            <a:schemeClr val="accent5"/>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504825</xdr:colOff>
      <xdr:row>9</xdr:row>
      <xdr:rowOff>152400</xdr:rowOff>
    </xdr:from>
    <xdr:ext cx="847725" cy="266700"/>
    <xdr:sp macro="" textlink="">
      <xdr:nvSpPr>
        <xdr:cNvPr id="214" name="TextBox 213">
          <a:hlinkClick xmlns:r="http://schemas.openxmlformats.org/officeDocument/2006/relationships" r:id="rId2"/>
          <a:extLst>
            <a:ext uri="{FF2B5EF4-FFF2-40B4-BE49-F238E27FC236}">
              <a16:creationId xmlns:a16="http://schemas.microsoft.com/office/drawing/2014/main" xmlns="" id="{00000000-0008-0000-0400-0000D6000000}"/>
            </a:ext>
          </a:extLst>
        </xdr:cNvPr>
        <xdr:cNvSpPr txBox="1"/>
      </xdr:nvSpPr>
      <xdr:spPr>
        <a:xfrm>
          <a:off x="7210425" y="18669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SYS_CLK</a:t>
          </a:r>
        </a:p>
      </xdr:txBody>
    </xdr:sp>
    <xdr:clientData/>
  </xdr:oneCellAnchor>
  <xdr:twoCellAnchor>
    <xdr:from>
      <xdr:col>14</xdr:col>
      <xdr:colOff>304528</xdr:colOff>
      <xdr:row>12</xdr:row>
      <xdr:rowOff>28575</xdr:rowOff>
    </xdr:from>
    <xdr:to>
      <xdr:col>14</xdr:col>
      <xdr:colOff>322007</xdr:colOff>
      <xdr:row>534</xdr:row>
      <xdr:rowOff>165653</xdr:rowOff>
    </xdr:to>
    <xdr:cxnSp macro="">
      <xdr:nvCxnSpPr>
        <xdr:cNvPr id="215" name="Straight Arrow Connector 214">
          <a:extLst>
            <a:ext uri="{FF2B5EF4-FFF2-40B4-BE49-F238E27FC236}">
              <a16:creationId xmlns:a16="http://schemas.microsoft.com/office/drawing/2014/main" xmlns="" id="{00000000-0008-0000-0400-0000D7000000}"/>
            </a:ext>
          </a:extLst>
        </xdr:cNvPr>
        <xdr:cNvCxnSpPr/>
      </xdr:nvCxnSpPr>
      <xdr:spPr>
        <a:xfrm>
          <a:off x="8885311" y="2339423"/>
          <a:ext cx="17479" cy="104837534"/>
        </a:xfrm>
        <a:prstGeom prst="straightConnector1">
          <a:avLst/>
        </a:prstGeom>
        <a:ln w="38100">
          <a:solidFill>
            <a:srgbClr val="00B05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13</xdr:col>
      <xdr:colOff>447675</xdr:colOff>
      <xdr:row>9</xdr:row>
      <xdr:rowOff>161925</xdr:rowOff>
    </xdr:from>
    <xdr:ext cx="990600" cy="266700"/>
    <xdr:sp macro="" textlink="">
      <xdr:nvSpPr>
        <xdr:cNvPr id="223" name="TextBox 222">
          <a:hlinkClick xmlns:r="http://schemas.openxmlformats.org/officeDocument/2006/relationships" r:id="rId3"/>
          <a:extLst>
            <a:ext uri="{FF2B5EF4-FFF2-40B4-BE49-F238E27FC236}">
              <a16:creationId xmlns:a16="http://schemas.microsoft.com/office/drawing/2014/main" xmlns="" id="{00000000-0008-0000-0400-0000DF000000}"/>
            </a:ext>
          </a:extLst>
        </xdr:cNvPr>
        <xdr:cNvSpPr txBox="1"/>
      </xdr:nvSpPr>
      <xdr:spPr>
        <a:xfrm>
          <a:off x="8372475" y="187642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SPLLDIV1_CLK</a:t>
          </a:r>
        </a:p>
      </xdr:txBody>
    </xdr:sp>
    <xdr:clientData/>
  </xdr:oneCellAnchor>
  <xdr:twoCellAnchor>
    <xdr:from>
      <xdr:col>16</xdr:col>
      <xdr:colOff>312966</xdr:colOff>
      <xdr:row>12</xdr:row>
      <xdr:rowOff>40822</xdr:rowOff>
    </xdr:from>
    <xdr:to>
      <xdr:col>16</xdr:col>
      <xdr:colOff>312966</xdr:colOff>
      <xdr:row>534</xdr:row>
      <xdr:rowOff>149087</xdr:rowOff>
    </xdr:to>
    <xdr:cxnSp macro="">
      <xdr:nvCxnSpPr>
        <xdr:cNvPr id="224" name="Straight Arrow Connector 223">
          <a:extLst>
            <a:ext uri="{FF2B5EF4-FFF2-40B4-BE49-F238E27FC236}">
              <a16:creationId xmlns:a16="http://schemas.microsoft.com/office/drawing/2014/main" xmlns="" id="{00000000-0008-0000-0400-0000E0000000}"/>
            </a:ext>
          </a:extLst>
        </xdr:cNvPr>
        <xdr:cNvCxnSpPr/>
      </xdr:nvCxnSpPr>
      <xdr:spPr>
        <a:xfrm>
          <a:off x="10119575" y="2351670"/>
          <a:ext cx="0" cy="104808721"/>
        </a:xfrm>
        <a:prstGeom prst="straightConnector1">
          <a:avLst/>
        </a:prstGeom>
        <a:ln w="38100">
          <a:solidFill>
            <a:srgbClr val="92D05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448234</xdr:colOff>
      <xdr:row>9</xdr:row>
      <xdr:rowOff>156882</xdr:rowOff>
    </xdr:from>
    <xdr:ext cx="990600" cy="266700"/>
    <xdr:sp macro="" textlink="">
      <xdr:nvSpPr>
        <xdr:cNvPr id="233" name="TextBox 232">
          <a:hlinkClick xmlns:r="http://schemas.openxmlformats.org/officeDocument/2006/relationships" r:id="rId4"/>
          <a:extLst>
            <a:ext uri="{FF2B5EF4-FFF2-40B4-BE49-F238E27FC236}">
              <a16:creationId xmlns:a16="http://schemas.microsoft.com/office/drawing/2014/main" xmlns="" id="{00000000-0008-0000-0400-0000E9000000}"/>
            </a:ext>
          </a:extLst>
        </xdr:cNvPr>
        <xdr:cNvSpPr txBox="1"/>
      </xdr:nvSpPr>
      <xdr:spPr>
        <a:xfrm>
          <a:off x="9524999" y="1871382"/>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SPLLDIV2_CLK</a:t>
          </a:r>
        </a:p>
      </xdr:txBody>
    </xdr:sp>
    <xdr:clientData/>
  </xdr:oneCellAnchor>
  <xdr:twoCellAnchor>
    <xdr:from>
      <xdr:col>18</xdr:col>
      <xdr:colOff>313764</xdr:colOff>
      <xdr:row>12</xdr:row>
      <xdr:rowOff>56029</xdr:rowOff>
    </xdr:from>
    <xdr:to>
      <xdr:col>18</xdr:col>
      <xdr:colOff>313764</xdr:colOff>
      <xdr:row>534</xdr:row>
      <xdr:rowOff>173935</xdr:rowOff>
    </xdr:to>
    <xdr:cxnSp macro="">
      <xdr:nvCxnSpPr>
        <xdr:cNvPr id="234" name="Straight Arrow Connector 233">
          <a:extLst>
            <a:ext uri="{FF2B5EF4-FFF2-40B4-BE49-F238E27FC236}">
              <a16:creationId xmlns:a16="http://schemas.microsoft.com/office/drawing/2014/main" xmlns="" id="{00000000-0008-0000-0400-0000EA000000}"/>
            </a:ext>
          </a:extLst>
        </xdr:cNvPr>
        <xdr:cNvCxnSpPr/>
      </xdr:nvCxnSpPr>
      <xdr:spPr>
        <a:xfrm>
          <a:off x="11346199" y="2366877"/>
          <a:ext cx="0" cy="104818362"/>
        </a:xfrm>
        <a:prstGeom prst="straightConnector1">
          <a:avLst/>
        </a:prstGeom>
        <a:ln w="38100">
          <a:solidFill>
            <a:srgbClr val="0070C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459440</xdr:colOff>
      <xdr:row>9</xdr:row>
      <xdr:rowOff>145678</xdr:rowOff>
    </xdr:from>
    <xdr:ext cx="990600" cy="266700"/>
    <xdr:sp macro="" textlink="">
      <xdr:nvSpPr>
        <xdr:cNvPr id="244" name="TextBox 243">
          <a:hlinkClick xmlns:r="http://schemas.openxmlformats.org/officeDocument/2006/relationships" r:id="rId5"/>
          <a:extLst>
            <a:ext uri="{FF2B5EF4-FFF2-40B4-BE49-F238E27FC236}">
              <a16:creationId xmlns:a16="http://schemas.microsoft.com/office/drawing/2014/main" xmlns="" id="{00000000-0008-0000-0400-0000F4000000}"/>
            </a:ext>
          </a:extLst>
        </xdr:cNvPr>
        <xdr:cNvSpPr txBox="1"/>
      </xdr:nvSpPr>
      <xdr:spPr>
        <a:xfrm>
          <a:off x="10746440" y="1860178"/>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FIRCDIV1_CLK</a:t>
          </a:r>
        </a:p>
      </xdr:txBody>
    </xdr:sp>
    <xdr:clientData/>
  </xdr:oneCellAnchor>
  <xdr:twoCellAnchor>
    <xdr:from>
      <xdr:col>20</xdr:col>
      <xdr:colOff>313766</xdr:colOff>
      <xdr:row>12</xdr:row>
      <xdr:rowOff>56029</xdr:rowOff>
    </xdr:from>
    <xdr:to>
      <xdr:col>20</xdr:col>
      <xdr:colOff>313766</xdr:colOff>
      <xdr:row>534</xdr:row>
      <xdr:rowOff>124239</xdr:rowOff>
    </xdr:to>
    <xdr:cxnSp macro="">
      <xdr:nvCxnSpPr>
        <xdr:cNvPr id="245" name="Straight Arrow Connector 244">
          <a:extLst>
            <a:ext uri="{FF2B5EF4-FFF2-40B4-BE49-F238E27FC236}">
              <a16:creationId xmlns:a16="http://schemas.microsoft.com/office/drawing/2014/main" xmlns="" id="{00000000-0008-0000-0400-0000F5000000}"/>
            </a:ext>
          </a:extLst>
        </xdr:cNvPr>
        <xdr:cNvCxnSpPr/>
      </xdr:nvCxnSpPr>
      <xdr:spPr>
        <a:xfrm>
          <a:off x="12572027" y="2366877"/>
          <a:ext cx="0" cy="104768666"/>
        </a:xfrm>
        <a:prstGeom prst="straightConnector1">
          <a:avLst/>
        </a:prstGeom>
        <a:ln w="38100">
          <a:solidFill>
            <a:schemeClr val="tx2">
              <a:lumMod val="40000"/>
              <a:lumOff val="60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19</xdr:col>
      <xdr:colOff>425824</xdr:colOff>
      <xdr:row>9</xdr:row>
      <xdr:rowOff>156883</xdr:rowOff>
    </xdr:from>
    <xdr:ext cx="990600" cy="266700"/>
    <xdr:sp macro="" textlink="">
      <xdr:nvSpPr>
        <xdr:cNvPr id="250" name="TextBox 249">
          <a:hlinkClick xmlns:r="http://schemas.openxmlformats.org/officeDocument/2006/relationships" r:id="rId6"/>
          <a:extLst>
            <a:ext uri="{FF2B5EF4-FFF2-40B4-BE49-F238E27FC236}">
              <a16:creationId xmlns:a16="http://schemas.microsoft.com/office/drawing/2014/main" xmlns="" id="{00000000-0008-0000-0400-0000FA000000}"/>
            </a:ext>
          </a:extLst>
        </xdr:cNvPr>
        <xdr:cNvSpPr txBox="1"/>
      </xdr:nvSpPr>
      <xdr:spPr>
        <a:xfrm>
          <a:off x="11923059" y="187138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FIRCDIV2_CLK</a:t>
          </a:r>
        </a:p>
      </xdr:txBody>
    </xdr:sp>
    <xdr:clientData/>
  </xdr:oneCellAnchor>
  <xdr:twoCellAnchor>
    <xdr:from>
      <xdr:col>22</xdr:col>
      <xdr:colOff>302560</xdr:colOff>
      <xdr:row>12</xdr:row>
      <xdr:rowOff>38498</xdr:rowOff>
    </xdr:from>
    <xdr:to>
      <xdr:col>22</xdr:col>
      <xdr:colOff>324458</xdr:colOff>
      <xdr:row>534</xdr:row>
      <xdr:rowOff>124239</xdr:rowOff>
    </xdr:to>
    <xdr:cxnSp macro="">
      <xdr:nvCxnSpPr>
        <xdr:cNvPr id="251" name="Straight Arrow Connector 250">
          <a:extLst>
            <a:ext uri="{FF2B5EF4-FFF2-40B4-BE49-F238E27FC236}">
              <a16:creationId xmlns:a16="http://schemas.microsoft.com/office/drawing/2014/main" xmlns="" id="{00000000-0008-0000-0400-0000FB000000}"/>
            </a:ext>
          </a:extLst>
        </xdr:cNvPr>
        <xdr:cNvCxnSpPr/>
      </xdr:nvCxnSpPr>
      <xdr:spPr>
        <a:xfrm>
          <a:off x="13786647" y="2349346"/>
          <a:ext cx="21898" cy="104786197"/>
        </a:xfrm>
        <a:prstGeom prst="straightConnector1">
          <a:avLst/>
        </a:prstGeom>
        <a:ln w="38100">
          <a:solidFill>
            <a:srgbClr val="FFC0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459440</xdr:colOff>
      <xdr:row>9</xdr:row>
      <xdr:rowOff>156883</xdr:rowOff>
    </xdr:from>
    <xdr:ext cx="990600" cy="266700"/>
    <xdr:sp macro="" textlink="">
      <xdr:nvSpPr>
        <xdr:cNvPr id="257" name="TextBox 256">
          <a:hlinkClick xmlns:r="http://schemas.openxmlformats.org/officeDocument/2006/relationships" r:id="rId7"/>
          <a:extLst>
            <a:ext uri="{FF2B5EF4-FFF2-40B4-BE49-F238E27FC236}">
              <a16:creationId xmlns:a16="http://schemas.microsoft.com/office/drawing/2014/main" xmlns="" id="{00000000-0008-0000-0400-000001010000}"/>
            </a:ext>
          </a:extLst>
        </xdr:cNvPr>
        <xdr:cNvSpPr txBox="1"/>
      </xdr:nvSpPr>
      <xdr:spPr>
        <a:xfrm>
          <a:off x="13166911" y="187138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SIRCDIV1_CLK</a:t>
          </a:r>
        </a:p>
      </xdr:txBody>
    </xdr:sp>
    <xdr:clientData/>
  </xdr:oneCellAnchor>
  <xdr:twoCellAnchor>
    <xdr:from>
      <xdr:col>24</xdr:col>
      <xdr:colOff>302559</xdr:colOff>
      <xdr:row>12</xdr:row>
      <xdr:rowOff>60909</xdr:rowOff>
    </xdr:from>
    <xdr:to>
      <xdr:col>24</xdr:col>
      <xdr:colOff>302559</xdr:colOff>
      <xdr:row>534</xdr:row>
      <xdr:rowOff>149087</xdr:rowOff>
    </xdr:to>
    <xdr:cxnSp macro="">
      <xdr:nvCxnSpPr>
        <xdr:cNvPr id="258" name="Straight Arrow Connector 257">
          <a:extLst>
            <a:ext uri="{FF2B5EF4-FFF2-40B4-BE49-F238E27FC236}">
              <a16:creationId xmlns:a16="http://schemas.microsoft.com/office/drawing/2014/main" xmlns="" id="{00000000-0008-0000-0400-000002010000}"/>
            </a:ext>
          </a:extLst>
        </xdr:cNvPr>
        <xdr:cNvCxnSpPr/>
      </xdr:nvCxnSpPr>
      <xdr:spPr>
        <a:xfrm>
          <a:off x="15012472" y="2371757"/>
          <a:ext cx="0" cy="104788634"/>
        </a:xfrm>
        <a:prstGeom prst="straightConnector1">
          <a:avLst/>
        </a:prstGeom>
        <a:ln w="38100">
          <a:solidFill>
            <a:schemeClr val="accent6">
              <a:lumMod val="75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23</xdr:col>
      <xdr:colOff>448236</xdr:colOff>
      <xdr:row>9</xdr:row>
      <xdr:rowOff>168089</xdr:rowOff>
    </xdr:from>
    <xdr:ext cx="990600" cy="266700"/>
    <xdr:sp macro="" textlink="">
      <xdr:nvSpPr>
        <xdr:cNvPr id="262" name="TextBox 261">
          <a:hlinkClick xmlns:r="http://schemas.openxmlformats.org/officeDocument/2006/relationships" r:id="rId8"/>
          <a:extLst>
            <a:ext uri="{FF2B5EF4-FFF2-40B4-BE49-F238E27FC236}">
              <a16:creationId xmlns:a16="http://schemas.microsoft.com/office/drawing/2014/main" xmlns="" id="{00000000-0008-0000-0400-000006010000}"/>
            </a:ext>
          </a:extLst>
        </xdr:cNvPr>
        <xdr:cNvSpPr txBox="1"/>
      </xdr:nvSpPr>
      <xdr:spPr>
        <a:xfrm>
          <a:off x="14365942" y="1882589"/>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SIRCDIV2_CLK</a:t>
          </a:r>
        </a:p>
      </xdr:txBody>
    </xdr:sp>
    <xdr:clientData/>
  </xdr:oneCellAnchor>
  <xdr:twoCellAnchor>
    <xdr:from>
      <xdr:col>26</xdr:col>
      <xdr:colOff>313765</xdr:colOff>
      <xdr:row>12</xdr:row>
      <xdr:rowOff>0</xdr:rowOff>
    </xdr:from>
    <xdr:to>
      <xdr:col>26</xdr:col>
      <xdr:colOff>331304</xdr:colOff>
      <xdr:row>534</xdr:row>
      <xdr:rowOff>149087</xdr:rowOff>
    </xdr:to>
    <xdr:cxnSp macro="">
      <xdr:nvCxnSpPr>
        <xdr:cNvPr id="263" name="Straight Arrow Connector 262">
          <a:extLst>
            <a:ext uri="{FF2B5EF4-FFF2-40B4-BE49-F238E27FC236}">
              <a16:creationId xmlns:a16="http://schemas.microsoft.com/office/drawing/2014/main" xmlns="" id="{00000000-0008-0000-0400-000007010000}"/>
            </a:ext>
          </a:extLst>
        </xdr:cNvPr>
        <xdr:cNvCxnSpPr/>
      </xdr:nvCxnSpPr>
      <xdr:spPr>
        <a:xfrm>
          <a:off x="16249504" y="2310848"/>
          <a:ext cx="17539" cy="104849543"/>
        </a:xfrm>
        <a:prstGeom prst="straightConnector1">
          <a:avLst/>
        </a:prstGeom>
        <a:ln w="38100">
          <a:solidFill>
            <a:srgbClr val="FF00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25</xdr:col>
      <xdr:colOff>459442</xdr:colOff>
      <xdr:row>9</xdr:row>
      <xdr:rowOff>156883</xdr:rowOff>
    </xdr:from>
    <xdr:ext cx="990600" cy="266700"/>
    <xdr:sp macro="" textlink="">
      <xdr:nvSpPr>
        <xdr:cNvPr id="267" name="TextBox 266">
          <a:hlinkClick xmlns:r="http://schemas.openxmlformats.org/officeDocument/2006/relationships" r:id="rId9"/>
          <a:extLst>
            <a:ext uri="{FF2B5EF4-FFF2-40B4-BE49-F238E27FC236}">
              <a16:creationId xmlns:a16="http://schemas.microsoft.com/office/drawing/2014/main" xmlns="" id="{00000000-0008-0000-0400-00000B010000}"/>
            </a:ext>
          </a:extLst>
        </xdr:cNvPr>
        <xdr:cNvSpPr txBox="1"/>
      </xdr:nvSpPr>
      <xdr:spPr>
        <a:xfrm>
          <a:off x="15587383" y="187138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SOSCDIV1_CLK</a:t>
          </a:r>
        </a:p>
      </xdr:txBody>
    </xdr:sp>
    <xdr:clientData/>
  </xdr:oneCellAnchor>
  <xdr:twoCellAnchor>
    <xdr:from>
      <xdr:col>28</xdr:col>
      <xdr:colOff>313782</xdr:colOff>
      <xdr:row>12</xdr:row>
      <xdr:rowOff>56030</xdr:rowOff>
    </xdr:from>
    <xdr:to>
      <xdr:col>28</xdr:col>
      <xdr:colOff>314739</xdr:colOff>
      <xdr:row>534</xdr:row>
      <xdr:rowOff>140805</xdr:rowOff>
    </xdr:to>
    <xdr:cxnSp macro="">
      <xdr:nvCxnSpPr>
        <xdr:cNvPr id="268" name="Straight Arrow Connector 267">
          <a:extLst>
            <a:ext uri="{FF2B5EF4-FFF2-40B4-BE49-F238E27FC236}">
              <a16:creationId xmlns:a16="http://schemas.microsoft.com/office/drawing/2014/main" xmlns="" id="{00000000-0008-0000-0400-00000C010000}"/>
            </a:ext>
          </a:extLst>
        </xdr:cNvPr>
        <xdr:cNvCxnSpPr/>
      </xdr:nvCxnSpPr>
      <xdr:spPr>
        <a:xfrm>
          <a:off x="17475347" y="2366878"/>
          <a:ext cx="957" cy="104785231"/>
        </a:xfrm>
        <a:prstGeom prst="straightConnector1">
          <a:avLst/>
        </a:prstGeom>
        <a:ln w="38100">
          <a:solidFill>
            <a:srgbClr val="CC0066"/>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425824</xdr:colOff>
      <xdr:row>9</xdr:row>
      <xdr:rowOff>156884</xdr:rowOff>
    </xdr:from>
    <xdr:ext cx="990600" cy="266700"/>
    <xdr:sp macro="" textlink="">
      <xdr:nvSpPr>
        <xdr:cNvPr id="275" name="TextBox 274">
          <a:hlinkClick xmlns:r="http://schemas.openxmlformats.org/officeDocument/2006/relationships" r:id="rId10"/>
          <a:extLst>
            <a:ext uri="{FF2B5EF4-FFF2-40B4-BE49-F238E27FC236}">
              <a16:creationId xmlns:a16="http://schemas.microsoft.com/office/drawing/2014/main" xmlns="" id="{00000000-0008-0000-0400-000013010000}"/>
            </a:ext>
          </a:extLst>
        </xdr:cNvPr>
        <xdr:cNvSpPr txBox="1"/>
      </xdr:nvSpPr>
      <xdr:spPr>
        <a:xfrm>
          <a:off x="16764000" y="1871384"/>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SOSCDIV2_CLK</a:t>
          </a:r>
        </a:p>
      </xdr:txBody>
    </xdr:sp>
    <xdr:clientData/>
  </xdr:oneCellAnchor>
  <xdr:twoCellAnchor>
    <xdr:from>
      <xdr:col>0</xdr:col>
      <xdr:colOff>381000</xdr:colOff>
      <xdr:row>13</xdr:row>
      <xdr:rowOff>39414</xdr:rowOff>
    </xdr:from>
    <xdr:to>
      <xdr:col>2</xdr:col>
      <xdr:colOff>231927</xdr:colOff>
      <xdr:row>17</xdr:row>
      <xdr:rowOff>5540</xdr:rowOff>
    </xdr:to>
    <xdr:grpSp>
      <xdr:nvGrpSpPr>
        <xdr:cNvPr id="276" name="Group 275">
          <a:extLst>
            <a:ext uri="{FF2B5EF4-FFF2-40B4-BE49-F238E27FC236}">
              <a16:creationId xmlns:a16="http://schemas.microsoft.com/office/drawing/2014/main" xmlns="" id="{00000000-0008-0000-0400-000014010000}"/>
            </a:ext>
          </a:extLst>
        </xdr:cNvPr>
        <xdr:cNvGrpSpPr/>
      </xdr:nvGrpSpPr>
      <xdr:grpSpPr>
        <a:xfrm>
          <a:off x="381000" y="2406096"/>
          <a:ext cx="1123915" cy="746056"/>
          <a:chOff x="610115" y="190500"/>
          <a:chExt cx="1064161" cy="734695"/>
        </a:xfrm>
      </xdr:grpSpPr>
      <xdr:sp macro="" textlink="">
        <xdr:nvSpPr>
          <xdr:cNvPr id="277" name="Rectangle 276">
            <a:extLst>
              <a:ext uri="{FF2B5EF4-FFF2-40B4-BE49-F238E27FC236}">
                <a16:creationId xmlns:a16="http://schemas.microsoft.com/office/drawing/2014/main" xmlns="" id="{00000000-0008-0000-0400-000015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LPSPI0</a:t>
            </a:r>
          </a:p>
        </xdr:txBody>
      </xdr:sp>
      <xdr:sp macro="" textlink="">
        <xdr:nvSpPr>
          <xdr:cNvPr id="279" name="TextBox 278">
            <a:extLst>
              <a:ext uri="{FF2B5EF4-FFF2-40B4-BE49-F238E27FC236}">
                <a16:creationId xmlns:a16="http://schemas.microsoft.com/office/drawing/2014/main" xmlns="" id="{00000000-0008-0000-0400-000017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80" name="TextBox 279">
            <a:extLst>
              <a:ext uri="{FF2B5EF4-FFF2-40B4-BE49-F238E27FC236}">
                <a16:creationId xmlns:a16="http://schemas.microsoft.com/office/drawing/2014/main" xmlns="" id="{00000000-0008-0000-0400-000018010000}"/>
              </a:ext>
            </a:extLst>
          </xdr:cNvPr>
          <xdr:cNvSpPr txBox="1"/>
        </xdr:nvSpPr>
        <xdr:spPr>
          <a:xfrm>
            <a:off x="961997" y="709226"/>
            <a:ext cx="712279"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400707</xdr:colOff>
      <xdr:row>11</xdr:row>
      <xdr:rowOff>39414</xdr:rowOff>
    </xdr:from>
    <xdr:to>
      <xdr:col>6</xdr:col>
      <xdr:colOff>201896</xdr:colOff>
      <xdr:row>14</xdr:row>
      <xdr:rowOff>176333</xdr:rowOff>
    </xdr:to>
    <xdr:sp macro="" textlink="">
      <xdr:nvSpPr>
        <xdr:cNvPr id="282" name="Rectangle 281">
          <a:extLst>
            <a:ext uri="{FF2B5EF4-FFF2-40B4-BE49-F238E27FC236}">
              <a16:creationId xmlns:a16="http://schemas.microsoft.com/office/drawing/2014/main" xmlns="" id="{00000000-0008-0000-0400-00001A010000}"/>
            </a:ext>
          </a:extLst>
        </xdr:cNvPr>
        <xdr:cNvSpPr/>
      </xdr:nvSpPr>
      <xdr:spPr>
        <a:xfrm>
          <a:off x="2844362" y="2141483"/>
          <a:ext cx="1023017"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LPSPI0 Clock</a:t>
          </a:r>
          <a:r>
            <a:rPr lang="en-US" sz="1100" baseline="0"/>
            <a:t> Enable</a:t>
          </a:r>
        </a:p>
        <a:p>
          <a:pPr algn="ctr"/>
          <a:r>
            <a:rPr lang="en-US" sz="900"/>
            <a:t>PCC_LPSPI0[CGC]</a:t>
          </a:r>
        </a:p>
      </xdr:txBody>
    </xdr:sp>
    <xdr:clientData/>
  </xdr:twoCellAnchor>
  <xdr:oneCellAnchor>
    <xdr:from>
      <xdr:col>4</xdr:col>
      <xdr:colOff>545225</xdr:colOff>
      <xdr:row>16</xdr:row>
      <xdr:rowOff>0</xdr:rowOff>
    </xdr:from>
    <xdr:ext cx="860534" cy="367862"/>
    <xdr:sp macro="" textlink="">
      <xdr:nvSpPr>
        <xdr:cNvPr id="285" name="TextBox 284">
          <a:extLst>
            <a:ext uri="{FF2B5EF4-FFF2-40B4-BE49-F238E27FC236}">
              <a16:creationId xmlns:a16="http://schemas.microsoft.com/office/drawing/2014/main" xmlns="" id="{00000000-0008-0000-0400-00001D010000}"/>
            </a:ext>
          </a:extLst>
        </xdr:cNvPr>
        <xdr:cNvSpPr txBox="1"/>
      </xdr:nvSpPr>
      <xdr:spPr>
        <a:xfrm>
          <a:off x="2988880" y="3107121"/>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201896</xdr:colOff>
      <xdr:row>12</xdr:row>
      <xdr:rowOff>196555</xdr:rowOff>
    </xdr:from>
    <xdr:to>
      <xdr:col>10</xdr:col>
      <xdr:colOff>315310</xdr:colOff>
      <xdr:row>12</xdr:row>
      <xdr:rowOff>196555</xdr:rowOff>
    </xdr:to>
    <xdr:cxnSp macro="">
      <xdr:nvCxnSpPr>
        <xdr:cNvPr id="287" name="Straight Arrow Connector 286">
          <a:extLst>
            <a:ext uri="{FF2B5EF4-FFF2-40B4-BE49-F238E27FC236}">
              <a16:creationId xmlns:a16="http://schemas.microsoft.com/office/drawing/2014/main" xmlns="" id="{00000000-0008-0000-0400-00001F010000}"/>
            </a:ext>
          </a:extLst>
        </xdr:cNvPr>
        <xdr:cNvCxnSpPr>
          <a:endCxn id="282" idx="3"/>
        </xdr:cNvCxnSpPr>
      </xdr:nvCxnSpPr>
      <xdr:spPr>
        <a:xfrm flipH="1">
          <a:off x="3867379" y="2508831"/>
          <a:ext cx="2557069"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191465</xdr:colOff>
      <xdr:row>13</xdr:row>
      <xdr:rowOff>159291</xdr:rowOff>
    </xdr:from>
    <xdr:to>
      <xdr:col>4</xdr:col>
      <xdr:colOff>400707</xdr:colOff>
      <xdr:row>13</xdr:row>
      <xdr:rowOff>159291</xdr:rowOff>
    </xdr:to>
    <xdr:cxnSp macro="">
      <xdr:nvCxnSpPr>
        <xdr:cNvPr id="290" name="Straight Arrow Connector 289">
          <a:extLst>
            <a:ext uri="{FF2B5EF4-FFF2-40B4-BE49-F238E27FC236}">
              <a16:creationId xmlns:a16="http://schemas.microsoft.com/office/drawing/2014/main" xmlns="" id="{00000000-0008-0000-0400-000022010000}"/>
            </a:ext>
          </a:extLst>
        </xdr:cNvPr>
        <xdr:cNvCxnSpPr>
          <a:endCxn id="279" idx="3"/>
        </xdr:cNvCxnSpPr>
      </xdr:nvCxnSpPr>
      <xdr:spPr>
        <a:xfrm flipH="1">
          <a:off x="1413293" y="2668636"/>
          <a:ext cx="14310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387569</xdr:colOff>
      <xdr:row>19</xdr:row>
      <xdr:rowOff>6569</xdr:rowOff>
    </xdr:from>
    <xdr:to>
      <xdr:col>6</xdr:col>
      <xdr:colOff>188758</xdr:colOff>
      <xdr:row>22</xdr:row>
      <xdr:rowOff>176333</xdr:rowOff>
    </xdr:to>
    <xdr:sp macro="" textlink="">
      <xdr:nvSpPr>
        <xdr:cNvPr id="295" name="Rectangle 294">
          <a:extLst>
            <a:ext uri="{FF2B5EF4-FFF2-40B4-BE49-F238E27FC236}">
              <a16:creationId xmlns:a16="http://schemas.microsoft.com/office/drawing/2014/main" xmlns="" id="{00000000-0008-0000-0400-000027010000}"/>
            </a:ext>
          </a:extLst>
        </xdr:cNvPr>
        <xdr:cNvSpPr/>
      </xdr:nvSpPr>
      <xdr:spPr>
        <a:xfrm>
          <a:off x="2831224" y="3711466"/>
          <a:ext cx="1023017" cy="7412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 Per.</a:t>
          </a:r>
          <a:r>
            <a:rPr lang="en-US" sz="1100" baseline="0"/>
            <a:t> </a:t>
          </a:r>
          <a:r>
            <a:rPr lang="en-US" sz="1100"/>
            <a:t>Clk.</a:t>
          </a:r>
          <a:r>
            <a:rPr lang="en-US" sz="1100" baseline="0"/>
            <a:t> Select</a:t>
          </a:r>
        </a:p>
        <a:p>
          <a:pPr algn="ctr"/>
          <a:r>
            <a:rPr lang="en-US" sz="900"/>
            <a:t>PCC_LPSPI0[PCS]</a:t>
          </a:r>
        </a:p>
      </xdr:txBody>
    </xdr:sp>
    <xdr:clientData/>
  </xdr:twoCellAnchor>
  <xdr:twoCellAnchor>
    <xdr:from>
      <xdr:col>6</xdr:col>
      <xdr:colOff>223345</xdr:colOff>
      <xdr:row>19</xdr:row>
      <xdr:rowOff>118240</xdr:rowOff>
    </xdr:from>
    <xdr:to>
      <xdr:col>28</xdr:col>
      <xdr:colOff>328449</xdr:colOff>
      <xdr:row>19</xdr:row>
      <xdr:rowOff>118240</xdr:rowOff>
    </xdr:to>
    <xdr:cxnSp macro="">
      <xdr:nvCxnSpPr>
        <xdr:cNvPr id="296" name="Straight Arrow Connector 295">
          <a:extLst>
            <a:ext uri="{FF2B5EF4-FFF2-40B4-BE49-F238E27FC236}">
              <a16:creationId xmlns:a16="http://schemas.microsoft.com/office/drawing/2014/main" xmlns="" id="{00000000-0008-0000-0400-000028010000}"/>
            </a:ext>
          </a:extLst>
        </xdr:cNvPr>
        <xdr:cNvCxnSpPr/>
      </xdr:nvCxnSpPr>
      <xdr:spPr>
        <a:xfrm flipH="1">
          <a:off x="3888828" y="3823137"/>
          <a:ext cx="13545207"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203638</xdr:colOff>
      <xdr:row>20</xdr:row>
      <xdr:rowOff>116552</xdr:rowOff>
    </xdr:from>
    <xdr:to>
      <xdr:col>24</xdr:col>
      <xdr:colOff>295603</xdr:colOff>
      <xdr:row>20</xdr:row>
      <xdr:rowOff>116553</xdr:rowOff>
    </xdr:to>
    <xdr:cxnSp macro="">
      <xdr:nvCxnSpPr>
        <xdr:cNvPr id="299" name="Straight Arrow Connector 298">
          <a:extLst>
            <a:ext uri="{FF2B5EF4-FFF2-40B4-BE49-F238E27FC236}">
              <a16:creationId xmlns:a16="http://schemas.microsoft.com/office/drawing/2014/main" xmlns="" id="{00000000-0008-0000-0400-00002B010000}"/>
            </a:ext>
          </a:extLst>
        </xdr:cNvPr>
        <xdr:cNvCxnSpPr/>
      </xdr:nvCxnSpPr>
      <xdr:spPr>
        <a:xfrm flipH="1">
          <a:off x="3869121" y="4011949"/>
          <a:ext cx="11088413" cy="1"/>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216776</xdr:colOff>
      <xdr:row>21</xdr:row>
      <xdr:rowOff>124810</xdr:rowOff>
    </xdr:from>
    <xdr:to>
      <xdr:col>20</xdr:col>
      <xdr:colOff>321880</xdr:colOff>
      <xdr:row>21</xdr:row>
      <xdr:rowOff>124810</xdr:rowOff>
    </xdr:to>
    <xdr:cxnSp macro="">
      <xdr:nvCxnSpPr>
        <xdr:cNvPr id="302" name="Straight Arrow Connector 301">
          <a:extLst>
            <a:ext uri="{FF2B5EF4-FFF2-40B4-BE49-F238E27FC236}">
              <a16:creationId xmlns:a16="http://schemas.microsoft.com/office/drawing/2014/main" xmlns="" id="{00000000-0008-0000-0400-00002E010000}"/>
            </a:ext>
          </a:extLst>
        </xdr:cNvPr>
        <xdr:cNvCxnSpPr/>
      </xdr:nvCxnSpPr>
      <xdr:spPr>
        <a:xfrm flipH="1">
          <a:off x="3882259" y="4210707"/>
          <a:ext cx="8657897"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223345</xdr:colOff>
      <xdr:row>22</xdr:row>
      <xdr:rowOff>118241</xdr:rowOff>
    </xdr:from>
    <xdr:to>
      <xdr:col>16</xdr:col>
      <xdr:colOff>295605</xdr:colOff>
      <xdr:row>22</xdr:row>
      <xdr:rowOff>118241</xdr:rowOff>
    </xdr:to>
    <xdr:cxnSp macro="">
      <xdr:nvCxnSpPr>
        <xdr:cNvPr id="305" name="Straight Arrow Connector 304">
          <a:extLst>
            <a:ext uri="{FF2B5EF4-FFF2-40B4-BE49-F238E27FC236}">
              <a16:creationId xmlns:a16="http://schemas.microsoft.com/office/drawing/2014/main" xmlns="" id="{00000000-0008-0000-0400-000031010000}"/>
            </a:ext>
          </a:extLst>
        </xdr:cNvPr>
        <xdr:cNvCxnSpPr/>
      </xdr:nvCxnSpPr>
      <xdr:spPr>
        <a:xfrm flipH="1">
          <a:off x="3888828" y="4394638"/>
          <a:ext cx="618139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231927</xdr:colOff>
      <xdr:row>16</xdr:row>
      <xdr:rowOff>69274</xdr:rowOff>
    </xdr:from>
    <xdr:to>
      <xdr:col>2</xdr:col>
      <xdr:colOff>538655</xdr:colOff>
      <xdr:row>16</xdr:row>
      <xdr:rowOff>69274</xdr:rowOff>
    </xdr:to>
    <xdr:cxnSp macro="">
      <xdr:nvCxnSpPr>
        <xdr:cNvPr id="309" name="Straight Arrow Connector 308">
          <a:extLst>
            <a:ext uri="{FF2B5EF4-FFF2-40B4-BE49-F238E27FC236}">
              <a16:creationId xmlns:a16="http://schemas.microsoft.com/office/drawing/2014/main" xmlns="" id="{00000000-0008-0000-0400-000035010000}"/>
            </a:ext>
          </a:extLst>
        </xdr:cNvPr>
        <xdr:cNvCxnSpPr>
          <a:endCxn id="280" idx="3"/>
        </xdr:cNvCxnSpPr>
      </xdr:nvCxnSpPr>
      <xdr:spPr>
        <a:xfrm flipH="1">
          <a:off x="1453755" y="3196102"/>
          <a:ext cx="3067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538655</xdr:colOff>
      <xdr:row>21</xdr:row>
      <xdr:rowOff>19706</xdr:rowOff>
    </xdr:from>
    <xdr:to>
      <xdr:col>4</xdr:col>
      <xdr:colOff>359280</xdr:colOff>
      <xdr:row>21</xdr:row>
      <xdr:rowOff>19706</xdr:rowOff>
    </xdr:to>
    <xdr:cxnSp macro="">
      <xdr:nvCxnSpPr>
        <xdr:cNvPr id="315" name="Straight Arrow Connector 314">
          <a:extLst>
            <a:ext uri="{FF2B5EF4-FFF2-40B4-BE49-F238E27FC236}">
              <a16:creationId xmlns:a16="http://schemas.microsoft.com/office/drawing/2014/main" xmlns="" id="{00000000-0008-0000-0400-00003B010000}"/>
            </a:ext>
          </a:extLst>
        </xdr:cNvPr>
        <xdr:cNvCxnSpPr/>
      </xdr:nvCxnSpPr>
      <xdr:spPr>
        <a:xfrm flipH="1">
          <a:off x="1760483" y="4105603"/>
          <a:ext cx="104245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538655</xdr:colOff>
      <xdr:row>16</xdr:row>
      <xdr:rowOff>65688</xdr:rowOff>
    </xdr:from>
    <xdr:to>
      <xdr:col>2</xdr:col>
      <xdr:colOff>538656</xdr:colOff>
      <xdr:row>21</xdr:row>
      <xdr:rowOff>26275</xdr:rowOff>
    </xdr:to>
    <xdr:cxnSp macro="">
      <xdr:nvCxnSpPr>
        <xdr:cNvPr id="317" name="Straight Arrow Connector 316">
          <a:extLst>
            <a:ext uri="{FF2B5EF4-FFF2-40B4-BE49-F238E27FC236}">
              <a16:creationId xmlns:a16="http://schemas.microsoft.com/office/drawing/2014/main" xmlns="" id="{00000000-0008-0000-0400-00003D010000}"/>
            </a:ext>
          </a:extLst>
        </xdr:cNvPr>
        <xdr:cNvCxnSpPr/>
      </xdr:nvCxnSpPr>
      <xdr:spPr>
        <a:xfrm flipH="1">
          <a:off x="1760483" y="3192516"/>
          <a:ext cx="1" cy="91965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394138</xdr:colOff>
      <xdr:row>32</xdr:row>
      <xdr:rowOff>151087</xdr:rowOff>
    </xdr:from>
    <xdr:to>
      <xdr:col>2</xdr:col>
      <xdr:colOff>245065</xdr:colOff>
      <xdr:row>36</xdr:row>
      <xdr:rowOff>169765</xdr:rowOff>
    </xdr:to>
    <xdr:grpSp>
      <xdr:nvGrpSpPr>
        <xdr:cNvPr id="321" name="Group 320">
          <a:extLst>
            <a:ext uri="{FF2B5EF4-FFF2-40B4-BE49-F238E27FC236}">
              <a16:creationId xmlns:a16="http://schemas.microsoft.com/office/drawing/2014/main" xmlns="" id="{00000000-0008-0000-0400-000041010000}"/>
            </a:ext>
          </a:extLst>
        </xdr:cNvPr>
        <xdr:cNvGrpSpPr/>
      </xdr:nvGrpSpPr>
      <xdr:grpSpPr>
        <a:xfrm>
          <a:off x="394138" y="6184334"/>
          <a:ext cx="1123915" cy="798607"/>
          <a:chOff x="610115" y="190500"/>
          <a:chExt cx="1064161" cy="734694"/>
        </a:xfrm>
      </xdr:grpSpPr>
      <xdr:sp macro="" textlink="">
        <xdr:nvSpPr>
          <xdr:cNvPr id="322" name="Rectangle 321">
            <a:extLst>
              <a:ext uri="{FF2B5EF4-FFF2-40B4-BE49-F238E27FC236}">
                <a16:creationId xmlns:a16="http://schemas.microsoft.com/office/drawing/2014/main" xmlns="" id="{00000000-0008-0000-0400-000042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LPIT</a:t>
            </a:r>
          </a:p>
        </xdr:txBody>
      </xdr:sp>
      <xdr:sp macro="" textlink="">
        <xdr:nvSpPr>
          <xdr:cNvPr id="323" name="TextBox 322">
            <a:extLst>
              <a:ext uri="{FF2B5EF4-FFF2-40B4-BE49-F238E27FC236}">
                <a16:creationId xmlns:a16="http://schemas.microsoft.com/office/drawing/2014/main" xmlns="" id="{00000000-0008-0000-0400-000043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24" name="TextBox 323">
            <a:extLst>
              <a:ext uri="{FF2B5EF4-FFF2-40B4-BE49-F238E27FC236}">
                <a16:creationId xmlns:a16="http://schemas.microsoft.com/office/drawing/2014/main" xmlns="" id="{00000000-0008-0000-0400-000044010000}"/>
              </a:ext>
            </a:extLst>
          </xdr:cNvPr>
          <xdr:cNvSpPr txBox="1"/>
        </xdr:nvSpPr>
        <xdr:spPr>
          <a:xfrm>
            <a:off x="948965" y="709226"/>
            <a:ext cx="72531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400707</xdr:colOff>
      <xdr:row>30</xdr:row>
      <xdr:rowOff>39414</xdr:rowOff>
    </xdr:from>
    <xdr:to>
      <xdr:col>6</xdr:col>
      <xdr:colOff>201896</xdr:colOff>
      <xdr:row>34</xdr:row>
      <xdr:rowOff>12109</xdr:rowOff>
    </xdr:to>
    <xdr:sp macro="" textlink="">
      <xdr:nvSpPr>
        <xdr:cNvPr id="325" name="Rectangle 324">
          <a:extLst>
            <a:ext uri="{FF2B5EF4-FFF2-40B4-BE49-F238E27FC236}">
              <a16:creationId xmlns:a16="http://schemas.microsoft.com/office/drawing/2014/main" xmlns="" id="{00000000-0008-0000-0400-000045010000}"/>
            </a:ext>
          </a:extLst>
        </xdr:cNvPr>
        <xdr:cNvSpPr/>
      </xdr:nvSpPr>
      <xdr:spPr>
        <a:xfrm>
          <a:off x="2844362" y="5905500"/>
          <a:ext cx="1023017" cy="7412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LPIT Clock</a:t>
          </a:r>
          <a:r>
            <a:rPr lang="en-US" sz="1100" baseline="0"/>
            <a:t> Enable</a:t>
          </a:r>
        </a:p>
        <a:p>
          <a:pPr algn="ctr"/>
          <a:r>
            <a:rPr lang="en-US" sz="900"/>
            <a:t>PCC_LPIT[CGC]</a:t>
          </a:r>
        </a:p>
      </xdr:txBody>
    </xdr:sp>
    <xdr:clientData/>
  </xdr:twoCellAnchor>
  <xdr:oneCellAnchor>
    <xdr:from>
      <xdr:col>4</xdr:col>
      <xdr:colOff>558362</xdr:colOff>
      <xdr:row>34</xdr:row>
      <xdr:rowOff>197069</xdr:rowOff>
    </xdr:from>
    <xdr:ext cx="860534" cy="367862"/>
    <xdr:sp macro="" textlink="">
      <xdr:nvSpPr>
        <xdr:cNvPr id="326" name="TextBox 325">
          <a:extLst>
            <a:ext uri="{FF2B5EF4-FFF2-40B4-BE49-F238E27FC236}">
              <a16:creationId xmlns:a16="http://schemas.microsoft.com/office/drawing/2014/main" xmlns="" id="{00000000-0008-0000-0400-000046010000}"/>
            </a:ext>
          </a:extLst>
        </xdr:cNvPr>
        <xdr:cNvSpPr txBox="1"/>
      </xdr:nvSpPr>
      <xdr:spPr>
        <a:xfrm>
          <a:off x="3002017" y="6831724"/>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210206</xdr:colOff>
      <xdr:row>32</xdr:row>
      <xdr:rowOff>0</xdr:rowOff>
    </xdr:from>
    <xdr:to>
      <xdr:col>10</xdr:col>
      <xdr:colOff>323620</xdr:colOff>
      <xdr:row>32</xdr:row>
      <xdr:rowOff>0</xdr:rowOff>
    </xdr:to>
    <xdr:cxnSp macro="">
      <xdr:nvCxnSpPr>
        <xdr:cNvPr id="327" name="Straight Arrow Connector 326">
          <a:extLst>
            <a:ext uri="{FF2B5EF4-FFF2-40B4-BE49-F238E27FC236}">
              <a16:creationId xmlns:a16="http://schemas.microsoft.com/office/drawing/2014/main" xmlns="" id="{00000000-0008-0000-0400-000047010000}"/>
            </a:ext>
          </a:extLst>
        </xdr:cNvPr>
        <xdr:cNvCxnSpPr/>
      </xdr:nvCxnSpPr>
      <xdr:spPr>
        <a:xfrm flipH="1">
          <a:off x="3875689" y="6247086"/>
          <a:ext cx="2557069"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204603</xdr:colOff>
      <xdr:row>33</xdr:row>
      <xdr:rowOff>88743</xdr:rowOff>
    </xdr:from>
    <xdr:to>
      <xdr:col>4</xdr:col>
      <xdr:colOff>381000</xdr:colOff>
      <xdr:row>33</xdr:row>
      <xdr:rowOff>88743</xdr:rowOff>
    </xdr:to>
    <xdr:cxnSp macro="">
      <xdr:nvCxnSpPr>
        <xdr:cNvPr id="328" name="Straight Arrow Connector 327">
          <a:extLst>
            <a:ext uri="{FF2B5EF4-FFF2-40B4-BE49-F238E27FC236}">
              <a16:creationId xmlns:a16="http://schemas.microsoft.com/office/drawing/2014/main" xmlns="" id="{00000000-0008-0000-0400-000048010000}"/>
            </a:ext>
          </a:extLst>
        </xdr:cNvPr>
        <xdr:cNvCxnSpPr>
          <a:endCxn id="323" idx="3"/>
        </xdr:cNvCxnSpPr>
      </xdr:nvCxnSpPr>
      <xdr:spPr>
        <a:xfrm flipH="1">
          <a:off x="1426431" y="6526329"/>
          <a:ext cx="13982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387569</xdr:colOff>
      <xdr:row>37</xdr:row>
      <xdr:rowOff>164224</xdr:rowOff>
    </xdr:from>
    <xdr:to>
      <xdr:col>6</xdr:col>
      <xdr:colOff>188758</xdr:colOff>
      <xdr:row>41</xdr:row>
      <xdr:rowOff>176332</xdr:rowOff>
    </xdr:to>
    <xdr:sp macro="" textlink="">
      <xdr:nvSpPr>
        <xdr:cNvPr id="332" name="Rectangle 331">
          <a:extLst>
            <a:ext uri="{FF2B5EF4-FFF2-40B4-BE49-F238E27FC236}">
              <a16:creationId xmlns:a16="http://schemas.microsoft.com/office/drawing/2014/main" xmlns="" id="{00000000-0008-0000-0400-00004C010000}"/>
            </a:ext>
          </a:extLst>
        </xdr:cNvPr>
        <xdr:cNvSpPr/>
      </xdr:nvSpPr>
      <xdr:spPr>
        <a:xfrm>
          <a:off x="2831224" y="7396655"/>
          <a:ext cx="1023017" cy="7741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LPIT Per.</a:t>
          </a:r>
          <a:r>
            <a:rPr lang="en-US" sz="1100" baseline="0"/>
            <a:t> </a:t>
          </a:r>
          <a:r>
            <a:rPr lang="en-US" sz="1100"/>
            <a:t>Clk.</a:t>
          </a:r>
          <a:r>
            <a:rPr lang="en-US" sz="1100" baseline="0"/>
            <a:t> Select</a:t>
          </a:r>
        </a:p>
        <a:p>
          <a:pPr algn="ctr"/>
          <a:r>
            <a:rPr lang="en-US" sz="900"/>
            <a:t>PCC_LPIT[PCS]</a:t>
          </a:r>
        </a:p>
      </xdr:txBody>
    </xdr:sp>
    <xdr:clientData/>
  </xdr:twoCellAnchor>
  <xdr:twoCellAnchor>
    <xdr:from>
      <xdr:col>6</xdr:col>
      <xdr:colOff>216776</xdr:colOff>
      <xdr:row>38</xdr:row>
      <xdr:rowOff>72258</xdr:rowOff>
    </xdr:from>
    <xdr:to>
      <xdr:col>28</xdr:col>
      <xdr:colOff>321880</xdr:colOff>
      <xdr:row>38</xdr:row>
      <xdr:rowOff>72258</xdr:rowOff>
    </xdr:to>
    <xdr:cxnSp macro="">
      <xdr:nvCxnSpPr>
        <xdr:cNvPr id="334" name="Straight Arrow Connector 333">
          <a:extLst>
            <a:ext uri="{FF2B5EF4-FFF2-40B4-BE49-F238E27FC236}">
              <a16:creationId xmlns:a16="http://schemas.microsoft.com/office/drawing/2014/main" xmlns="" id="{00000000-0008-0000-0400-00004E010000}"/>
            </a:ext>
          </a:extLst>
        </xdr:cNvPr>
        <xdr:cNvCxnSpPr/>
      </xdr:nvCxnSpPr>
      <xdr:spPr>
        <a:xfrm flipH="1">
          <a:off x="3882259" y="7495189"/>
          <a:ext cx="13545207"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197069</xdr:colOff>
      <xdr:row>39</xdr:row>
      <xdr:rowOff>77139</xdr:rowOff>
    </xdr:from>
    <xdr:to>
      <xdr:col>24</xdr:col>
      <xdr:colOff>289034</xdr:colOff>
      <xdr:row>39</xdr:row>
      <xdr:rowOff>77140</xdr:rowOff>
    </xdr:to>
    <xdr:cxnSp macro="">
      <xdr:nvCxnSpPr>
        <xdr:cNvPr id="335" name="Straight Arrow Connector 334">
          <a:extLst>
            <a:ext uri="{FF2B5EF4-FFF2-40B4-BE49-F238E27FC236}">
              <a16:creationId xmlns:a16="http://schemas.microsoft.com/office/drawing/2014/main" xmlns="" id="{00000000-0008-0000-0400-00004F010000}"/>
            </a:ext>
          </a:extLst>
        </xdr:cNvPr>
        <xdr:cNvCxnSpPr/>
      </xdr:nvCxnSpPr>
      <xdr:spPr>
        <a:xfrm flipH="1">
          <a:off x="3862552" y="7690570"/>
          <a:ext cx="11088413" cy="1"/>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210207</xdr:colOff>
      <xdr:row>40</xdr:row>
      <xdr:rowOff>105103</xdr:rowOff>
    </xdr:from>
    <xdr:to>
      <xdr:col>20</xdr:col>
      <xdr:colOff>315311</xdr:colOff>
      <xdr:row>40</xdr:row>
      <xdr:rowOff>105103</xdr:rowOff>
    </xdr:to>
    <xdr:cxnSp macro="">
      <xdr:nvCxnSpPr>
        <xdr:cNvPr id="336" name="Straight Arrow Connector 335">
          <a:extLst>
            <a:ext uri="{FF2B5EF4-FFF2-40B4-BE49-F238E27FC236}">
              <a16:creationId xmlns:a16="http://schemas.microsoft.com/office/drawing/2014/main" xmlns="" id="{00000000-0008-0000-0400-000050010000}"/>
            </a:ext>
          </a:extLst>
        </xdr:cNvPr>
        <xdr:cNvCxnSpPr/>
      </xdr:nvCxnSpPr>
      <xdr:spPr>
        <a:xfrm flipH="1">
          <a:off x="3875690" y="7909034"/>
          <a:ext cx="8657897"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216776</xdr:colOff>
      <xdr:row>41</xdr:row>
      <xdr:rowOff>105103</xdr:rowOff>
    </xdr:from>
    <xdr:to>
      <xdr:col>16</xdr:col>
      <xdr:colOff>289036</xdr:colOff>
      <xdr:row>41</xdr:row>
      <xdr:rowOff>105103</xdr:rowOff>
    </xdr:to>
    <xdr:cxnSp macro="">
      <xdr:nvCxnSpPr>
        <xdr:cNvPr id="337" name="Straight Arrow Connector 336">
          <a:extLst>
            <a:ext uri="{FF2B5EF4-FFF2-40B4-BE49-F238E27FC236}">
              <a16:creationId xmlns:a16="http://schemas.microsoft.com/office/drawing/2014/main" xmlns="" id="{00000000-0008-0000-0400-000051010000}"/>
            </a:ext>
          </a:extLst>
        </xdr:cNvPr>
        <xdr:cNvCxnSpPr/>
      </xdr:nvCxnSpPr>
      <xdr:spPr>
        <a:xfrm flipH="1">
          <a:off x="3882259" y="8099534"/>
          <a:ext cx="618139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245065</xdr:colOff>
      <xdr:row>36</xdr:row>
      <xdr:rowOff>29862</xdr:rowOff>
    </xdr:from>
    <xdr:to>
      <xdr:col>2</xdr:col>
      <xdr:colOff>536641</xdr:colOff>
      <xdr:row>36</xdr:row>
      <xdr:rowOff>30822</xdr:rowOff>
    </xdr:to>
    <xdr:cxnSp macro="">
      <xdr:nvCxnSpPr>
        <xdr:cNvPr id="338" name="Straight Arrow Connector 337">
          <a:extLst>
            <a:ext uri="{FF2B5EF4-FFF2-40B4-BE49-F238E27FC236}">
              <a16:creationId xmlns:a16="http://schemas.microsoft.com/office/drawing/2014/main" xmlns="" id="{00000000-0008-0000-0400-000052010000}"/>
            </a:ext>
          </a:extLst>
        </xdr:cNvPr>
        <xdr:cNvCxnSpPr>
          <a:endCxn id="324" idx="3"/>
        </xdr:cNvCxnSpPr>
      </xdr:nvCxnSpPr>
      <xdr:spPr>
        <a:xfrm flipH="1">
          <a:off x="1466893" y="7071793"/>
          <a:ext cx="291576" cy="96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536641</xdr:colOff>
      <xdr:row>41</xdr:row>
      <xdr:rowOff>13138</xdr:rowOff>
    </xdr:from>
    <xdr:to>
      <xdr:col>4</xdr:col>
      <xdr:colOff>357266</xdr:colOff>
      <xdr:row>41</xdr:row>
      <xdr:rowOff>13138</xdr:rowOff>
    </xdr:to>
    <xdr:cxnSp macro="">
      <xdr:nvCxnSpPr>
        <xdr:cNvPr id="339" name="Straight Arrow Connector 338">
          <a:extLst>
            <a:ext uri="{FF2B5EF4-FFF2-40B4-BE49-F238E27FC236}">
              <a16:creationId xmlns:a16="http://schemas.microsoft.com/office/drawing/2014/main" xmlns="" id="{00000000-0008-0000-0400-000053010000}"/>
            </a:ext>
          </a:extLst>
        </xdr:cNvPr>
        <xdr:cNvCxnSpPr/>
      </xdr:nvCxnSpPr>
      <xdr:spPr>
        <a:xfrm flipH="1">
          <a:off x="1758469" y="8007569"/>
          <a:ext cx="104245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536641</xdr:colOff>
      <xdr:row>36</xdr:row>
      <xdr:rowOff>26276</xdr:rowOff>
    </xdr:from>
    <xdr:to>
      <xdr:col>2</xdr:col>
      <xdr:colOff>536642</xdr:colOff>
      <xdr:row>41</xdr:row>
      <xdr:rowOff>19707</xdr:rowOff>
    </xdr:to>
    <xdr:cxnSp macro="">
      <xdr:nvCxnSpPr>
        <xdr:cNvPr id="340" name="Straight Arrow Connector 339">
          <a:extLst>
            <a:ext uri="{FF2B5EF4-FFF2-40B4-BE49-F238E27FC236}">
              <a16:creationId xmlns:a16="http://schemas.microsoft.com/office/drawing/2014/main" xmlns="" id="{00000000-0008-0000-0400-000054010000}"/>
            </a:ext>
          </a:extLst>
        </xdr:cNvPr>
        <xdr:cNvCxnSpPr/>
      </xdr:nvCxnSpPr>
      <xdr:spPr>
        <a:xfrm flipH="1">
          <a:off x="1758469" y="7068207"/>
          <a:ext cx="1" cy="94593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407276</xdr:colOff>
      <xdr:row>51</xdr:row>
      <xdr:rowOff>124811</xdr:rowOff>
    </xdr:from>
    <xdr:to>
      <xdr:col>2</xdr:col>
      <xdr:colOff>258203</xdr:colOff>
      <xdr:row>55</xdr:row>
      <xdr:rowOff>176334</xdr:rowOff>
    </xdr:to>
    <xdr:grpSp>
      <xdr:nvGrpSpPr>
        <xdr:cNvPr id="345" name="Group 344">
          <a:extLst>
            <a:ext uri="{FF2B5EF4-FFF2-40B4-BE49-F238E27FC236}">
              <a16:creationId xmlns:a16="http://schemas.microsoft.com/office/drawing/2014/main" xmlns="" id="{00000000-0008-0000-0400-000059010000}"/>
            </a:ext>
          </a:extLst>
        </xdr:cNvPr>
        <xdr:cNvGrpSpPr/>
      </xdr:nvGrpSpPr>
      <xdr:grpSpPr>
        <a:xfrm>
          <a:off x="407276" y="9815658"/>
          <a:ext cx="1123915" cy="840417"/>
          <a:chOff x="610115" y="190500"/>
          <a:chExt cx="1064161" cy="734694"/>
        </a:xfrm>
      </xdr:grpSpPr>
      <xdr:sp macro="" textlink="">
        <xdr:nvSpPr>
          <xdr:cNvPr id="346" name="Rectangle 345">
            <a:extLst>
              <a:ext uri="{FF2B5EF4-FFF2-40B4-BE49-F238E27FC236}">
                <a16:creationId xmlns:a16="http://schemas.microsoft.com/office/drawing/2014/main" xmlns="" id="{00000000-0008-0000-0400-00005A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FlexIO</a:t>
            </a:r>
          </a:p>
        </xdr:txBody>
      </xdr:sp>
      <xdr:sp macro="" textlink="">
        <xdr:nvSpPr>
          <xdr:cNvPr id="347" name="TextBox 346">
            <a:extLst>
              <a:ext uri="{FF2B5EF4-FFF2-40B4-BE49-F238E27FC236}">
                <a16:creationId xmlns:a16="http://schemas.microsoft.com/office/drawing/2014/main" xmlns="" id="{00000000-0008-0000-0400-00005B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48" name="TextBox 347">
            <a:extLst>
              <a:ext uri="{FF2B5EF4-FFF2-40B4-BE49-F238E27FC236}">
                <a16:creationId xmlns:a16="http://schemas.microsoft.com/office/drawing/2014/main" xmlns="" id="{00000000-0008-0000-0400-00005C010000}"/>
              </a:ext>
            </a:extLst>
          </xdr:cNvPr>
          <xdr:cNvSpPr txBox="1"/>
        </xdr:nvSpPr>
        <xdr:spPr>
          <a:xfrm>
            <a:off x="988063" y="709226"/>
            <a:ext cx="68621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7</xdr:col>
      <xdr:colOff>387578</xdr:colOff>
      <xdr:row>50</xdr:row>
      <xdr:rowOff>6569</xdr:rowOff>
    </xdr:from>
    <xdr:to>
      <xdr:col>9</xdr:col>
      <xdr:colOff>188768</xdr:colOff>
      <xdr:row>53</xdr:row>
      <xdr:rowOff>176333</xdr:rowOff>
    </xdr:to>
    <xdr:sp macro="" textlink="">
      <xdr:nvSpPr>
        <xdr:cNvPr id="349" name="Rectangle 348">
          <a:extLst>
            <a:ext uri="{FF2B5EF4-FFF2-40B4-BE49-F238E27FC236}">
              <a16:creationId xmlns:a16="http://schemas.microsoft.com/office/drawing/2014/main" xmlns="" id="{00000000-0008-0000-0400-00005D010000}"/>
            </a:ext>
          </a:extLst>
        </xdr:cNvPr>
        <xdr:cNvSpPr/>
      </xdr:nvSpPr>
      <xdr:spPr>
        <a:xfrm>
          <a:off x="4663975" y="9827172"/>
          <a:ext cx="1023017" cy="7741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FlexIO Clock</a:t>
          </a:r>
          <a:r>
            <a:rPr lang="en-US" sz="1100" baseline="0"/>
            <a:t> Enable</a:t>
          </a:r>
        </a:p>
        <a:p>
          <a:pPr algn="ctr"/>
          <a:r>
            <a:rPr lang="en-US" sz="900"/>
            <a:t>PCC_FlexIO[CGC]</a:t>
          </a:r>
        </a:p>
      </xdr:txBody>
    </xdr:sp>
    <xdr:clientData/>
  </xdr:twoCellAnchor>
  <xdr:twoCellAnchor>
    <xdr:from>
      <xdr:col>9</xdr:col>
      <xdr:colOff>188768</xdr:colOff>
      <xdr:row>51</xdr:row>
      <xdr:rowOff>196555</xdr:rowOff>
    </xdr:from>
    <xdr:to>
      <xdr:col>10</xdr:col>
      <xdr:colOff>315310</xdr:colOff>
      <xdr:row>51</xdr:row>
      <xdr:rowOff>196555</xdr:rowOff>
    </xdr:to>
    <xdr:cxnSp macro="">
      <xdr:nvCxnSpPr>
        <xdr:cNvPr id="352" name="Straight Arrow Connector 351">
          <a:extLst>
            <a:ext uri="{FF2B5EF4-FFF2-40B4-BE49-F238E27FC236}">
              <a16:creationId xmlns:a16="http://schemas.microsoft.com/office/drawing/2014/main" xmlns="" id="{00000000-0008-0000-0400-000060010000}"/>
            </a:ext>
          </a:extLst>
        </xdr:cNvPr>
        <xdr:cNvCxnSpPr>
          <a:endCxn id="349" idx="3"/>
        </xdr:cNvCxnSpPr>
      </xdr:nvCxnSpPr>
      <xdr:spPr>
        <a:xfrm flipH="1">
          <a:off x="5686992" y="10214227"/>
          <a:ext cx="737456"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217741</xdr:colOff>
      <xdr:row>52</xdr:row>
      <xdr:rowOff>51038</xdr:rowOff>
    </xdr:from>
    <xdr:to>
      <xdr:col>4</xdr:col>
      <xdr:colOff>387569</xdr:colOff>
      <xdr:row>52</xdr:row>
      <xdr:rowOff>51038</xdr:rowOff>
    </xdr:to>
    <xdr:cxnSp macro="">
      <xdr:nvCxnSpPr>
        <xdr:cNvPr id="353" name="Straight Arrow Connector 352">
          <a:extLst>
            <a:ext uri="{FF2B5EF4-FFF2-40B4-BE49-F238E27FC236}">
              <a16:creationId xmlns:a16="http://schemas.microsoft.com/office/drawing/2014/main" xmlns="" id="{00000000-0008-0000-0400-000061010000}"/>
            </a:ext>
          </a:extLst>
        </xdr:cNvPr>
        <xdr:cNvCxnSpPr>
          <a:endCxn id="347" idx="3"/>
        </xdr:cNvCxnSpPr>
      </xdr:nvCxnSpPr>
      <xdr:spPr>
        <a:xfrm flipH="1">
          <a:off x="1439569" y="10278917"/>
          <a:ext cx="139165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545233</xdr:colOff>
      <xdr:row>54</xdr:row>
      <xdr:rowOff>190500</xdr:rowOff>
    </xdr:from>
    <xdr:ext cx="860534" cy="367862"/>
    <xdr:sp macro="" textlink="">
      <xdr:nvSpPr>
        <xdr:cNvPr id="357" name="TextBox 356">
          <a:extLst>
            <a:ext uri="{FF2B5EF4-FFF2-40B4-BE49-F238E27FC236}">
              <a16:creationId xmlns:a16="http://schemas.microsoft.com/office/drawing/2014/main" xmlns="" id="{00000000-0008-0000-0400-000065010000}"/>
            </a:ext>
          </a:extLst>
        </xdr:cNvPr>
        <xdr:cNvSpPr txBox="1"/>
      </xdr:nvSpPr>
      <xdr:spPr>
        <a:xfrm>
          <a:off x="4821630" y="10812517"/>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7</xdr:col>
      <xdr:colOff>420423</xdr:colOff>
      <xdr:row>56</xdr:row>
      <xdr:rowOff>157656</xdr:rowOff>
    </xdr:from>
    <xdr:to>
      <xdr:col>9</xdr:col>
      <xdr:colOff>221613</xdr:colOff>
      <xdr:row>60</xdr:row>
      <xdr:rowOff>196040</xdr:rowOff>
    </xdr:to>
    <xdr:sp macro="" textlink="">
      <xdr:nvSpPr>
        <xdr:cNvPr id="358" name="Rectangle 357">
          <a:extLst>
            <a:ext uri="{FF2B5EF4-FFF2-40B4-BE49-F238E27FC236}">
              <a16:creationId xmlns:a16="http://schemas.microsoft.com/office/drawing/2014/main" xmlns="" id="{00000000-0008-0000-0400-000066010000}"/>
            </a:ext>
          </a:extLst>
        </xdr:cNvPr>
        <xdr:cNvSpPr/>
      </xdr:nvSpPr>
      <xdr:spPr>
        <a:xfrm>
          <a:off x="4696820" y="11186949"/>
          <a:ext cx="1023017" cy="826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FlexIO Per.</a:t>
          </a:r>
          <a:r>
            <a:rPr lang="en-US" sz="1100" baseline="0"/>
            <a:t> </a:t>
          </a:r>
          <a:r>
            <a:rPr lang="en-US" sz="1100"/>
            <a:t>Clk.</a:t>
          </a:r>
          <a:r>
            <a:rPr lang="en-US" sz="1100" baseline="0"/>
            <a:t> Select</a:t>
          </a:r>
        </a:p>
        <a:p>
          <a:pPr algn="ctr"/>
          <a:r>
            <a:rPr lang="en-US" sz="900"/>
            <a:t>PCC_FlexIO[PCS]</a:t>
          </a:r>
        </a:p>
      </xdr:txBody>
    </xdr:sp>
    <xdr:clientData/>
  </xdr:twoCellAnchor>
  <xdr:oneCellAnchor>
    <xdr:from>
      <xdr:col>7</xdr:col>
      <xdr:colOff>564940</xdr:colOff>
      <xdr:row>61</xdr:row>
      <xdr:rowOff>190500</xdr:rowOff>
    </xdr:from>
    <xdr:ext cx="1152526" cy="1116726"/>
    <xdr:sp macro="" textlink="">
      <xdr:nvSpPr>
        <xdr:cNvPr id="359" name="TextBox 358">
          <a:extLst>
            <a:ext uri="{FF2B5EF4-FFF2-40B4-BE49-F238E27FC236}">
              <a16:creationId xmlns:a16="http://schemas.microsoft.com/office/drawing/2014/main" xmlns="" id="{00000000-0008-0000-0400-000067010000}"/>
            </a:ext>
          </a:extLst>
        </xdr:cNvPr>
        <xdr:cNvSpPr txBox="1"/>
      </xdr:nvSpPr>
      <xdr:spPr>
        <a:xfrm>
          <a:off x="4841337" y="12218276"/>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9</xdr:col>
      <xdr:colOff>236483</xdr:colOff>
      <xdr:row>57</xdr:row>
      <xdr:rowOff>39414</xdr:rowOff>
    </xdr:from>
    <xdr:to>
      <xdr:col>28</xdr:col>
      <xdr:colOff>328450</xdr:colOff>
      <xdr:row>57</xdr:row>
      <xdr:rowOff>39414</xdr:rowOff>
    </xdr:to>
    <xdr:cxnSp macro="">
      <xdr:nvCxnSpPr>
        <xdr:cNvPr id="360" name="Straight Arrow Connector 359">
          <a:extLst>
            <a:ext uri="{FF2B5EF4-FFF2-40B4-BE49-F238E27FC236}">
              <a16:creationId xmlns:a16="http://schemas.microsoft.com/office/drawing/2014/main" xmlns="" id="{00000000-0008-0000-0400-000068010000}"/>
            </a:ext>
          </a:extLst>
        </xdr:cNvPr>
        <xdr:cNvCxnSpPr/>
      </xdr:nvCxnSpPr>
      <xdr:spPr>
        <a:xfrm flipH="1">
          <a:off x="5734707" y="11259207"/>
          <a:ext cx="11699329"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243052</xdr:colOff>
      <xdr:row>58</xdr:row>
      <xdr:rowOff>44295</xdr:rowOff>
    </xdr:from>
    <xdr:to>
      <xdr:col>24</xdr:col>
      <xdr:colOff>295604</xdr:colOff>
      <xdr:row>58</xdr:row>
      <xdr:rowOff>44295</xdr:rowOff>
    </xdr:to>
    <xdr:cxnSp macro="">
      <xdr:nvCxnSpPr>
        <xdr:cNvPr id="361" name="Straight Arrow Connector 360">
          <a:extLst>
            <a:ext uri="{FF2B5EF4-FFF2-40B4-BE49-F238E27FC236}">
              <a16:creationId xmlns:a16="http://schemas.microsoft.com/office/drawing/2014/main" xmlns="" id="{00000000-0008-0000-0400-000069010000}"/>
            </a:ext>
          </a:extLst>
        </xdr:cNvPr>
        <xdr:cNvCxnSpPr/>
      </xdr:nvCxnSpPr>
      <xdr:spPr>
        <a:xfrm flipH="1">
          <a:off x="5741276" y="11454588"/>
          <a:ext cx="9216259"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243052</xdr:colOff>
      <xdr:row>59</xdr:row>
      <xdr:rowOff>78828</xdr:rowOff>
    </xdr:from>
    <xdr:to>
      <xdr:col>20</xdr:col>
      <xdr:colOff>321881</xdr:colOff>
      <xdr:row>59</xdr:row>
      <xdr:rowOff>78828</xdr:rowOff>
    </xdr:to>
    <xdr:cxnSp macro="">
      <xdr:nvCxnSpPr>
        <xdr:cNvPr id="362" name="Straight Arrow Connector 361">
          <a:extLst>
            <a:ext uri="{FF2B5EF4-FFF2-40B4-BE49-F238E27FC236}">
              <a16:creationId xmlns:a16="http://schemas.microsoft.com/office/drawing/2014/main" xmlns="" id="{00000000-0008-0000-0400-00006A010000}"/>
            </a:ext>
          </a:extLst>
        </xdr:cNvPr>
        <xdr:cNvCxnSpPr/>
      </xdr:nvCxnSpPr>
      <xdr:spPr>
        <a:xfrm flipH="1">
          <a:off x="5741276" y="11686190"/>
          <a:ext cx="6798881"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249621</xdr:colOff>
      <xdr:row>60</xdr:row>
      <xdr:rowOff>98535</xdr:rowOff>
    </xdr:from>
    <xdr:to>
      <xdr:col>16</xdr:col>
      <xdr:colOff>295605</xdr:colOff>
      <xdr:row>60</xdr:row>
      <xdr:rowOff>98535</xdr:rowOff>
    </xdr:to>
    <xdr:cxnSp macro="">
      <xdr:nvCxnSpPr>
        <xdr:cNvPr id="363" name="Straight Arrow Connector 362">
          <a:extLst>
            <a:ext uri="{FF2B5EF4-FFF2-40B4-BE49-F238E27FC236}">
              <a16:creationId xmlns:a16="http://schemas.microsoft.com/office/drawing/2014/main" xmlns="" id="{00000000-0008-0000-0400-00006B010000}"/>
            </a:ext>
          </a:extLst>
        </xdr:cNvPr>
        <xdr:cNvCxnSpPr/>
      </xdr:nvCxnSpPr>
      <xdr:spPr>
        <a:xfrm flipH="1">
          <a:off x="5747845" y="11916104"/>
          <a:ext cx="4322381"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258203</xdr:colOff>
      <xdr:row>55</xdr:row>
      <xdr:rowOff>28415</xdr:rowOff>
    </xdr:from>
    <xdr:to>
      <xdr:col>4</xdr:col>
      <xdr:colOff>381000</xdr:colOff>
      <xdr:row>55</xdr:row>
      <xdr:rowOff>28415</xdr:rowOff>
    </xdr:to>
    <xdr:cxnSp macro="">
      <xdr:nvCxnSpPr>
        <xdr:cNvPr id="364" name="Straight Arrow Connector 363">
          <a:extLst>
            <a:ext uri="{FF2B5EF4-FFF2-40B4-BE49-F238E27FC236}">
              <a16:creationId xmlns:a16="http://schemas.microsoft.com/office/drawing/2014/main" xmlns="" id="{00000000-0008-0000-0400-00006C010000}"/>
            </a:ext>
          </a:extLst>
        </xdr:cNvPr>
        <xdr:cNvCxnSpPr>
          <a:endCxn id="348" idx="3"/>
        </xdr:cNvCxnSpPr>
      </xdr:nvCxnSpPr>
      <xdr:spPr>
        <a:xfrm flipH="1">
          <a:off x="1480031" y="10860639"/>
          <a:ext cx="13446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453258</xdr:colOff>
      <xdr:row>60</xdr:row>
      <xdr:rowOff>45983</xdr:rowOff>
    </xdr:from>
    <xdr:to>
      <xdr:col>7</xdr:col>
      <xdr:colOff>394675</xdr:colOff>
      <xdr:row>60</xdr:row>
      <xdr:rowOff>45983</xdr:rowOff>
    </xdr:to>
    <xdr:cxnSp macro="">
      <xdr:nvCxnSpPr>
        <xdr:cNvPr id="365" name="Straight Arrow Connector 364">
          <a:extLst>
            <a:ext uri="{FF2B5EF4-FFF2-40B4-BE49-F238E27FC236}">
              <a16:creationId xmlns:a16="http://schemas.microsoft.com/office/drawing/2014/main" xmlns="" id="{00000000-0008-0000-0400-00006D010000}"/>
            </a:ext>
          </a:extLst>
        </xdr:cNvPr>
        <xdr:cNvCxnSpPr/>
      </xdr:nvCxnSpPr>
      <xdr:spPr>
        <a:xfrm flipH="1">
          <a:off x="4118741" y="11837276"/>
          <a:ext cx="55233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468950</xdr:colOff>
      <xdr:row>55</xdr:row>
      <xdr:rowOff>39414</xdr:rowOff>
    </xdr:from>
    <xdr:to>
      <xdr:col>6</xdr:col>
      <xdr:colOff>468951</xdr:colOff>
      <xdr:row>60</xdr:row>
      <xdr:rowOff>52552</xdr:rowOff>
    </xdr:to>
    <xdr:cxnSp macro="">
      <xdr:nvCxnSpPr>
        <xdr:cNvPr id="366" name="Straight Arrow Connector 365">
          <a:extLst>
            <a:ext uri="{FF2B5EF4-FFF2-40B4-BE49-F238E27FC236}">
              <a16:creationId xmlns:a16="http://schemas.microsoft.com/office/drawing/2014/main" xmlns="" id="{00000000-0008-0000-0400-00006E010000}"/>
            </a:ext>
          </a:extLst>
        </xdr:cNvPr>
        <xdr:cNvCxnSpPr/>
      </xdr:nvCxnSpPr>
      <xdr:spPr>
        <a:xfrm flipH="1">
          <a:off x="4134433" y="10871638"/>
          <a:ext cx="1" cy="97220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394138</xdr:colOff>
      <xdr:row>69</xdr:row>
      <xdr:rowOff>65690</xdr:rowOff>
    </xdr:from>
    <xdr:to>
      <xdr:col>2</xdr:col>
      <xdr:colOff>245065</xdr:colOff>
      <xdr:row>73</xdr:row>
      <xdr:rowOff>169765</xdr:rowOff>
    </xdr:to>
    <xdr:grpSp>
      <xdr:nvGrpSpPr>
        <xdr:cNvPr id="370" name="Group 369">
          <a:extLst>
            <a:ext uri="{FF2B5EF4-FFF2-40B4-BE49-F238E27FC236}">
              <a16:creationId xmlns:a16="http://schemas.microsoft.com/office/drawing/2014/main" xmlns="" id="{00000000-0008-0000-0400-000072010000}"/>
            </a:ext>
          </a:extLst>
        </xdr:cNvPr>
        <xdr:cNvGrpSpPr/>
      </xdr:nvGrpSpPr>
      <xdr:grpSpPr>
        <a:xfrm>
          <a:off x="394138" y="13198984"/>
          <a:ext cx="1123915" cy="892969"/>
          <a:chOff x="610115" y="190500"/>
          <a:chExt cx="1064161" cy="734694"/>
        </a:xfrm>
      </xdr:grpSpPr>
      <xdr:sp macro="" textlink="">
        <xdr:nvSpPr>
          <xdr:cNvPr id="371" name="Rectangle 370">
            <a:extLst>
              <a:ext uri="{FF2B5EF4-FFF2-40B4-BE49-F238E27FC236}">
                <a16:creationId xmlns:a16="http://schemas.microsoft.com/office/drawing/2014/main" xmlns="" id="{00000000-0008-0000-0400-000073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LPI2C0</a:t>
            </a:r>
          </a:p>
        </xdr:txBody>
      </xdr:sp>
      <xdr:sp macro="" textlink="">
        <xdr:nvSpPr>
          <xdr:cNvPr id="372" name="TextBox 371">
            <a:extLst>
              <a:ext uri="{FF2B5EF4-FFF2-40B4-BE49-F238E27FC236}">
                <a16:creationId xmlns:a16="http://schemas.microsoft.com/office/drawing/2014/main" xmlns="" id="{00000000-0008-0000-0400-000074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73" name="TextBox 372">
            <a:extLst>
              <a:ext uri="{FF2B5EF4-FFF2-40B4-BE49-F238E27FC236}">
                <a16:creationId xmlns:a16="http://schemas.microsoft.com/office/drawing/2014/main" xmlns="" id="{00000000-0008-0000-0400-000075010000}"/>
              </a:ext>
            </a:extLst>
          </xdr:cNvPr>
          <xdr:cNvSpPr txBox="1"/>
        </xdr:nvSpPr>
        <xdr:spPr>
          <a:xfrm>
            <a:off x="988063" y="709226"/>
            <a:ext cx="68621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400708</xdr:colOff>
      <xdr:row>52</xdr:row>
      <xdr:rowOff>13138</xdr:rowOff>
    </xdr:from>
    <xdr:to>
      <xdr:col>6</xdr:col>
      <xdr:colOff>201897</xdr:colOff>
      <xdr:row>55</xdr:row>
      <xdr:rowOff>182902</xdr:rowOff>
    </xdr:to>
    <xdr:sp macro="" textlink="">
      <xdr:nvSpPr>
        <xdr:cNvPr id="384" name="Rectangle 383">
          <a:extLst>
            <a:ext uri="{FF2B5EF4-FFF2-40B4-BE49-F238E27FC236}">
              <a16:creationId xmlns:a16="http://schemas.microsoft.com/office/drawing/2014/main" xmlns="" id="{00000000-0008-0000-0400-000080010000}"/>
            </a:ext>
          </a:extLst>
        </xdr:cNvPr>
        <xdr:cNvSpPr/>
      </xdr:nvSpPr>
      <xdr:spPr>
        <a:xfrm>
          <a:off x="2844363" y="10241017"/>
          <a:ext cx="1023017" cy="7741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FlexIO Fast Access</a:t>
          </a:r>
          <a:endParaRPr lang="en-US" sz="1100" baseline="0"/>
        </a:p>
        <a:p>
          <a:pPr algn="ctr"/>
          <a:r>
            <a:rPr lang="en-US" sz="900"/>
            <a:t>FLEXIO_CTRL[FASTACC]</a:t>
          </a:r>
        </a:p>
      </xdr:txBody>
    </xdr:sp>
    <xdr:clientData/>
  </xdr:twoCellAnchor>
  <xdr:twoCellAnchor>
    <xdr:from>
      <xdr:col>6</xdr:col>
      <xdr:colOff>216776</xdr:colOff>
      <xdr:row>52</xdr:row>
      <xdr:rowOff>151086</xdr:rowOff>
    </xdr:from>
    <xdr:to>
      <xdr:col>7</xdr:col>
      <xdr:colOff>367863</xdr:colOff>
      <xdr:row>52</xdr:row>
      <xdr:rowOff>151086</xdr:rowOff>
    </xdr:to>
    <xdr:cxnSp macro="">
      <xdr:nvCxnSpPr>
        <xdr:cNvPr id="389" name="Straight Arrow Connector 388">
          <a:extLst>
            <a:ext uri="{FF2B5EF4-FFF2-40B4-BE49-F238E27FC236}">
              <a16:creationId xmlns:a16="http://schemas.microsoft.com/office/drawing/2014/main" xmlns="" id="{00000000-0008-0000-0400-000085010000}"/>
            </a:ext>
          </a:extLst>
        </xdr:cNvPr>
        <xdr:cNvCxnSpPr/>
      </xdr:nvCxnSpPr>
      <xdr:spPr>
        <a:xfrm flipH="1">
          <a:off x="3882259" y="10378965"/>
          <a:ext cx="7620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203638</xdr:colOff>
      <xdr:row>55</xdr:row>
      <xdr:rowOff>32845</xdr:rowOff>
    </xdr:from>
    <xdr:to>
      <xdr:col>6</xdr:col>
      <xdr:colOff>472965</xdr:colOff>
      <xdr:row>55</xdr:row>
      <xdr:rowOff>32845</xdr:rowOff>
    </xdr:to>
    <xdr:cxnSp macro="">
      <xdr:nvCxnSpPr>
        <xdr:cNvPr id="392" name="Straight Arrow Connector 391">
          <a:extLst>
            <a:ext uri="{FF2B5EF4-FFF2-40B4-BE49-F238E27FC236}">
              <a16:creationId xmlns:a16="http://schemas.microsoft.com/office/drawing/2014/main" xmlns="" id="{00000000-0008-0000-0400-000088010000}"/>
            </a:ext>
          </a:extLst>
        </xdr:cNvPr>
        <xdr:cNvCxnSpPr/>
      </xdr:nvCxnSpPr>
      <xdr:spPr>
        <a:xfrm flipH="1">
          <a:off x="3869121" y="10865069"/>
          <a:ext cx="26932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571499</xdr:colOff>
      <xdr:row>56</xdr:row>
      <xdr:rowOff>197069</xdr:rowOff>
    </xdr:from>
    <xdr:ext cx="919655" cy="367862"/>
    <xdr:sp macro="" textlink="">
      <xdr:nvSpPr>
        <xdr:cNvPr id="399" name="TextBox 398">
          <a:extLst>
            <a:ext uri="{FF2B5EF4-FFF2-40B4-BE49-F238E27FC236}">
              <a16:creationId xmlns:a16="http://schemas.microsoft.com/office/drawing/2014/main" xmlns="" id="{00000000-0008-0000-0400-00008F010000}"/>
            </a:ext>
          </a:extLst>
        </xdr:cNvPr>
        <xdr:cNvSpPr txBox="1"/>
      </xdr:nvSpPr>
      <xdr:spPr>
        <a:xfrm>
          <a:off x="3015154" y="11239500"/>
          <a:ext cx="919655"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FA Disabled</a:t>
          </a:r>
        </a:p>
        <a:p>
          <a:r>
            <a:rPr lang="en-US" sz="800"/>
            <a:t>1 - FA Enabled</a:t>
          </a:r>
        </a:p>
      </xdr:txBody>
    </xdr:sp>
    <xdr:clientData/>
  </xdr:oneCellAnchor>
  <xdr:twoCellAnchor>
    <xdr:from>
      <xdr:col>4</xdr:col>
      <xdr:colOff>400707</xdr:colOff>
      <xdr:row>66</xdr:row>
      <xdr:rowOff>164224</xdr:rowOff>
    </xdr:from>
    <xdr:to>
      <xdr:col>6</xdr:col>
      <xdr:colOff>201896</xdr:colOff>
      <xdr:row>70</xdr:row>
      <xdr:rowOff>176333</xdr:rowOff>
    </xdr:to>
    <xdr:sp macro="" textlink="">
      <xdr:nvSpPr>
        <xdr:cNvPr id="401" name="Rectangle 400">
          <a:extLst>
            <a:ext uri="{FF2B5EF4-FFF2-40B4-BE49-F238E27FC236}">
              <a16:creationId xmlns:a16="http://schemas.microsoft.com/office/drawing/2014/main" xmlns="" id="{00000000-0008-0000-0400-000091010000}"/>
            </a:ext>
          </a:extLst>
        </xdr:cNvPr>
        <xdr:cNvSpPr/>
      </xdr:nvSpPr>
      <xdr:spPr>
        <a:xfrm>
          <a:off x="2844362" y="13170776"/>
          <a:ext cx="1023017" cy="7741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LPI2C0 Clock</a:t>
          </a:r>
          <a:r>
            <a:rPr lang="en-US" sz="1100" baseline="0"/>
            <a:t> Enable</a:t>
          </a:r>
        </a:p>
        <a:p>
          <a:pPr algn="ctr"/>
          <a:r>
            <a:rPr lang="en-US" sz="900"/>
            <a:t>PCC_LPI2C0[CGC]</a:t>
          </a:r>
        </a:p>
      </xdr:txBody>
    </xdr:sp>
    <xdr:clientData/>
  </xdr:twoCellAnchor>
  <xdr:twoCellAnchor>
    <xdr:from>
      <xdr:col>6</xdr:col>
      <xdr:colOff>223345</xdr:colOff>
      <xdr:row>68</xdr:row>
      <xdr:rowOff>177362</xdr:rowOff>
    </xdr:from>
    <xdr:to>
      <xdr:col>10</xdr:col>
      <xdr:colOff>308741</xdr:colOff>
      <xdr:row>68</xdr:row>
      <xdr:rowOff>177362</xdr:rowOff>
    </xdr:to>
    <xdr:cxnSp macro="">
      <xdr:nvCxnSpPr>
        <xdr:cNvPr id="402" name="Straight Arrow Connector 401">
          <a:extLst>
            <a:ext uri="{FF2B5EF4-FFF2-40B4-BE49-F238E27FC236}">
              <a16:creationId xmlns:a16="http://schemas.microsoft.com/office/drawing/2014/main" xmlns="" id="{00000000-0008-0000-0400-000092010000}"/>
            </a:ext>
          </a:extLst>
        </xdr:cNvPr>
        <xdr:cNvCxnSpPr/>
      </xdr:nvCxnSpPr>
      <xdr:spPr>
        <a:xfrm flipH="1">
          <a:off x="3888828" y="13564914"/>
          <a:ext cx="252905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545224</xdr:colOff>
      <xdr:row>71</xdr:row>
      <xdr:rowOff>183931</xdr:rowOff>
    </xdr:from>
    <xdr:ext cx="860534" cy="367862"/>
    <xdr:sp macro="" textlink="">
      <xdr:nvSpPr>
        <xdr:cNvPr id="404" name="TextBox 403">
          <a:extLst>
            <a:ext uri="{FF2B5EF4-FFF2-40B4-BE49-F238E27FC236}">
              <a16:creationId xmlns:a16="http://schemas.microsoft.com/office/drawing/2014/main" xmlns="" id="{00000000-0008-0000-0400-000094010000}"/>
            </a:ext>
          </a:extLst>
        </xdr:cNvPr>
        <xdr:cNvSpPr txBox="1"/>
      </xdr:nvSpPr>
      <xdr:spPr>
        <a:xfrm>
          <a:off x="2988879" y="14149552"/>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2</xdr:col>
      <xdr:colOff>204603</xdr:colOff>
      <xdr:row>70</xdr:row>
      <xdr:rowOff>16798</xdr:rowOff>
    </xdr:from>
    <xdr:to>
      <xdr:col>4</xdr:col>
      <xdr:colOff>394138</xdr:colOff>
      <xdr:row>70</xdr:row>
      <xdr:rowOff>16798</xdr:rowOff>
    </xdr:to>
    <xdr:cxnSp macro="">
      <xdr:nvCxnSpPr>
        <xdr:cNvPr id="405" name="Straight Arrow Connector 404">
          <a:extLst>
            <a:ext uri="{FF2B5EF4-FFF2-40B4-BE49-F238E27FC236}">
              <a16:creationId xmlns:a16="http://schemas.microsoft.com/office/drawing/2014/main" xmlns="" id="{00000000-0008-0000-0400-000095010000}"/>
            </a:ext>
          </a:extLst>
        </xdr:cNvPr>
        <xdr:cNvCxnSpPr>
          <a:endCxn id="372" idx="3"/>
        </xdr:cNvCxnSpPr>
      </xdr:nvCxnSpPr>
      <xdr:spPr>
        <a:xfrm flipH="1">
          <a:off x="1426431" y="13785350"/>
          <a:ext cx="14113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400707</xdr:colOff>
      <xdr:row>73</xdr:row>
      <xdr:rowOff>111672</xdr:rowOff>
    </xdr:from>
    <xdr:to>
      <xdr:col>6</xdr:col>
      <xdr:colOff>201896</xdr:colOff>
      <xdr:row>77</xdr:row>
      <xdr:rowOff>176332</xdr:rowOff>
    </xdr:to>
    <xdr:sp macro="" textlink="">
      <xdr:nvSpPr>
        <xdr:cNvPr id="410" name="Rectangle 409">
          <a:extLst>
            <a:ext uri="{FF2B5EF4-FFF2-40B4-BE49-F238E27FC236}">
              <a16:creationId xmlns:a16="http://schemas.microsoft.com/office/drawing/2014/main" xmlns="" id="{00000000-0008-0000-0400-00009A010000}"/>
            </a:ext>
          </a:extLst>
        </xdr:cNvPr>
        <xdr:cNvSpPr/>
      </xdr:nvSpPr>
      <xdr:spPr>
        <a:xfrm>
          <a:off x="2844362" y="14523982"/>
          <a:ext cx="1023017" cy="826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LPI2C0 Per.</a:t>
          </a:r>
          <a:r>
            <a:rPr lang="en-US" sz="1100" baseline="0"/>
            <a:t> </a:t>
          </a:r>
          <a:r>
            <a:rPr lang="en-US" sz="1100"/>
            <a:t>Clk.</a:t>
          </a:r>
          <a:r>
            <a:rPr lang="en-US" sz="1100" baseline="0"/>
            <a:t> Select</a:t>
          </a:r>
        </a:p>
        <a:p>
          <a:pPr algn="ctr"/>
          <a:r>
            <a:rPr lang="en-US" sz="900"/>
            <a:t>PCC_LPI2C0[PCS]</a:t>
          </a:r>
        </a:p>
      </xdr:txBody>
    </xdr:sp>
    <xdr:clientData/>
  </xdr:twoCellAnchor>
  <xdr:twoCellAnchor>
    <xdr:from>
      <xdr:col>6</xdr:col>
      <xdr:colOff>243053</xdr:colOff>
      <xdr:row>74</xdr:row>
      <xdr:rowOff>45983</xdr:rowOff>
    </xdr:from>
    <xdr:to>
      <xdr:col>28</xdr:col>
      <xdr:colOff>315311</xdr:colOff>
      <xdr:row>74</xdr:row>
      <xdr:rowOff>45983</xdr:rowOff>
    </xdr:to>
    <xdr:cxnSp macro="">
      <xdr:nvCxnSpPr>
        <xdr:cNvPr id="411" name="Straight Arrow Connector 410">
          <a:extLst>
            <a:ext uri="{FF2B5EF4-FFF2-40B4-BE49-F238E27FC236}">
              <a16:creationId xmlns:a16="http://schemas.microsoft.com/office/drawing/2014/main" xmlns="" id="{00000000-0008-0000-0400-00009B010000}"/>
            </a:ext>
          </a:extLst>
        </xdr:cNvPr>
        <xdr:cNvCxnSpPr/>
      </xdr:nvCxnSpPr>
      <xdr:spPr>
        <a:xfrm flipH="1">
          <a:off x="3908536" y="14648793"/>
          <a:ext cx="13512361"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249622</xdr:colOff>
      <xdr:row>75</xdr:row>
      <xdr:rowOff>57433</xdr:rowOff>
    </xdr:from>
    <xdr:to>
      <xdr:col>24</xdr:col>
      <xdr:colOff>341586</xdr:colOff>
      <xdr:row>75</xdr:row>
      <xdr:rowOff>57433</xdr:rowOff>
    </xdr:to>
    <xdr:cxnSp macro="">
      <xdr:nvCxnSpPr>
        <xdr:cNvPr id="412" name="Straight Arrow Connector 411">
          <a:extLst>
            <a:ext uri="{FF2B5EF4-FFF2-40B4-BE49-F238E27FC236}">
              <a16:creationId xmlns:a16="http://schemas.microsoft.com/office/drawing/2014/main" xmlns="" id="{00000000-0008-0000-0400-00009C010000}"/>
            </a:ext>
          </a:extLst>
        </xdr:cNvPr>
        <xdr:cNvCxnSpPr/>
      </xdr:nvCxnSpPr>
      <xdr:spPr>
        <a:xfrm flipH="1">
          <a:off x="3915105" y="14850743"/>
          <a:ext cx="11088412"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249622</xdr:colOff>
      <xdr:row>76</xdr:row>
      <xdr:rowOff>91966</xdr:rowOff>
    </xdr:from>
    <xdr:to>
      <xdr:col>20</xdr:col>
      <xdr:colOff>335017</xdr:colOff>
      <xdr:row>76</xdr:row>
      <xdr:rowOff>91966</xdr:rowOff>
    </xdr:to>
    <xdr:cxnSp macro="">
      <xdr:nvCxnSpPr>
        <xdr:cNvPr id="413" name="Straight Arrow Connector 412">
          <a:extLst>
            <a:ext uri="{FF2B5EF4-FFF2-40B4-BE49-F238E27FC236}">
              <a16:creationId xmlns:a16="http://schemas.microsoft.com/office/drawing/2014/main" xmlns="" id="{00000000-0008-0000-0400-00009D010000}"/>
            </a:ext>
          </a:extLst>
        </xdr:cNvPr>
        <xdr:cNvCxnSpPr/>
      </xdr:nvCxnSpPr>
      <xdr:spPr>
        <a:xfrm flipH="1">
          <a:off x="3915105" y="15075776"/>
          <a:ext cx="8638188"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256191</xdr:colOff>
      <xdr:row>77</xdr:row>
      <xdr:rowOff>111673</xdr:rowOff>
    </xdr:from>
    <xdr:to>
      <xdr:col>16</xdr:col>
      <xdr:colOff>335017</xdr:colOff>
      <xdr:row>77</xdr:row>
      <xdr:rowOff>111673</xdr:rowOff>
    </xdr:to>
    <xdr:cxnSp macro="">
      <xdr:nvCxnSpPr>
        <xdr:cNvPr id="414" name="Straight Arrow Connector 413">
          <a:extLst>
            <a:ext uri="{FF2B5EF4-FFF2-40B4-BE49-F238E27FC236}">
              <a16:creationId xmlns:a16="http://schemas.microsoft.com/office/drawing/2014/main" xmlns="" id="{00000000-0008-0000-0400-00009E010000}"/>
            </a:ext>
          </a:extLst>
        </xdr:cNvPr>
        <xdr:cNvCxnSpPr/>
      </xdr:nvCxnSpPr>
      <xdr:spPr>
        <a:xfrm flipH="1">
          <a:off x="3921674" y="15285983"/>
          <a:ext cx="618796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505558</xdr:colOff>
      <xdr:row>77</xdr:row>
      <xdr:rowOff>32845</xdr:rowOff>
    </xdr:from>
    <xdr:to>
      <xdr:col>4</xdr:col>
      <xdr:colOff>387570</xdr:colOff>
      <xdr:row>77</xdr:row>
      <xdr:rowOff>32845</xdr:rowOff>
    </xdr:to>
    <xdr:cxnSp macro="">
      <xdr:nvCxnSpPr>
        <xdr:cNvPr id="432" name="Straight Arrow Connector 431">
          <a:extLst>
            <a:ext uri="{FF2B5EF4-FFF2-40B4-BE49-F238E27FC236}">
              <a16:creationId xmlns:a16="http://schemas.microsoft.com/office/drawing/2014/main" xmlns="" id="{00000000-0008-0000-0400-0000B0010000}"/>
            </a:ext>
          </a:extLst>
        </xdr:cNvPr>
        <xdr:cNvCxnSpPr/>
      </xdr:nvCxnSpPr>
      <xdr:spPr>
        <a:xfrm flipH="1">
          <a:off x="1721827" y="15719787"/>
          <a:ext cx="109828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495227</xdr:colOff>
      <xdr:row>73</xdr:row>
      <xdr:rowOff>26276</xdr:rowOff>
    </xdr:from>
    <xdr:to>
      <xdr:col>2</xdr:col>
      <xdr:colOff>495228</xdr:colOff>
      <xdr:row>77</xdr:row>
      <xdr:rowOff>32845</xdr:rowOff>
    </xdr:to>
    <xdr:cxnSp macro="">
      <xdr:nvCxnSpPr>
        <xdr:cNvPr id="433" name="Straight Arrow Connector 432">
          <a:extLst>
            <a:ext uri="{FF2B5EF4-FFF2-40B4-BE49-F238E27FC236}">
              <a16:creationId xmlns:a16="http://schemas.microsoft.com/office/drawing/2014/main" xmlns="" id="{00000000-0008-0000-0400-0000B1010000}"/>
            </a:ext>
          </a:extLst>
        </xdr:cNvPr>
        <xdr:cNvCxnSpPr/>
      </xdr:nvCxnSpPr>
      <xdr:spPr>
        <a:xfrm flipH="1">
          <a:off x="1717055" y="14438586"/>
          <a:ext cx="1" cy="76856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245065</xdr:colOff>
      <xdr:row>73</xdr:row>
      <xdr:rowOff>10627</xdr:rowOff>
    </xdr:from>
    <xdr:to>
      <xdr:col>2</xdr:col>
      <xdr:colOff>499241</xdr:colOff>
      <xdr:row>73</xdr:row>
      <xdr:rowOff>10627</xdr:rowOff>
    </xdr:to>
    <xdr:cxnSp macro="">
      <xdr:nvCxnSpPr>
        <xdr:cNvPr id="434" name="Straight Arrow Connector 433">
          <a:extLst>
            <a:ext uri="{FF2B5EF4-FFF2-40B4-BE49-F238E27FC236}">
              <a16:creationId xmlns:a16="http://schemas.microsoft.com/office/drawing/2014/main" xmlns="" id="{00000000-0008-0000-0400-0000B2010000}"/>
            </a:ext>
          </a:extLst>
        </xdr:cNvPr>
        <xdr:cNvCxnSpPr>
          <a:endCxn id="373" idx="3"/>
        </xdr:cNvCxnSpPr>
      </xdr:nvCxnSpPr>
      <xdr:spPr>
        <a:xfrm flipH="1">
          <a:off x="1466893" y="14422937"/>
          <a:ext cx="25417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390525</xdr:colOff>
      <xdr:row>87</xdr:row>
      <xdr:rowOff>22618</xdr:rowOff>
    </xdr:from>
    <xdr:to>
      <xdr:col>2</xdr:col>
      <xdr:colOff>241452</xdr:colOff>
      <xdr:row>92</xdr:row>
      <xdr:rowOff>2868</xdr:rowOff>
    </xdr:to>
    <xdr:grpSp>
      <xdr:nvGrpSpPr>
        <xdr:cNvPr id="460" name="Group 459">
          <a:extLst>
            <a:ext uri="{FF2B5EF4-FFF2-40B4-BE49-F238E27FC236}">
              <a16:creationId xmlns:a16="http://schemas.microsoft.com/office/drawing/2014/main" xmlns="" id="{00000000-0008-0000-0400-0000CC010000}"/>
            </a:ext>
          </a:extLst>
        </xdr:cNvPr>
        <xdr:cNvGrpSpPr/>
      </xdr:nvGrpSpPr>
      <xdr:grpSpPr>
        <a:xfrm>
          <a:off x="390525" y="16634218"/>
          <a:ext cx="1123915" cy="939474"/>
          <a:chOff x="610115" y="190500"/>
          <a:chExt cx="1064161" cy="734694"/>
        </a:xfrm>
      </xdr:grpSpPr>
      <xdr:sp macro="" textlink="">
        <xdr:nvSpPr>
          <xdr:cNvPr id="461" name="Rectangle 460">
            <a:extLst>
              <a:ext uri="{FF2B5EF4-FFF2-40B4-BE49-F238E27FC236}">
                <a16:creationId xmlns:a16="http://schemas.microsoft.com/office/drawing/2014/main" xmlns="" id="{00000000-0008-0000-0400-0000CD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LPUART0</a:t>
            </a:r>
          </a:p>
        </xdr:txBody>
      </xdr:sp>
      <xdr:sp macro="" textlink="">
        <xdr:nvSpPr>
          <xdr:cNvPr id="462" name="TextBox 461">
            <a:extLst>
              <a:ext uri="{FF2B5EF4-FFF2-40B4-BE49-F238E27FC236}">
                <a16:creationId xmlns:a16="http://schemas.microsoft.com/office/drawing/2014/main" xmlns="" id="{00000000-0008-0000-0400-0000CE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463" name="TextBox 462">
            <a:extLst>
              <a:ext uri="{FF2B5EF4-FFF2-40B4-BE49-F238E27FC236}">
                <a16:creationId xmlns:a16="http://schemas.microsoft.com/office/drawing/2014/main" xmlns="" id="{00000000-0008-0000-0400-0000CF010000}"/>
              </a:ext>
            </a:extLst>
          </xdr:cNvPr>
          <xdr:cNvSpPr txBox="1"/>
        </xdr:nvSpPr>
        <xdr:spPr>
          <a:xfrm>
            <a:off x="988063" y="709226"/>
            <a:ext cx="68621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398859</xdr:colOff>
      <xdr:row>84</xdr:row>
      <xdr:rowOff>154781</xdr:rowOff>
    </xdr:from>
    <xdr:to>
      <xdr:col>6</xdr:col>
      <xdr:colOff>200048</xdr:colOff>
      <xdr:row>88</xdr:row>
      <xdr:rowOff>196655</xdr:rowOff>
    </xdr:to>
    <xdr:sp macro="" textlink="">
      <xdr:nvSpPr>
        <xdr:cNvPr id="464" name="Rectangle 463">
          <a:extLst>
            <a:ext uri="{FF2B5EF4-FFF2-40B4-BE49-F238E27FC236}">
              <a16:creationId xmlns:a16="http://schemas.microsoft.com/office/drawing/2014/main" xmlns="" id="{00000000-0008-0000-0400-0000D0010000}"/>
            </a:ext>
          </a:extLst>
        </xdr:cNvPr>
        <xdr:cNvSpPr/>
      </xdr:nvSpPr>
      <xdr:spPr>
        <a:xfrm>
          <a:off x="2827734" y="16811625"/>
          <a:ext cx="1015627" cy="8336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LPUART0 Clock</a:t>
          </a:r>
          <a:r>
            <a:rPr lang="en-US" sz="1100" baseline="0"/>
            <a:t> Enable</a:t>
          </a:r>
        </a:p>
        <a:p>
          <a:pPr algn="ctr"/>
          <a:r>
            <a:rPr lang="en-US" sz="900"/>
            <a:t>PCC_LPUART0[CGC]</a:t>
          </a:r>
        </a:p>
      </xdr:txBody>
    </xdr:sp>
    <xdr:clientData/>
  </xdr:twoCellAnchor>
  <xdr:twoCellAnchor>
    <xdr:from>
      <xdr:col>6</xdr:col>
      <xdr:colOff>220265</xdr:colOff>
      <xdr:row>87</xdr:row>
      <xdr:rowOff>0</xdr:rowOff>
    </xdr:from>
    <xdr:to>
      <xdr:col>10</xdr:col>
      <xdr:colOff>305661</xdr:colOff>
      <xdr:row>87</xdr:row>
      <xdr:rowOff>0</xdr:rowOff>
    </xdr:to>
    <xdr:cxnSp macro="">
      <xdr:nvCxnSpPr>
        <xdr:cNvPr id="465" name="Straight Arrow Connector 464">
          <a:extLst>
            <a:ext uri="{FF2B5EF4-FFF2-40B4-BE49-F238E27FC236}">
              <a16:creationId xmlns:a16="http://schemas.microsoft.com/office/drawing/2014/main" xmlns="" id="{00000000-0008-0000-0400-0000D1010000}"/>
            </a:ext>
          </a:extLst>
        </xdr:cNvPr>
        <xdr:cNvCxnSpPr/>
      </xdr:nvCxnSpPr>
      <xdr:spPr>
        <a:xfrm flipH="1">
          <a:off x="3863578" y="17228344"/>
          <a:ext cx="251427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201269</xdr:colOff>
      <xdr:row>87</xdr:row>
      <xdr:rowOff>176120</xdr:rowOff>
    </xdr:from>
    <xdr:to>
      <xdr:col>4</xdr:col>
      <xdr:colOff>381000</xdr:colOff>
      <xdr:row>87</xdr:row>
      <xdr:rowOff>180724</xdr:rowOff>
    </xdr:to>
    <xdr:cxnSp macro="">
      <xdr:nvCxnSpPr>
        <xdr:cNvPr id="466" name="Straight Arrow Connector 465">
          <a:extLst>
            <a:ext uri="{FF2B5EF4-FFF2-40B4-BE49-F238E27FC236}">
              <a16:creationId xmlns:a16="http://schemas.microsoft.com/office/drawing/2014/main" xmlns="" id="{00000000-0008-0000-0400-0000D2010000}"/>
            </a:ext>
          </a:extLst>
        </xdr:cNvPr>
        <xdr:cNvCxnSpPr>
          <a:endCxn id="462" idx="3"/>
        </xdr:cNvCxnSpPr>
      </xdr:nvCxnSpPr>
      <xdr:spPr>
        <a:xfrm flipH="1" flipV="1">
          <a:off x="1415707" y="17404464"/>
          <a:ext cx="1394168" cy="460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404812</xdr:colOff>
      <xdr:row>91</xdr:row>
      <xdr:rowOff>89297</xdr:rowOff>
    </xdr:from>
    <xdr:to>
      <xdr:col>6</xdr:col>
      <xdr:colOff>206001</xdr:colOff>
      <xdr:row>95</xdr:row>
      <xdr:rowOff>183723</xdr:rowOff>
    </xdr:to>
    <xdr:sp macro="" textlink="">
      <xdr:nvSpPr>
        <xdr:cNvPr id="470" name="Rectangle 469">
          <a:extLst>
            <a:ext uri="{FF2B5EF4-FFF2-40B4-BE49-F238E27FC236}">
              <a16:creationId xmlns:a16="http://schemas.microsoft.com/office/drawing/2014/main" xmlns="" id="{00000000-0008-0000-0400-0000D6010000}"/>
            </a:ext>
          </a:extLst>
        </xdr:cNvPr>
        <xdr:cNvSpPr/>
      </xdr:nvSpPr>
      <xdr:spPr>
        <a:xfrm>
          <a:off x="2833687" y="18157031"/>
          <a:ext cx="1015627" cy="8564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LPUART0 Per.</a:t>
          </a:r>
          <a:r>
            <a:rPr lang="en-US" sz="1100" baseline="0"/>
            <a:t> </a:t>
          </a:r>
          <a:r>
            <a:rPr lang="en-US" sz="1100"/>
            <a:t>Clk.</a:t>
          </a:r>
          <a:r>
            <a:rPr lang="en-US" sz="1100" baseline="0"/>
            <a:t> Select</a:t>
          </a:r>
        </a:p>
        <a:p>
          <a:pPr algn="ctr"/>
          <a:r>
            <a:rPr lang="en-US" sz="900"/>
            <a:t>PCC_LPUART0[PCS]</a:t>
          </a:r>
        </a:p>
      </xdr:txBody>
    </xdr:sp>
    <xdr:clientData/>
  </xdr:twoCellAnchor>
  <xdr:oneCellAnchor>
    <xdr:from>
      <xdr:col>4</xdr:col>
      <xdr:colOff>541734</xdr:colOff>
      <xdr:row>89</xdr:row>
      <xdr:rowOff>178593</xdr:rowOff>
    </xdr:from>
    <xdr:ext cx="860534" cy="367862"/>
    <xdr:sp macro="" textlink="">
      <xdr:nvSpPr>
        <xdr:cNvPr id="471" name="TextBox 470">
          <a:extLst>
            <a:ext uri="{FF2B5EF4-FFF2-40B4-BE49-F238E27FC236}">
              <a16:creationId xmlns:a16="http://schemas.microsoft.com/office/drawing/2014/main" xmlns="" id="{00000000-0008-0000-0400-0000D7010000}"/>
            </a:ext>
          </a:extLst>
        </xdr:cNvPr>
        <xdr:cNvSpPr txBox="1"/>
      </xdr:nvSpPr>
      <xdr:spPr>
        <a:xfrm>
          <a:off x="2970609" y="17835562"/>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232172</xdr:colOff>
      <xdr:row>92</xdr:row>
      <xdr:rowOff>29766</xdr:rowOff>
    </xdr:from>
    <xdr:to>
      <xdr:col>28</xdr:col>
      <xdr:colOff>304430</xdr:colOff>
      <xdr:row>92</xdr:row>
      <xdr:rowOff>29766</xdr:rowOff>
    </xdr:to>
    <xdr:cxnSp macro="">
      <xdr:nvCxnSpPr>
        <xdr:cNvPr id="473" name="Straight Arrow Connector 472">
          <a:extLst>
            <a:ext uri="{FF2B5EF4-FFF2-40B4-BE49-F238E27FC236}">
              <a16:creationId xmlns:a16="http://schemas.microsoft.com/office/drawing/2014/main" xmlns="" id="{00000000-0008-0000-0400-0000D9010000}"/>
            </a:ext>
          </a:extLst>
        </xdr:cNvPr>
        <xdr:cNvCxnSpPr/>
      </xdr:nvCxnSpPr>
      <xdr:spPr>
        <a:xfrm flipH="1">
          <a:off x="3875485" y="18288000"/>
          <a:ext cx="13431070"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238741</xdr:colOff>
      <xdr:row>93</xdr:row>
      <xdr:rowOff>41216</xdr:rowOff>
    </xdr:from>
    <xdr:to>
      <xdr:col>24</xdr:col>
      <xdr:colOff>330705</xdr:colOff>
      <xdr:row>93</xdr:row>
      <xdr:rowOff>41216</xdr:rowOff>
    </xdr:to>
    <xdr:cxnSp macro="">
      <xdr:nvCxnSpPr>
        <xdr:cNvPr id="474" name="Straight Arrow Connector 473">
          <a:extLst>
            <a:ext uri="{FF2B5EF4-FFF2-40B4-BE49-F238E27FC236}">
              <a16:creationId xmlns:a16="http://schemas.microsoft.com/office/drawing/2014/main" xmlns="" id="{00000000-0008-0000-0400-0000DA010000}"/>
            </a:ext>
          </a:extLst>
        </xdr:cNvPr>
        <xdr:cNvCxnSpPr/>
      </xdr:nvCxnSpPr>
      <xdr:spPr>
        <a:xfrm flipH="1">
          <a:off x="3882054" y="18489950"/>
          <a:ext cx="11021901"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238741</xdr:colOff>
      <xdr:row>94</xdr:row>
      <xdr:rowOff>87655</xdr:rowOff>
    </xdr:from>
    <xdr:to>
      <xdr:col>20</xdr:col>
      <xdr:colOff>324136</xdr:colOff>
      <xdr:row>94</xdr:row>
      <xdr:rowOff>87655</xdr:rowOff>
    </xdr:to>
    <xdr:cxnSp macro="">
      <xdr:nvCxnSpPr>
        <xdr:cNvPr id="475" name="Straight Arrow Connector 474">
          <a:extLst>
            <a:ext uri="{FF2B5EF4-FFF2-40B4-BE49-F238E27FC236}">
              <a16:creationId xmlns:a16="http://schemas.microsoft.com/office/drawing/2014/main" xmlns="" id="{00000000-0008-0000-0400-0000DB010000}"/>
            </a:ext>
          </a:extLst>
        </xdr:cNvPr>
        <xdr:cNvCxnSpPr/>
      </xdr:nvCxnSpPr>
      <xdr:spPr>
        <a:xfrm flipH="1">
          <a:off x="3882054" y="18726889"/>
          <a:ext cx="8586457"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245310</xdr:colOff>
      <xdr:row>95</xdr:row>
      <xdr:rowOff>125222</xdr:rowOff>
    </xdr:from>
    <xdr:to>
      <xdr:col>16</xdr:col>
      <xdr:colOff>324136</xdr:colOff>
      <xdr:row>95</xdr:row>
      <xdr:rowOff>125222</xdr:rowOff>
    </xdr:to>
    <xdr:cxnSp macro="">
      <xdr:nvCxnSpPr>
        <xdr:cNvPr id="476" name="Straight Arrow Connector 475">
          <a:extLst>
            <a:ext uri="{FF2B5EF4-FFF2-40B4-BE49-F238E27FC236}">
              <a16:creationId xmlns:a16="http://schemas.microsoft.com/office/drawing/2014/main" xmlns="" id="{00000000-0008-0000-0400-0000DC010000}"/>
            </a:ext>
          </a:extLst>
        </xdr:cNvPr>
        <xdr:cNvCxnSpPr/>
      </xdr:nvCxnSpPr>
      <xdr:spPr>
        <a:xfrm flipH="1">
          <a:off x="3888623" y="18954956"/>
          <a:ext cx="6151013"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454119</xdr:colOff>
      <xdr:row>95</xdr:row>
      <xdr:rowOff>57937</xdr:rowOff>
    </xdr:from>
    <xdr:to>
      <xdr:col>4</xdr:col>
      <xdr:colOff>368723</xdr:colOff>
      <xdr:row>95</xdr:row>
      <xdr:rowOff>57937</xdr:rowOff>
    </xdr:to>
    <xdr:cxnSp macro="">
      <xdr:nvCxnSpPr>
        <xdr:cNvPr id="477" name="Straight Arrow Connector 476">
          <a:extLst>
            <a:ext uri="{FF2B5EF4-FFF2-40B4-BE49-F238E27FC236}">
              <a16:creationId xmlns:a16="http://schemas.microsoft.com/office/drawing/2014/main" xmlns="" id="{00000000-0008-0000-0400-0000DD010000}"/>
            </a:ext>
          </a:extLst>
        </xdr:cNvPr>
        <xdr:cNvCxnSpPr/>
      </xdr:nvCxnSpPr>
      <xdr:spPr>
        <a:xfrm flipH="1">
          <a:off x="1668557" y="18887671"/>
          <a:ext cx="112904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464475</xdr:colOff>
      <xdr:row>91</xdr:row>
      <xdr:rowOff>21602</xdr:rowOff>
    </xdr:from>
    <xdr:to>
      <xdr:col>2</xdr:col>
      <xdr:colOff>464476</xdr:colOff>
      <xdr:row>95</xdr:row>
      <xdr:rowOff>57937</xdr:rowOff>
    </xdr:to>
    <xdr:cxnSp macro="">
      <xdr:nvCxnSpPr>
        <xdr:cNvPr id="478" name="Straight Arrow Connector 477">
          <a:extLst>
            <a:ext uri="{FF2B5EF4-FFF2-40B4-BE49-F238E27FC236}">
              <a16:creationId xmlns:a16="http://schemas.microsoft.com/office/drawing/2014/main" xmlns="" id="{00000000-0008-0000-0400-0000DE010000}"/>
            </a:ext>
          </a:extLst>
        </xdr:cNvPr>
        <xdr:cNvCxnSpPr/>
      </xdr:nvCxnSpPr>
      <xdr:spPr>
        <a:xfrm flipH="1">
          <a:off x="1678913" y="18089336"/>
          <a:ext cx="1" cy="79833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241452</xdr:colOff>
      <xdr:row>91</xdr:row>
      <xdr:rowOff>22877</xdr:rowOff>
    </xdr:from>
    <xdr:to>
      <xdr:col>2</xdr:col>
      <xdr:colOff>470296</xdr:colOff>
      <xdr:row>91</xdr:row>
      <xdr:rowOff>22877</xdr:rowOff>
    </xdr:to>
    <xdr:cxnSp macro="">
      <xdr:nvCxnSpPr>
        <xdr:cNvPr id="479" name="Straight Arrow Connector 478">
          <a:extLst>
            <a:ext uri="{FF2B5EF4-FFF2-40B4-BE49-F238E27FC236}">
              <a16:creationId xmlns:a16="http://schemas.microsoft.com/office/drawing/2014/main" xmlns="" id="{00000000-0008-0000-0400-0000DF010000}"/>
            </a:ext>
          </a:extLst>
        </xdr:cNvPr>
        <xdr:cNvCxnSpPr>
          <a:endCxn id="463" idx="3"/>
        </xdr:cNvCxnSpPr>
      </xdr:nvCxnSpPr>
      <xdr:spPr>
        <a:xfrm flipH="1">
          <a:off x="1455890" y="18090611"/>
          <a:ext cx="2288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370817</xdr:colOff>
      <xdr:row>14</xdr:row>
      <xdr:rowOff>94270</xdr:rowOff>
    </xdr:from>
    <xdr:to>
      <xdr:col>43</xdr:col>
      <xdr:colOff>193913</xdr:colOff>
      <xdr:row>18</xdr:row>
      <xdr:rowOff>71602</xdr:rowOff>
    </xdr:to>
    <xdr:grpSp>
      <xdr:nvGrpSpPr>
        <xdr:cNvPr id="483" name="Group 482">
          <a:extLst>
            <a:ext uri="{FF2B5EF4-FFF2-40B4-BE49-F238E27FC236}">
              <a16:creationId xmlns:a16="http://schemas.microsoft.com/office/drawing/2014/main" xmlns="" id="{00000000-0008-0000-0400-0000E3010000}"/>
            </a:ext>
          </a:extLst>
        </xdr:cNvPr>
        <xdr:cNvGrpSpPr/>
      </xdr:nvGrpSpPr>
      <xdr:grpSpPr>
        <a:xfrm>
          <a:off x="26467076" y="2649211"/>
          <a:ext cx="1096084" cy="766226"/>
          <a:chOff x="588526" y="190500"/>
          <a:chExt cx="1036410" cy="734695"/>
        </a:xfrm>
      </xdr:grpSpPr>
      <xdr:sp macro="" textlink="">
        <xdr:nvSpPr>
          <xdr:cNvPr id="484" name="Rectangle 483">
            <a:extLst>
              <a:ext uri="{FF2B5EF4-FFF2-40B4-BE49-F238E27FC236}">
                <a16:creationId xmlns:a16="http://schemas.microsoft.com/office/drawing/2014/main" xmlns="" id="{00000000-0008-0000-0400-0000E4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PDB0</a:t>
            </a:r>
          </a:p>
        </xdr:txBody>
      </xdr:sp>
      <xdr:sp macro="" textlink="">
        <xdr:nvSpPr>
          <xdr:cNvPr id="485" name="TextBox 484">
            <a:extLst>
              <a:ext uri="{FF2B5EF4-FFF2-40B4-BE49-F238E27FC236}">
                <a16:creationId xmlns:a16="http://schemas.microsoft.com/office/drawing/2014/main" xmlns="" id="{00000000-0008-0000-0400-0000E5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12</xdr:col>
      <xdr:colOff>300404</xdr:colOff>
      <xdr:row>15</xdr:row>
      <xdr:rowOff>109907</xdr:rowOff>
    </xdr:from>
    <xdr:to>
      <xdr:col>35</xdr:col>
      <xdr:colOff>388326</xdr:colOff>
      <xdr:row>15</xdr:row>
      <xdr:rowOff>109908</xdr:rowOff>
    </xdr:to>
    <xdr:cxnSp macro="">
      <xdr:nvCxnSpPr>
        <xdr:cNvPr id="487" name="Straight Arrow Connector 486">
          <a:extLst>
            <a:ext uri="{FF2B5EF4-FFF2-40B4-BE49-F238E27FC236}">
              <a16:creationId xmlns:a16="http://schemas.microsoft.com/office/drawing/2014/main" xmlns="" id="{00000000-0008-0000-0400-0000E7010000}"/>
            </a:ext>
          </a:extLst>
        </xdr:cNvPr>
        <xdr:cNvCxnSpPr/>
      </xdr:nvCxnSpPr>
      <xdr:spPr>
        <a:xfrm flipV="1">
          <a:off x="7598019" y="3033349"/>
          <a:ext cx="14075019" cy="1"/>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402981</xdr:colOff>
      <xdr:row>13</xdr:row>
      <xdr:rowOff>73269</xdr:rowOff>
    </xdr:from>
    <xdr:to>
      <xdr:col>37</xdr:col>
      <xdr:colOff>204171</xdr:colOff>
      <xdr:row>16</xdr:row>
      <xdr:rowOff>195535</xdr:rowOff>
    </xdr:to>
    <xdr:sp macro="" textlink="">
      <xdr:nvSpPr>
        <xdr:cNvPr id="491" name="Rectangle 490">
          <a:extLst>
            <a:ext uri="{FF2B5EF4-FFF2-40B4-BE49-F238E27FC236}">
              <a16:creationId xmlns:a16="http://schemas.microsoft.com/office/drawing/2014/main" xmlns="" id="{00000000-0008-0000-0400-0000EB010000}"/>
            </a:ext>
          </a:extLst>
        </xdr:cNvPr>
        <xdr:cNvSpPr/>
      </xdr:nvSpPr>
      <xdr:spPr>
        <a:xfrm>
          <a:off x="21687693" y="2586404"/>
          <a:ext cx="1017459" cy="7450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PDB0 Clock</a:t>
          </a:r>
          <a:r>
            <a:rPr lang="en-US" sz="1100" baseline="0"/>
            <a:t> Enable</a:t>
          </a:r>
        </a:p>
        <a:p>
          <a:pPr algn="ctr"/>
          <a:r>
            <a:rPr lang="en-US" sz="900"/>
            <a:t>PCC_PDB0[CGC]</a:t>
          </a:r>
        </a:p>
      </xdr:txBody>
    </xdr:sp>
    <xdr:clientData/>
  </xdr:twoCellAnchor>
  <xdr:oneCellAnchor>
    <xdr:from>
      <xdr:col>35</xdr:col>
      <xdr:colOff>564173</xdr:colOff>
      <xdr:row>18</xdr:row>
      <xdr:rowOff>21980</xdr:rowOff>
    </xdr:from>
    <xdr:ext cx="860534" cy="367862"/>
    <xdr:sp macro="" textlink="">
      <xdr:nvSpPr>
        <xdr:cNvPr id="493" name="TextBox 492">
          <a:extLst>
            <a:ext uri="{FF2B5EF4-FFF2-40B4-BE49-F238E27FC236}">
              <a16:creationId xmlns:a16="http://schemas.microsoft.com/office/drawing/2014/main" xmlns="" id="{00000000-0008-0000-0400-0000ED010000}"/>
            </a:ext>
          </a:extLst>
        </xdr:cNvPr>
        <xdr:cNvSpPr txBox="1"/>
      </xdr:nvSpPr>
      <xdr:spPr>
        <a:xfrm>
          <a:off x="21848885" y="358286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41</xdr:col>
      <xdr:colOff>383094</xdr:colOff>
      <xdr:row>21</xdr:row>
      <xdr:rowOff>6280</xdr:rowOff>
    </xdr:from>
    <xdr:to>
      <xdr:col>43</xdr:col>
      <xdr:colOff>206191</xdr:colOff>
      <xdr:row>24</xdr:row>
      <xdr:rowOff>187719</xdr:rowOff>
    </xdr:to>
    <xdr:grpSp>
      <xdr:nvGrpSpPr>
        <xdr:cNvPr id="499" name="Group 498">
          <a:extLst>
            <a:ext uri="{FF2B5EF4-FFF2-40B4-BE49-F238E27FC236}">
              <a16:creationId xmlns:a16="http://schemas.microsoft.com/office/drawing/2014/main" xmlns="" id="{00000000-0008-0000-0400-0000F3010000}"/>
            </a:ext>
          </a:extLst>
        </xdr:cNvPr>
        <xdr:cNvGrpSpPr/>
      </xdr:nvGrpSpPr>
      <xdr:grpSpPr>
        <a:xfrm>
          <a:off x="26479353" y="3923856"/>
          <a:ext cx="1096085" cy="773110"/>
          <a:chOff x="588526" y="190500"/>
          <a:chExt cx="1036410" cy="734695"/>
        </a:xfrm>
      </xdr:grpSpPr>
      <xdr:sp macro="" textlink="">
        <xdr:nvSpPr>
          <xdr:cNvPr id="500" name="Rectangle 499">
            <a:extLst>
              <a:ext uri="{FF2B5EF4-FFF2-40B4-BE49-F238E27FC236}">
                <a16:creationId xmlns:a16="http://schemas.microsoft.com/office/drawing/2014/main" xmlns="" id="{00000000-0008-0000-0400-0000F4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DMAMUX0</a:t>
            </a:r>
          </a:p>
        </xdr:txBody>
      </xdr:sp>
      <xdr:sp macro="" textlink="">
        <xdr:nvSpPr>
          <xdr:cNvPr id="501" name="TextBox 500">
            <a:extLst>
              <a:ext uri="{FF2B5EF4-FFF2-40B4-BE49-F238E27FC236}">
                <a16:creationId xmlns:a16="http://schemas.microsoft.com/office/drawing/2014/main" xmlns="" id="{00000000-0008-0000-0400-0000F5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35</xdr:col>
      <xdr:colOff>395654</xdr:colOff>
      <xdr:row>20</xdr:row>
      <xdr:rowOff>65943</xdr:rowOff>
    </xdr:from>
    <xdr:to>
      <xdr:col>37</xdr:col>
      <xdr:colOff>196844</xdr:colOff>
      <xdr:row>23</xdr:row>
      <xdr:rowOff>202862</xdr:rowOff>
    </xdr:to>
    <xdr:sp macro="" textlink="">
      <xdr:nvSpPr>
        <xdr:cNvPr id="502" name="Rectangle 501">
          <a:extLst>
            <a:ext uri="{FF2B5EF4-FFF2-40B4-BE49-F238E27FC236}">
              <a16:creationId xmlns:a16="http://schemas.microsoft.com/office/drawing/2014/main" xmlns="" id="{00000000-0008-0000-0400-0000F6010000}"/>
            </a:ext>
          </a:extLst>
        </xdr:cNvPr>
        <xdr:cNvSpPr/>
      </xdr:nvSpPr>
      <xdr:spPr>
        <a:xfrm>
          <a:off x="21680366" y="4022481"/>
          <a:ext cx="1017459" cy="7450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DMAMUX0 Clock</a:t>
          </a:r>
          <a:r>
            <a:rPr lang="en-US" sz="1100" baseline="0"/>
            <a:t> Enable</a:t>
          </a:r>
        </a:p>
        <a:p>
          <a:pPr algn="ctr"/>
          <a:r>
            <a:rPr lang="en-US" sz="900"/>
            <a:t>PCC_DMAMUX[CGC]</a:t>
          </a:r>
        </a:p>
      </xdr:txBody>
    </xdr:sp>
    <xdr:clientData/>
  </xdr:twoCellAnchor>
  <xdr:oneCellAnchor>
    <xdr:from>
      <xdr:col>35</xdr:col>
      <xdr:colOff>556846</xdr:colOff>
      <xdr:row>25</xdr:row>
      <xdr:rowOff>14654</xdr:rowOff>
    </xdr:from>
    <xdr:ext cx="860534" cy="367862"/>
    <xdr:sp macro="" textlink="">
      <xdr:nvSpPr>
        <xdr:cNvPr id="506" name="TextBox 505">
          <a:extLst>
            <a:ext uri="{FF2B5EF4-FFF2-40B4-BE49-F238E27FC236}">
              <a16:creationId xmlns:a16="http://schemas.microsoft.com/office/drawing/2014/main" xmlns="" id="{00000000-0008-0000-0400-0000FA010000}"/>
            </a:ext>
          </a:extLst>
        </xdr:cNvPr>
        <xdr:cNvSpPr txBox="1"/>
      </xdr:nvSpPr>
      <xdr:spPr>
        <a:xfrm>
          <a:off x="21841558" y="500428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325895</xdr:colOff>
      <xdr:row>22</xdr:row>
      <xdr:rowOff>28162</xdr:rowOff>
    </xdr:from>
    <xdr:to>
      <xdr:col>35</xdr:col>
      <xdr:colOff>395654</xdr:colOff>
      <xdr:row>22</xdr:row>
      <xdr:rowOff>29304</xdr:rowOff>
    </xdr:to>
    <xdr:cxnSp macro="">
      <xdr:nvCxnSpPr>
        <xdr:cNvPr id="507" name="Straight Arrow Connector 506">
          <a:extLst>
            <a:ext uri="{FF2B5EF4-FFF2-40B4-BE49-F238E27FC236}">
              <a16:creationId xmlns:a16="http://schemas.microsoft.com/office/drawing/2014/main" xmlns="" id="{00000000-0008-0000-0400-0000FB010000}"/>
            </a:ext>
          </a:extLst>
        </xdr:cNvPr>
        <xdr:cNvCxnSpPr>
          <a:endCxn id="502" idx="1"/>
        </xdr:cNvCxnSpPr>
      </xdr:nvCxnSpPr>
      <xdr:spPr>
        <a:xfrm flipV="1">
          <a:off x="6407241" y="4395008"/>
          <a:ext cx="15273125" cy="1142"/>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205154</xdr:colOff>
      <xdr:row>21</xdr:row>
      <xdr:rowOff>123345</xdr:rowOff>
    </xdr:from>
    <xdr:to>
      <xdr:col>41</xdr:col>
      <xdr:colOff>383094</xdr:colOff>
      <xdr:row>21</xdr:row>
      <xdr:rowOff>123345</xdr:rowOff>
    </xdr:to>
    <xdr:cxnSp macro="">
      <xdr:nvCxnSpPr>
        <xdr:cNvPr id="511" name="Straight Arrow Connector 510">
          <a:extLst>
            <a:ext uri="{FF2B5EF4-FFF2-40B4-BE49-F238E27FC236}">
              <a16:creationId xmlns:a16="http://schemas.microsoft.com/office/drawing/2014/main" xmlns="" id="{00000000-0008-0000-0400-0000FF010000}"/>
            </a:ext>
          </a:extLst>
        </xdr:cNvPr>
        <xdr:cNvCxnSpPr>
          <a:endCxn id="501" idx="1"/>
        </xdr:cNvCxnSpPr>
      </xdr:nvCxnSpPr>
      <xdr:spPr>
        <a:xfrm>
          <a:off x="22706135" y="4292364"/>
          <a:ext cx="26104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344366</xdr:colOff>
      <xdr:row>28</xdr:row>
      <xdr:rowOff>175847</xdr:rowOff>
    </xdr:from>
    <xdr:to>
      <xdr:col>43</xdr:col>
      <xdr:colOff>167463</xdr:colOff>
      <xdr:row>32</xdr:row>
      <xdr:rowOff>196095</xdr:rowOff>
    </xdr:to>
    <xdr:grpSp>
      <xdr:nvGrpSpPr>
        <xdr:cNvPr id="515" name="Group 514">
          <a:extLst>
            <a:ext uri="{FF2B5EF4-FFF2-40B4-BE49-F238E27FC236}">
              <a16:creationId xmlns:a16="http://schemas.microsoft.com/office/drawing/2014/main" xmlns="" id="{00000000-0008-0000-0400-000003020000}"/>
            </a:ext>
          </a:extLst>
        </xdr:cNvPr>
        <xdr:cNvGrpSpPr/>
      </xdr:nvGrpSpPr>
      <xdr:grpSpPr>
        <a:xfrm>
          <a:off x="26440625" y="5447094"/>
          <a:ext cx="1096085" cy="782248"/>
          <a:chOff x="588526" y="190500"/>
          <a:chExt cx="1036410" cy="734695"/>
        </a:xfrm>
      </xdr:grpSpPr>
      <xdr:sp macro="" textlink="">
        <xdr:nvSpPr>
          <xdr:cNvPr id="516" name="Rectangle 515">
            <a:extLst>
              <a:ext uri="{FF2B5EF4-FFF2-40B4-BE49-F238E27FC236}">
                <a16:creationId xmlns:a16="http://schemas.microsoft.com/office/drawing/2014/main" xmlns="" id="{00000000-0008-0000-0400-000004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CMP0</a:t>
            </a:r>
          </a:p>
        </xdr:txBody>
      </xdr:sp>
      <xdr:sp macro="" textlink="">
        <xdr:nvSpPr>
          <xdr:cNvPr id="517" name="TextBox 516">
            <a:extLst>
              <a:ext uri="{FF2B5EF4-FFF2-40B4-BE49-F238E27FC236}">
                <a16:creationId xmlns:a16="http://schemas.microsoft.com/office/drawing/2014/main" xmlns="" id="{00000000-0008-0000-0400-00000502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35</xdr:col>
      <xdr:colOff>395653</xdr:colOff>
      <xdr:row>27</xdr:row>
      <xdr:rowOff>7327</xdr:rowOff>
    </xdr:from>
    <xdr:to>
      <xdr:col>37</xdr:col>
      <xdr:colOff>196843</xdr:colOff>
      <xdr:row>30</xdr:row>
      <xdr:rowOff>180881</xdr:rowOff>
    </xdr:to>
    <xdr:sp macro="" textlink="">
      <xdr:nvSpPr>
        <xdr:cNvPr id="518" name="Rectangle 517">
          <a:extLst>
            <a:ext uri="{FF2B5EF4-FFF2-40B4-BE49-F238E27FC236}">
              <a16:creationId xmlns:a16="http://schemas.microsoft.com/office/drawing/2014/main" xmlns="" id="{00000000-0008-0000-0400-000006020000}"/>
            </a:ext>
          </a:extLst>
        </xdr:cNvPr>
        <xdr:cNvSpPr/>
      </xdr:nvSpPr>
      <xdr:spPr>
        <a:xfrm>
          <a:off x="21680365" y="5385289"/>
          <a:ext cx="1017459" cy="7450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CMP0 Clock</a:t>
          </a:r>
          <a:r>
            <a:rPr lang="en-US" sz="1100" baseline="0"/>
            <a:t> Enable</a:t>
          </a:r>
        </a:p>
        <a:p>
          <a:pPr algn="ctr"/>
          <a:r>
            <a:rPr lang="en-US" sz="900"/>
            <a:t>PCC_CMP0[CGC]</a:t>
          </a:r>
        </a:p>
      </xdr:txBody>
    </xdr:sp>
    <xdr:clientData/>
  </xdr:twoCellAnchor>
  <xdr:oneCellAnchor>
    <xdr:from>
      <xdr:col>35</xdr:col>
      <xdr:colOff>564173</xdr:colOff>
      <xdr:row>32</xdr:row>
      <xdr:rowOff>0</xdr:rowOff>
    </xdr:from>
    <xdr:ext cx="860534" cy="367862"/>
    <xdr:sp macro="" textlink="">
      <xdr:nvSpPr>
        <xdr:cNvPr id="519" name="TextBox 518">
          <a:extLst>
            <a:ext uri="{FF2B5EF4-FFF2-40B4-BE49-F238E27FC236}">
              <a16:creationId xmlns:a16="http://schemas.microsoft.com/office/drawing/2014/main" xmlns="" id="{00000000-0008-0000-0400-000007020000}"/>
            </a:ext>
          </a:extLst>
        </xdr:cNvPr>
        <xdr:cNvSpPr txBox="1"/>
      </xdr:nvSpPr>
      <xdr:spPr>
        <a:xfrm>
          <a:off x="21848885" y="635976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307730</xdr:colOff>
      <xdr:row>28</xdr:row>
      <xdr:rowOff>102577</xdr:rowOff>
    </xdr:from>
    <xdr:to>
      <xdr:col>35</xdr:col>
      <xdr:colOff>377489</xdr:colOff>
      <xdr:row>28</xdr:row>
      <xdr:rowOff>103719</xdr:rowOff>
    </xdr:to>
    <xdr:cxnSp macro="">
      <xdr:nvCxnSpPr>
        <xdr:cNvPr id="520" name="Straight Arrow Connector 519">
          <a:extLst>
            <a:ext uri="{FF2B5EF4-FFF2-40B4-BE49-F238E27FC236}">
              <a16:creationId xmlns:a16="http://schemas.microsoft.com/office/drawing/2014/main" xmlns="" id="{00000000-0008-0000-0400-000008020000}"/>
            </a:ext>
          </a:extLst>
        </xdr:cNvPr>
        <xdr:cNvCxnSpPr/>
      </xdr:nvCxnSpPr>
      <xdr:spPr>
        <a:xfrm flipV="1">
          <a:off x="6389076" y="5671039"/>
          <a:ext cx="15273125" cy="1142"/>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205154</xdr:colOff>
      <xdr:row>29</xdr:row>
      <xdr:rowOff>105671</xdr:rowOff>
    </xdr:from>
    <xdr:to>
      <xdr:col>41</xdr:col>
      <xdr:colOff>344366</xdr:colOff>
      <xdr:row>29</xdr:row>
      <xdr:rowOff>105671</xdr:rowOff>
    </xdr:to>
    <xdr:cxnSp macro="">
      <xdr:nvCxnSpPr>
        <xdr:cNvPr id="521" name="Straight Arrow Connector 520">
          <a:extLst>
            <a:ext uri="{FF2B5EF4-FFF2-40B4-BE49-F238E27FC236}">
              <a16:creationId xmlns:a16="http://schemas.microsoft.com/office/drawing/2014/main" xmlns="" id="{00000000-0008-0000-0400-000009020000}"/>
            </a:ext>
          </a:extLst>
        </xdr:cNvPr>
        <xdr:cNvCxnSpPr>
          <a:endCxn id="517" idx="1"/>
        </xdr:cNvCxnSpPr>
      </xdr:nvCxnSpPr>
      <xdr:spPr>
        <a:xfrm>
          <a:off x="22706135" y="5864633"/>
          <a:ext cx="25717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373673</xdr:colOff>
      <xdr:row>34</xdr:row>
      <xdr:rowOff>124558</xdr:rowOff>
    </xdr:from>
    <xdr:to>
      <xdr:col>43</xdr:col>
      <xdr:colOff>196770</xdr:colOff>
      <xdr:row>38</xdr:row>
      <xdr:rowOff>166787</xdr:rowOff>
    </xdr:to>
    <xdr:grpSp>
      <xdr:nvGrpSpPr>
        <xdr:cNvPr id="525" name="Group 524">
          <a:extLst>
            <a:ext uri="{FF2B5EF4-FFF2-40B4-BE49-F238E27FC236}">
              <a16:creationId xmlns:a16="http://schemas.microsoft.com/office/drawing/2014/main" xmlns="" id="{00000000-0008-0000-0400-00000D020000}"/>
            </a:ext>
          </a:extLst>
        </xdr:cNvPr>
        <xdr:cNvGrpSpPr/>
      </xdr:nvGrpSpPr>
      <xdr:grpSpPr>
        <a:xfrm>
          <a:off x="26469932" y="6552252"/>
          <a:ext cx="1096085" cy="795264"/>
          <a:chOff x="588526" y="190500"/>
          <a:chExt cx="1036410" cy="734695"/>
        </a:xfrm>
      </xdr:grpSpPr>
      <xdr:sp macro="" textlink="">
        <xdr:nvSpPr>
          <xdr:cNvPr id="526" name="Rectangle 525">
            <a:extLst>
              <a:ext uri="{FF2B5EF4-FFF2-40B4-BE49-F238E27FC236}">
                <a16:creationId xmlns:a16="http://schemas.microsoft.com/office/drawing/2014/main" xmlns="" id="{00000000-0008-0000-0400-00000E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CRC</a:t>
            </a:r>
          </a:p>
        </xdr:txBody>
      </xdr:sp>
      <xdr:sp macro="" textlink="">
        <xdr:nvSpPr>
          <xdr:cNvPr id="527" name="TextBox 526">
            <a:extLst>
              <a:ext uri="{FF2B5EF4-FFF2-40B4-BE49-F238E27FC236}">
                <a16:creationId xmlns:a16="http://schemas.microsoft.com/office/drawing/2014/main" xmlns="" id="{00000000-0008-0000-0400-00000F02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35</xdr:col>
      <xdr:colOff>388327</xdr:colOff>
      <xdr:row>34</xdr:row>
      <xdr:rowOff>21981</xdr:rowOff>
    </xdr:from>
    <xdr:to>
      <xdr:col>37</xdr:col>
      <xdr:colOff>189517</xdr:colOff>
      <xdr:row>37</xdr:row>
      <xdr:rowOff>173554</xdr:rowOff>
    </xdr:to>
    <xdr:sp macro="" textlink="">
      <xdr:nvSpPr>
        <xdr:cNvPr id="528" name="Rectangle 527">
          <a:extLst>
            <a:ext uri="{FF2B5EF4-FFF2-40B4-BE49-F238E27FC236}">
              <a16:creationId xmlns:a16="http://schemas.microsoft.com/office/drawing/2014/main" xmlns="" id="{00000000-0008-0000-0400-000010020000}"/>
            </a:ext>
          </a:extLst>
        </xdr:cNvPr>
        <xdr:cNvSpPr/>
      </xdr:nvSpPr>
      <xdr:spPr>
        <a:xfrm>
          <a:off x="21673039" y="6858000"/>
          <a:ext cx="1017459" cy="7523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CRC Clock</a:t>
          </a:r>
          <a:r>
            <a:rPr lang="en-US" sz="1100" baseline="0"/>
            <a:t> Enable</a:t>
          </a:r>
        </a:p>
        <a:p>
          <a:pPr algn="ctr"/>
          <a:r>
            <a:rPr lang="en-US" sz="900"/>
            <a:t>PCC_CRC[CGC]</a:t>
          </a:r>
        </a:p>
      </xdr:txBody>
    </xdr:sp>
    <xdr:clientData/>
  </xdr:twoCellAnchor>
  <xdr:twoCellAnchor>
    <xdr:from>
      <xdr:col>10</xdr:col>
      <xdr:colOff>307731</xdr:colOff>
      <xdr:row>35</xdr:row>
      <xdr:rowOff>175851</xdr:rowOff>
    </xdr:from>
    <xdr:to>
      <xdr:col>35</xdr:col>
      <xdr:colOff>377490</xdr:colOff>
      <xdr:row>35</xdr:row>
      <xdr:rowOff>176993</xdr:rowOff>
    </xdr:to>
    <xdr:cxnSp macro="">
      <xdr:nvCxnSpPr>
        <xdr:cNvPr id="529" name="Straight Arrow Connector 528">
          <a:extLst>
            <a:ext uri="{FF2B5EF4-FFF2-40B4-BE49-F238E27FC236}">
              <a16:creationId xmlns:a16="http://schemas.microsoft.com/office/drawing/2014/main" xmlns="" id="{00000000-0008-0000-0400-000011020000}"/>
            </a:ext>
          </a:extLst>
        </xdr:cNvPr>
        <xdr:cNvCxnSpPr/>
      </xdr:nvCxnSpPr>
      <xdr:spPr>
        <a:xfrm flipV="1">
          <a:off x="6389077" y="7224351"/>
          <a:ext cx="15273125" cy="1142"/>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183173</xdr:colOff>
      <xdr:row>35</xdr:row>
      <xdr:rowOff>35660</xdr:rowOff>
    </xdr:from>
    <xdr:to>
      <xdr:col>41</xdr:col>
      <xdr:colOff>373673</xdr:colOff>
      <xdr:row>35</xdr:row>
      <xdr:rowOff>35660</xdr:rowOff>
    </xdr:to>
    <xdr:cxnSp macro="">
      <xdr:nvCxnSpPr>
        <xdr:cNvPr id="530" name="Straight Arrow Connector 529">
          <a:extLst>
            <a:ext uri="{FF2B5EF4-FFF2-40B4-BE49-F238E27FC236}">
              <a16:creationId xmlns:a16="http://schemas.microsoft.com/office/drawing/2014/main" xmlns="" id="{00000000-0008-0000-0400-000012020000}"/>
            </a:ext>
          </a:extLst>
        </xdr:cNvPr>
        <xdr:cNvCxnSpPr>
          <a:endCxn id="527" idx="1"/>
        </xdr:cNvCxnSpPr>
      </xdr:nvCxnSpPr>
      <xdr:spPr>
        <a:xfrm>
          <a:off x="22684154" y="7084160"/>
          <a:ext cx="262303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549519</xdr:colOff>
      <xdr:row>39</xdr:row>
      <xdr:rowOff>0</xdr:rowOff>
    </xdr:from>
    <xdr:ext cx="860534" cy="367862"/>
    <xdr:sp macro="" textlink="">
      <xdr:nvSpPr>
        <xdr:cNvPr id="534" name="TextBox 533">
          <a:extLst>
            <a:ext uri="{FF2B5EF4-FFF2-40B4-BE49-F238E27FC236}">
              <a16:creationId xmlns:a16="http://schemas.microsoft.com/office/drawing/2014/main" xmlns="" id="{00000000-0008-0000-0400-000016020000}"/>
            </a:ext>
          </a:extLst>
        </xdr:cNvPr>
        <xdr:cNvSpPr txBox="1"/>
      </xdr:nvSpPr>
      <xdr:spPr>
        <a:xfrm>
          <a:off x="21834231" y="784713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41</xdr:col>
      <xdr:colOff>381000</xdr:colOff>
      <xdr:row>40</xdr:row>
      <xdr:rowOff>139211</xdr:rowOff>
    </xdr:from>
    <xdr:to>
      <xdr:col>43</xdr:col>
      <xdr:colOff>204097</xdr:colOff>
      <xdr:row>44</xdr:row>
      <xdr:rowOff>144805</xdr:rowOff>
    </xdr:to>
    <xdr:grpSp>
      <xdr:nvGrpSpPr>
        <xdr:cNvPr id="535" name="Group 534">
          <a:extLst>
            <a:ext uri="{FF2B5EF4-FFF2-40B4-BE49-F238E27FC236}">
              <a16:creationId xmlns:a16="http://schemas.microsoft.com/office/drawing/2014/main" xmlns="" id="{00000000-0008-0000-0400-000017020000}"/>
            </a:ext>
          </a:extLst>
        </xdr:cNvPr>
        <xdr:cNvGrpSpPr/>
      </xdr:nvGrpSpPr>
      <xdr:grpSpPr>
        <a:xfrm>
          <a:off x="26477259" y="7714387"/>
          <a:ext cx="1096085" cy="785524"/>
          <a:chOff x="588526" y="190500"/>
          <a:chExt cx="1036410" cy="734695"/>
        </a:xfrm>
      </xdr:grpSpPr>
      <xdr:sp macro="" textlink="">
        <xdr:nvSpPr>
          <xdr:cNvPr id="536" name="Rectangle 535">
            <a:extLst>
              <a:ext uri="{FF2B5EF4-FFF2-40B4-BE49-F238E27FC236}">
                <a16:creationId xmlns:a16="http://schemas.microsoft.com/office/drawing/2014/main" xmlns="" id="{00000000-0008-0000-0400-000018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GPIO</a:t>
            </a:r>
          </a:p>
        </xdr:txBody>
      </xdr:sp>
      <xdr:sp macro="" textlink="">
        <xdr:nvSpPr>
          <xdr:cNvPr id="537" name="TextBox 536">
            <a:extLst>
              <a:ext uri="{FF2B5EF4-FFF2-40B4-BE49-F238E27FC236}">
                <a16:creationId xmlns:a16="http://schemas.microsoft.com/office/drawing/2014/main" xmlns="" id="{00000000-0008-0000-0400-00001902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12</xdr:col>
      <xdr:colOff>300404</xdr:colOff>
      <xdr:row>41</xdr:row>
      <xdr:rowOff>43962</xdr:rowOff>
    </xdr:from>
    <xdr:to>
      <xdr:col>41</xdr:col>
      <xdr:colOff>381000</xdr:colOff>
      <xdr:row>41</xdr:row>
      <xdr:rowOff>51400</xdr:rowOff>
    </xdr:to>
    <xdr:cxnSp macro="">
      <xdr:nvCxnSpPr>
        <xdr:cNvPr id="538" name="Straight Arrow Connector 537">
          <a:extLst>
            <a:ext uri="{FF2B5EF4-FFF2-40B4-BE49-F238E27FC236}">
              <a16:creationId xmlns:a16="http://schemas.microsoft.com/office/drawing/2014/main" xmlns="" id="{00000000-0008-0000-0400-00001A020000}"/>
            </a:ext>
          </a:extLst>
        </xdr:cNvPr>
        <xdr:cNvCxnSpPr>
          <a:endCxn id="537" idx="1"/>
        </xdr:cNvCxnSpPr>
      </xdr:nvCxnSpPr>
      <xdr:spPr>
        <a:xfrm>
          <a:off x="7598019" y="8316058"/>
          <a:ext cx="17716500" cy="7438"/>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373673</xdr:colOff>
      <xdr:row>44</xdr:row>
      <xdr:rowOff>183173</xdr:rowOff>
    </xdr:from>
    <xdr:to>
      <xdr:col>35</xdr:col>
      <xdr:colOff>174862</xdr:colOff>
      <xdr:row>48</xdr:row>
      <xdr:rowOff>173554</xdr:rowOff>
    </xdr:to>
    <xdr:sp macro="" textlink="">
      <xdr:nvSpPr>
        <xdr:cNvPr id="543" name="Rectangle 542">
          <a:extLst>
            <a:ext uri="{FF2B5EF4-FFF2-40B4-BE49-F238E27FC236}">
              <a16:creationId xmlns:a16="http://schemas.microsoft.com/office/drawing/2014/main" xmlns="" id="{00000000-0008-0000-0400-00001F020000}"/>
            </a:ext>
          </a:extLst>
        </xdr:cNvPr>
        <xdr:cNvSpPr/>
      </xdr:nvSpPr>
      <xdr:spPr>
        <a:xfrm>
          <a:off x="20442115" y="9078058"/>
          <a:ext cx="1017459" cy="789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PORTA Clock</a:t>
          </a:r>
          <a:r>
            <a:rPr lang="en-US" sz="1100" baseline="0"/>
            <a:t> Enable</a:t>
          </a:r>
        </a:p>
        <a:p>
          <a:pPr algn="ctr"/>
          <a:r>
            <a:rPr lang="en-US" sz="900"/>
            <a:t>PCC_PORTA[CGC]</a:t>
          </a:r>
        </a:p>
      </xdr:txBody>
    </xdr:sp>
    <xdr:clientData/>
  </xdr:twoCellAnchor>
  <xdr:oneCellAnchor>
    <xdr:from>
      <xdr:col>33</xdr:col>
      <xdr:colOff>556846</xdr:colOff>
      <xdr:row>49</xdr:row>
      <xdr:rowOff>190500</xdr:rowOff>
    </xdr:from>
    <xdr:ext cx="860534" cy="367862"/>
    <xdr:sp macro="" textlink="">
      <xdr:nvSpPr>
        <xdr:cNvPr id="544" name="TextBox 543">
          <a:extLst>
            <a:ext uri="{FF2B5EF4-FFF2-40B4-BE49-F238E27FC236}">
              <a16:creationId xmlns:a16="http://schemas.microsoft.com/office/drawing/2014/main" xmlns="" id="{00000000-0008-0000-0400-000020020000}"/>
            </a:ext>
          </a:extLst>
        </xdr:cNvPr>
        <xdr:cNvSpPr txBox="1"/>
      </xdr:nvSpPr>
      <xdr:spPr>
        <a:xfrm>
          <a:off x="20625288" y="10081846"/>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315058</xdr:colOff>
      <xdr:row>47</xdr:row>
      <xdr:rowOff>8463</xdr:rowOff>
    </xdr:from>
    <xdr:to>
      <xdr:col>33</xdr:col>
      <xdr:colOff>359020</xdr:colOff>
      <xdr:row>47</xdr:row>
      <xdr:rowOff>8463</xdr:rowOff>
    </xdr:to>
    <xdr:cxnSp macro="">
      <xdr:nvCxnSpPr>
        <xdr:cNvPr id="545" name="Straight Arrow Connector 544">
          <a:extLst>
            <a:ext uri="{FF2B5EF4-FFF2-40B4-BE49-F238E27FC236}">
              <a16:creationId xmlns:a16="http://schemas.microsoft.com/office/drawing/2014/main" xmlns="" id="{00000000-0008-0000-0400-000021020000}"/>
            </a:ext>
          </a:extLst>
        </xdr:cNvPr>
        <xdr:cNvCxnSpPr/>
      </xdr:nvCxnSpPr>
      <xdr:spPr>
        <a:xfrm>
          <a:off x="6396404" y="9504155"/>
          <a:ext cx="14031058"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190500</xdr:colOff>
      <xdr:row>47</xdr:row>
      <xdr:rowOff>33764</xdr:rowOff>
    </xdr:from>
    <xdr:to>
      <xdr:col>41</xdr:col>
      <xdr:colOff>366346</xdr:colOff>
      <xdr:row>47</xdr:row>
      <xdr:rowOff>33764</xdr:rowOff>
    </xdr:to>
    <xdr:cxnSp macro="">
      <xdr:nvCxnSpPr>
        <xdr:cNvPr id="546" name="Straight Arrow Connector 545">
          <a:extLst>
            <a:ext uri="{FF2B5EF4-FFF2-40B4-BE49-F238E27FC236}">
              <a16:creationId xmlns:a16="http://schemas.microsoft.com/office/drawing/2014/main" xmlns="" id="{00000000-0008-0000-0400-000022020000}"/>
            </a:ext>
          </a:extLst>
        </xdr:cNvPr>
        <xdr:cNvCxnSpPr/>
      </xdr:nvCxnSpPr>
      <xdr:spPr>
        <a:xfrm>
          <a:off x="21475212" y="9551437"/>
          <a:ext cx="382465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388321</xdr:colOff>
      <xdr:row>49</xdr:row>
      <xdr:rowOff>43962</xdr:rowOff>
    </xdr:from>
    <xdr:to>
      <xdr:col>39</xdr:col>
      <xdr:colOff>189511</xdr:colOff>
      <xdr:row>52</xdr:row>
      <xdr:rowOff>195535</xdr:rowOff>
    </xdr:to>
    <xdr:sp macro="" textlink="">
      <xdr:nvSpPr>
        <xdr:cNvPr id="550" name="Rectangle 549">
          <a:extLst>
            <a:ext uri="{FF2B5EF4-FFF2-40B4-BE49-F238E27FC236}">
              <a16:creationId xmlns:a16="http://schemas.microsoft.com/office/drawing/2014/main" xmlns="" id="{00000000-0008-0000-0400-000026020000}"/>
            </a:ext>
          </a:extLst>
        </xdr:cNvPr>
        <xdr:cNvSpPr/>
      </xdr:nvSpPr>
      <xdr:spPr>
        <a:xfrm>
          <a:off x="22889302" y="9935308"/>
          <a:ext cx="1017459" cy="789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PORTA Filter Clock Select</a:t>
          </a:r>
          <a:endParaRPr lang="en-US" sz="1100" baseline="0"/>
        </a:p>
        <a:p>
          <a:pPr algn="ctr"/>
          <a:r>
            <a:rPr lang="en-US" sz="900"/>
            <a:t>PORTA_DFCR[CS]</a:t>
          </a:r>
        </a:p>
      </xdr:txBody>
    </xdr:sp>
    <xdr:clientData/>
  </xdr:twoCellAnchor>
  <xdr:twoCellAnchor>
    <xdr:from>
      <xdr:col>41</xdr:col>
      <xdr:colOff>366346</xdr:colOff>
      <xdr:row>46</xdr:row>
      <xdr:rowOff>95250</xdr:rowOff>
    </xdr:from>
    <xdr:to>
      <xdr:col>43</xdr:col>
      <xdr:colOff>189443</xdr:colOff>
      <xdr:row>50</xdr:row>
      <xdr:rowOff>174114</xdr:rowOff>
    </xdr:to>
    <xdr:grpSp>
      <xdr:nvGrpSpPr>
        <xdr:cNvPr id="552" name="Group 551">
          <a:extLst>
            <a:ext uri="{FF2B5EF4-FFF2-40B4-BE49-F238E27FC236}">
              <a16:creationId xmlns:a16="http://schemas.microsoft.com/office/drawing/2014/main" xmlns="" id="{00000000-0008-0000-0400-000028020000}"/>
            </a:ext>
          </a:extLst>
        </xdr:cNvPr>
        <xdr:cNvGrpSpPr/>
      </xdr:nvGrpSpPr>
      <xdr:grpSpPr>
        <a:xfrm>
          <a:off x="26462605" y="8817909"/>
          <a:ext cx="1096085" cy="849829"/>
          <a:chOff x="25299865" y="9378462"/>
          <a:chExt cx="1039366" cy="899479"/>
        </a:xfrm>
      </xdr:grpSpPr>
      <xdr:grpSp>
        <xdr:nvGrpSpPr>
          <xdr:cNvPr id="540" name="Group 539">
            <a:extLst>
              <a:ext uri="{FF2B5EF4-FFF2-40B4-BE49-F238E27FC236}">
                <a16:creationId xmlns:a16="http://schemas.microsoft.com/office/drawing/2014/main" xmlns="" id="{00000000-0008-0000-0400-00001C020000}"/>
              </a:ext>
            </a:extLst>
          </xdr:cNvPr>
          <xdr:cNvGrpSpPr/>
        </xdr:nvGrpSpPr>
        <xdr:grpSpPr>
          <a:xfrm>
            <a:off x="25299865" y="9378462"/>
            <a:ext cx="1039366" cy="899479"/>
            <a:chOff x="588526" y="190500"/>
            <a:chExt cx="1036410" cy="734695"/>
          </a:xfrm>
        </xdr:grpSpPr>
        <xdr:sp macro="" textlink="">
          <xdr:nvSpPr>
            <xdr:cNvPr id="541" name="Rectangle 540">
              <a:extLst>
                <a:ext uri="{FF2B5EF4-FFF2-40B4-BE49-F238E27FC236}">
                  <a16:creationId xmlns:a16="http://schemas.microsoft.com/office/drawing/2014/main" xmlns="" id="{00000000-0008-0000-0400-00001D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PORTA</a:t>
              </a:r>
            </a:p>
          </xdr:txBody>
        </xdr:sp>
        <xdr:sp macro="" textlink="">
          <xdr:nvSpPr>
            <xdr:cNvPr id="542" name="TextBox 541">
              <a:extLst>
                <a:ext uri="{FF2B5EF4-FFF2-40B4-BE49-F238E27FC236}">
                  <a16:creationId xmlns:a16="http://schemas.microsoft.com/office/drawing/2014/main" xmlns="" id="{00000000-0008-0000-0400-00001E02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551" name="TextBox 550">
            <a:extLst>
              <a:ext uri="{FF2B5EF4-FFF2-40B4-BE49-F238E27FC236}">
                <a16:creationId xmlns:a16="http://schemas.microsoft.com/office/drawing/2014/main" xmlns="" id="{00000000-0008-0000-0400-000027020000}"/>
              </a:ext>
            </a:extLst>
          </xdr:cNvPr>
          <xdr:cNvSpPr txBox="1"/>
        </xdr:nvSpPr>
        <xdr:spPr>
          <a:xfrm>
            <a:off x="25307192" y="10030558"/>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Filter Clock</a:t>
            </a:r>
          </a:p>
        </xdr:txBody>
      </xdr:sp>
    </xdr:grpSp>
    <xdr:clientData/>
  </xdr:twoCellAnchor>
  <xdr:oneCellAnchor>
    <xdr:from>
      <xdr:col>37</xdr:col>
      <xdr:colOff>564167</xdr:colOff>
      <xdr:row>54</xdr:row>
      <xdr:rowOff>0</xdr:rowOff>
    </xdr:from>
    <xdr:ext cx="1025770" cy="367862"/>
    <xdr:sp macro="" textlink="">
      <xdr:nvSpPr>
        <xdr:cNvPr id="553" name="TextBox 552">
          <a:extLst>
            <a:ext uri="{FF2B5EF4-FFF2-40B4-BE49-F238E27FC236}">
              <a16:creationId xmlns:a16="http://schemas.microsoft.com/office/drawing/2014/main" xmlns="" id="{00000000-0008-0000-0400-000029020000}"/>
            </a:ext>
          </a:extLst>
        </xdr:cNvPr>
        <xdr:cNvSpPr txBox="1"/>
      </xdr:nvSpPr>
      <xdr:spPr>
        <a:xfrm>
          <a:off x="23065148" y="10953750"/>
          <a:ext cx="1025770"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BUS_CLK</a:t>
          </a:r>
        </a:p>
        <a:p>
          <a:r>
            <a:rPr lang="en-US" sz="800"/>
            <a:t>1 - LPO128K_CLK</a:t>
          </a:r>
        </a:p>
      </xdr:txBody>
    </xdr:sp>
    <xdr:clientData/>
  </xdr:oneCellAnchor>
  <xdr:twoCellAnchor>
    <xdr:from>
      <xdr:col>39</xdr:col>
      <xdr:colOff>212481</xdr:colOff>
      <xdr:row>50</xdr:row>
      <xdr:rowOff>37514</xdr:rowOff>
    </xdr:from>
    <xdr:to>
      <xdr:col>41</xdr:col>
      <xdr:colOff>373673</xdr:colOff>
      <xdr:row>50</xdr:row>
      <xdr:rowOff>37514</xdr:rowOff>
    </xdr:to>
    <xdr:cxnSp macro="">
      <xdr:nvCxnSpPr>
        <xdr:cNvPr id="554" name="Straight Arrow Connector 553">
          <a:extLst>
            <a:ext uri="{FF2B5EF4-FFF2-40B4-BE49-F238E27FC236}">
              <a16:creationId xmlns:a16="http://schemas.microsoft.com/office/drawing/2014/main" xmlns="" id="{00000000-0008-0000-0400-00002A020000}"/>
            </a:ext>
          </a:extLst>
        </xdr:cNvPr>
        <xdr:cNvCxnSpPr>
          <a:endCxn id="551" idx="1"/>
        </xdr:cNvCxnSpPr>
      </xdr:nvCxnSpPr>
      <xdr:spPr>
        <a:xfrm>
          <a:off x="23929731" y="10141341"/>
          <a:ext cx="1377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95250</xdr:colOff>
      <xdr:row>50</xdr:row>
      <xdr:rowOff>21394</xdr:rowOff>
    </xdr:from>
    <xdr:to>
      <xdr:col>37</xdr:col>
      <xdr:colOff>379534</xdr:colOff>
      <xdr:row>50</xdr:row>
      <xdr:rowOff>21394</xdr:rowOff>
    </xdr:to>
    <xdr:cxnSp macro="">
      <xdr:nvCxnSpPr>
        <xdr:cNvPr id="562" name="Straight Arrow Connector 561">
          <a:extLst>
            <a:ext uri="{FF2B5EF4-FFF2-40B4-BE49-F238E27FC236}">
              <a16:creationId xmlns:a16="http://schemas.microsoft.com/office/drawing/2014/main" xmlns="" id="{00000000-0008-0000-0400-000032020000}"/>
            </a:ext>
          </a:extLst>
        </xdr:cNvPr>
        <xdr:cNvCxnSpPr/>
      </xdr:nvCxnSpPr>
      <xdr:spPr>
        <a:xfrm>
          <a:off x="21988096" y="10125221"/>
          <a:ext cx="89241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95250</xdr:colOff>
      <xdr:row>47</xdr:row>
      <xdr:rowOff>43962</xdr:rowOff>
    </xdr:from>
    <xdr:to>
      <xdr:col>36</xdr:col>
      <xdr:colOff>95250</xdr:colOff>
      <xdr:row>50</xdr:row>
      <xdr:rowOff>21981</xdr:rowOff>
    </xdr:to>
    <xdr:cxnSp macro="">
      <xdr:nvCxnSpPr>
        <xdr:cNvPr id="564" name="Straight Arrow Connector 563">
          <a:extLst>
            <a:ext uri="{FF2B5EF4-FFF2-40B4-BE49-F238E27FC236}">
              <a16:creationId xmlns:a16="http://schemas.microsoft.com/office/drawing/2014/main" xmlns="" id="{00000000-0008-0000-0400-000034020000}"/>
            </a:ext>
          </a:extLst>
        </xdr:cNvPr>
        <xdr:cNvCxnSpPr/>
      </xdr:nvCxnSpPr>
      <xdr:spPr>
        <a:xfrm flipV="1">
          <a:off x="21988096" y="9539654"/>
          <a:ext cx="0" cy="58615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7327</xdr:colOff>
      <xdr:row>52</xdr:row>
      <xdr:rowOff>80597</xdr:rowOff>
    </xdr:from>
    <xdr:to>
      <xdr:col>37</xdr:col>
      <xdr:colOff>367940</xdr:colOff>
      <xdr:row>52</xdr:row>
      <xdr:rowOff>80597</xdr:rowOff>
    </xdr:to>
    <xdr:cxnSp macro="">
      <xdr:nvCxnSpPr>
        <xdr:cNvPr id="567" name="Straight Arrow Connector 566">
          <a:extLst>
            <a:ext uri="{FF2B5EF4-FFF2-40B4-BE49-F238E27FC236}">
              <a16:creationId xmlns:a16="http://schemas.microsoft.com/office/drawing/2014/main" xmlns="" id="{00000000-0008-0000-0400-000037020000}"/>
            </a:ext>
          </a:extLst>
        </xdr:cNvPr>
        <xdr:cNvCxnSpPr/>
      </xdr:nvCxnSpPr>
      <xdr:spPr>
        <a:xfrm>
          <a:off x="19467635" y="10609385"/>
          <a:ext cx="340128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329710</xdr:colOff>
      <xdr:row>51</xdr:row>
      <xdr:rowOff>183172</xdr:rowOff>
    </xdr:from>
    <xdr:ext cx="952501" cy="257176"/>
    <xdr:sp macro="" textlink="">
      <xdr:nvSpPr>
        <xdr:cNvPr id="569" name="TextBox 568">
          <a:hlinkClick xmlns:r="http://schemas.openxmlformats.org/officeDocument/2006/relationships" r:id="rId11"/>
          <a:extLst>
            <a:ext uri="{FF2B5EF4-FFF2-40B4-BE49-F238E27FC236}">
              <a16:creationId xmlns:a16="http://schemas.microsoft.com/office/drawing/2014/main" xmlns="" id="{00000000-0008-0000-0400-000039020000}"/>
            </a:ext>
          </a:extLst>
        </xdr:cNvPr>
        <xdr:cNvSpPr txBox="1"/>
      </xdr:nvSpPr>
      <xdr:spPr>
        <a:xfrm>
          <a:off x="17965614" y="10499480"/>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LPO128K_CLK</a:t>
          </a:r>
        </a:p>
      </xdr:txBody>
    </xdr:sp>
    <xdr:clientData/>
  </xdr:oneCellAnchor>
  <xdr:twoCellAnchor>
    <xdr:from>
      <xdr:col>41</xdr:col>
      <xdr:colOff>366346</xdr:colOff>
      <xdr:row>56</xdr:row>
      <xdr:rowOff>65942</xdr:rowOff>
    </xdr:from>
    <xdr:to>
      <xdr:col>43</xdr:col>
      <xdr:colOff>189443</xdr:colOff>
      <xdr:row>60</xdr:row>
      <xdr:rowOff>174114</xdr:rowOff>
    </xdr:to>
    <xdr:grpSp>
      <xdr:nvGrpSpPr>
        <xdr:cNvPr id="576" name="Group 575">
          <a:hlinkClick xmlns:r="http://schemas.openxmlformats.org/officeDocument/2006/relationships" r:id="rId12"/>
          <a:extLst>
            <a:ext uri="{FF2B5EF4-FFF2-40B4-BE49-F238E27FC236}">
              <a16:creationId xmlns:a16="http://schemas.microsoft.com/office/drawing/2014/main" xmlns="" id="{00000000-0008-0000-0400-000040020000}"/>
            </a:ext>
          </a:extLst>
        </xdr:cNvPr>
        <xdr:cNvGrpSpPr/>
      </xdr:nvGrpSpPr>
      <xdr:grpSpPr>
        <a:xfrm>
          <a:off x="26462605" y="10742907"/>
          <a:ext cx="1096085" cy="879136"/>
          <a:chOff x="25299865" y="11444654"/>
          <a:chExt cx="1039366" cy="899479"/>
        </a:xfrm>
      </xdr:grpSpPr>
      <xdr:grpSp>
        <xdr:nvGrpSpPr>
          <xdr:cNvPr id="570" name="Group 569">
            <a:extLst>
              <a:ext uri="{FF2B5EF4-FFF2-40B4-BE49-F238E27FC236}">
                <a16:creationId xmlns:a16="http://schemas.microsoft.com/office/drawing/2014/main" xmlns="" id="{00000000-0008-0000-0400-00003A020000}"/>
              </a:ext>
            </a:extLst>
          </xdr:cNvPr>
          <xdr:cNvGrpSpPr/>
        </xdr:nvGrpSpPr>
        <xdr:grpSpPr>
          <a:xfrm>
            <a:off x="25299865" y="11444654"/>
            <a:ext cx="1039366" cy="899479"/>
            <a:chOff x="25299865" y="9378462"/>
            <a:chExt cx="1039366" cy="899479"/>
          </a:xfrm>
        </xdr:grpSpPr>
        <xdr:grpSp>
          <xdr:nvGrpSpPr>
            <xdr:cNvPr id="571" name="Group 570">
              <a:extLst>
                <a:ext uri="{FF2B5EF4-FFF2-40B4-BE49-F238E27FC236}">
                  <a16:creationId xmlns:a16="http://schemas.microsoft.com/office/drawing/2014/main" xmlns="" id="{00000000-0008-0000-0400-00003B020000}"/>
                </a:ext>
              </a:extLst>
            </xdr:cNvPr>
            <xdr:cNvGrpSpPr/>
          </xdr:nvGrpSpPr>
          <xdr:grpSpPr>
            <a:xfrm>
              <a:off x="25299865" y="9378462"/>
              <a:ext cx="1039366" cy="899479"/>
              <a:chOff x="588526" y="190500"/>
              <a:chExt cx="1036410" cy="734695"/>
            </a:xfrm>
          </xdr:grpSpPr>
          <xdr:sp macro="" textlink="">
            <xdr:nvSpPr>
              <xdr:cNvPr id="573" name="Rectangle 572">
                <a:extLst>
                  <a:ext uri="{FF2B5EF4-FFF2-40B4-BE49-F238E27FC236}">
                    <a16:creationId xmlns:a16="http://schemas.microsoft.com/office/drawing/2014/main" xmlns="" id="{00000000-0008-0000-0400-00003D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FlexCAN0</a:t>
                </a:r>
              </a:p>
              <a:p>
                <a:pPr algn="ctr"/>
                <a:r>
                  <a:rPr lang="en-US" sz="900"/>
                  <a:t>Click</a:t>
                </a:r>
                <a:r>
                  <a:rPr lang="en-US" sz="900" baseline="0"/>
                  <a:t> me for more info</a:t>
                </a:r>
                <a:endParaRPr lang="en-US" sz="900"/>
              </a:p>
            </xdr:txBody>
          </xdr:sp>
          <xdr:sp macro="" textlink="">
            <xdr:nvSpPr>
              <xdr:cNvPr id="574" name="TextBox 573">
                <a:extLst>
                  <a:ext uri="{FF2B5EF4-FFF2-40B4-BE49-F238E27FC236}">
                    <a16:creationId xmlns:a16="http://schemas.microsoft.com/office/drawing/2014/main" xmlns="" id="{00000000-0008-0000-0400-00003E02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572" name="TextBox 571">
              <a:extLst>
                <a:ext uri="{FF2B5EF4-FFF2-40B4-BE49-F238E27FC236}">
                  <a16:creationId xmlns:a16="http://schemas.microsoft.com/office/drawing/2014/main" xmlns="" id="{00000000-0008-0000-0400-00003C020000}"/>
                </a:ext>
              </a:extLst>
            </xdr:cNvPr>
            <xdr:cNvSpPr txBox="1"/>
          </xdr:nvSpPr>
          <xdr:spPr>
            <a:xfrm>
              <a:off x="25307192" y="10052539"/>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Protocol Clock</a:t>
              </a:r>
            </a:p>
          </xdr:txBody>
        </xdr:sp>
      </xdr:grpSp>
      <xdr:sp macro="" textlink="">
        <xdr:nvSpPr>
          <xdr:cNvPr id="575" name="TextBox 574">
            <a:extLst>
              <a:ext uri="{FF2B5EF4-FFF2-40B4-BE49-F238E27FC236}">
                <a16:creationId xmlns:a16="http://schemas.microsoft.com/office/drawing/2014/main" xmlns="" id="{00000000-0008-0000-0400-00003F020000}"/>
              </a:ext>
            </a:extLst>
          </xdr:cNvPr>
          <xdr:cNvSpPr txBox="1"/>
        </xdr:nvSpPr>
        <xdr:spPr>
          <a:xfrm>
            <a:off x="25299865" y="11994173"/>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CHI Clock</a:t>
            </a:r>
          </a:p>
        </xdr:txBody>
      </xdr:sp>
    </xdr:grpSp>
    <xdr:clientData/>
  </xdr:twoCellAnchor>
  <xdr:twoCellAnchor>
    <xdr:from>
      <xdr:col>12</xdr:col>
      <xdr:colOff>298173</xdr:colOff>
      <xdr:row>56</xdr:row>
      <xdr:rowOff>198641</xdr:rowOff>
    </xdr:from>
    <xdr:to>
      <xdr:col>33</xdr:col>
      <xdr:colOff>397566</xdr:colOff>
      <xdr:row>56</xdr:row>
      <xdr:rowOff>198641</xdr:rowOff>
    </xdr:to>
    <xdr:cxnSp macro="">
      <xdr:nvCxnSpPr>
        <xdr:cNvPr id="167" name="Straight Arrow Connector 166">
          <a:extLst>
            <a:ext uri="{FF2B5EF4-FFF2-40B4-BE49-F238E27FC236}">
              <a16:creationId xmlns:a16="http://schemas.microsoft.com/office/drawing/2014/main" xmlns="" id="{00000000-0008-0000-0400-0000A7000000}"/>
            </a:ext>
          </a:extLst>
        </xdr:cNvPr>
        <xdr:cNvCxnSpPr/>
      </xdr:nvCxnSpPr>
      <xdr:spPr>
        <a:xfrm>
          <a:off x="7653130" y="11438141"/>
          <a:ext cx="12970566"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405848</xdr:colOff>
      <xdr:row>54</xdr:row>
      <xdr:rowOff>207064</xdr:rowOff>
    </xdr:from>
    <xdr:to>
      <xdr:col>35</xdr:col>
      <xdr:colOff>207037</xdr:colOff>
      <xdr:row>58</xdr:row>
      <xdr:rowOff>172598</xdr:rowOff>
    </xdr:to>
    <xdr:sp macro="" textlink="">
      <xdr:nvSpPr>
        <xdr:cNvPr id="172" name="Rectangle 171">
          <a:extLst>
            <a:ext uri="{FF2B5EF4-FFF2-40B4-BE49-F238E27FC236}">
              <a16:creationId xmlns:a16="http://schemas.microsoft.com/office/drawing/2014/main" xmlns="" id="{00000000-0008-0000-0400-0000AC000000}"/>
            </a:ext>
          </a:extLst>
        </xdr:cNvPr>
        <xdr:cNvSpPr/>
      </xdr:nvSpPr>
      <xdr:spPr>
        <a:xfrm>
          <a:off x="20631978" y="11032434"/>
          <a:ext cx="1027016" cy="7855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FlexCAN0 Clock</a:t>
          </a:r>
          <a:r>
            <a:rPr lang="en-US" sz="1100" baseline="0"/>
            <a:t> Enable</a:t>
          </a:r>
        </a:p>
        <a:p>
          <a:pPr algn="ctr"/>
          <a:r>
            <a:rPr lang="en-US" sz="900"/>
            <a:t>PCC_FlexCAN0[CGC]</a:t>
          </a:r>
        </a:p>
      </xdr:txBody>
    </xdr:sp>
    <xdr:clientData/>
  </xdr:twoCellAnchor>
  <xdr:twoCellAnchor>
    <xdr:from>
      <xdr:col>35</xdr:col>
      <xdr:colOff>215347</xdr:colOff>
      <xdr:row>56</xdr:row>
      <xdr:rowOff>195201</xdr:rowOff>
    </xdr:from>
    <xdr:to>
      <xdr:col>41</xdr:col>
      <xdr:colOff>366346</xdr:colOff>
      <xdr:row>56</xdr:row>
      <xdr:rowOff>202325</xdr:rowOff>
    </xdr:to>
    <xdr:cxnSp macro="">
      <xdr:nvCxnSpPr>
        <xdr:cNvPr id="175" name="Straight Arrow Connector 174">
          <a:extLst>
            <a:ext uri="{FF2B5EF4-FFF2-40B4-BE49-F238E27FC236}">
              <a16:creationId xmlns:a16="http://schemas.microsoft.com/office/drawing/2014/main" xmlns="" id="{00000000-0008-0000-0400-0000AF000000}"/>
            </a:ext>
          </a:extLst>
        </xdr:cNvPr>
        <xdr:cNvCxnSpPr>
          <a:endCxn id="574" idx="1"/>
        </xdr:cNvCxnSpPr>
      </xdr:nvCxnSpPr>
      <xdr:spPr>
        <a:xfrm>
          <a:off x="21667304" y="11434701"/>
          <a:ext cx="3828477" cy="712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563218</xdr:colOff>
      <xdr:row>60</xdr:row>
      <xdr:rowOff>0</xdr:rowOff>
    </xdr:from>
    <xdr:ext cx="860534" cy="367862"/>
    <xdr:sp macro="" textlink="">
      <xdr:nvSpPr>
        <xdr:cNvPr id="180" name="TextBox 179">
          <a:extLst>
            <a:ext uri="{FF2B5EF4-FFF2-40B4-BE49-F238E27FC236}">
              <a16:creationId xmlns:a16="http://schemas.microsoft.com/office/drawing/2014/main" xmlns="" id="{00000000-0008-0000-0400-0000B4000000}"/>
            </a:ext>
          </a:extLst>
        </xdr:cNvPr>
        <xdr:cNvSpPr txBox="1"/>
      </xdr:nvSpPr>
      <xdr:spPr>
        <a:xfrm>
          <a:off x="20789348" y="12051196"/>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37</xdr:col>
      <xdr:colOff>356152</xdr:colOff>
      <xdr:row>59</xdr:row>
      <xdr:rowOff>140805</xdr:rowOff>
    </xdr:from>
    <xdr:to>
      <xdr:col>41</xdr:col>
      <xdr:colOff>364435</xdr:colOff>
      <xdr:row>59</xdr:row>
      <xdr:rowOff>140805</xdr:rowOff>
    </xdr:to>
    <xdr:cxnSp macro="">
      <xdr:nvCxnSpPr>
        <xdr:cNvPr id="181" name="Straight Arrow Connector 180">
          <a:extLst>
            <a:ext uri="{FF2B5EF4-FFF2-40B4-BE49-F238E27FC236}">
              <a16:creationId xmlns:a16="http://schemas.microsoft.com/office/drawing/2014/main" xmlns="" id="{00000000-0008-0000-0400-0000B5000000}"/>
            </a:ext>
          </a:extLst>
        </xdr:cNvPr>
        <xdr:cNvCxnSpPr/>
      </xdr:nvCxnSpPr>
      <xdr:spPr>
        <a:xfrm>
          <a:off x="23033935" y="11984935"/>
          <a:ext cx="2459935"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356151</xdr:colOff>
      <xdr:row>59</xdr:row>
      <xdr:rowOff>132521</xdr:rowOff>
    </xdr:from>
    <xdr:to>
      <xdr:col>37</xdr:col>
      <xdr:colOff>356151</xdr:colOff>
      <xdr:row>62</xdr:row>
      <xdr:rowOff>99391</xdr:rowOff>
    </xdr:to>
    <xdr:cxnSp macro="">
      <xdr:nvCxnSpPr>
        <xdr:cNvPr id="185" name="Straight Arrow Connector 184">
          <a:extLst>
            <a:ext uri="{FF2B5EF4-FFF2-40B4-BE49-F238E27FC236}">
              <a16:creationId xmlns:a16="http://schemas.microsoft.com/office/drawing/2014/main" xmlns="" id="{00000000-0008-0000-0400-0000B9000000}"/>
            </a:ext>
          </a:extLst>
        </xdr:cNvPr>
        <xdr:cNvCxnSpPr/>
      </xdr:nvCxnSpPr>
      <xdr:spPr>
        <a:xfrm flipV="1">
          <a:off x="23033934" y="11976651"/>
          <a:ext cx="0" cy="588066"/>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215348</xdr:colOff>
      <xdr:row>56</xdr:row>
      <xdr:rowOff>198785</xdr:rowOff>
    </xdr:from>
    <xdr:to>
      <xdr:col>32</xdr:col>
      <xdr:colOff>215348</xdr:colOff>
      <xdr:row>66</xdr:row>
      <xdr:rowOff>124239</xdr:rowOff>
    </xdr:to>
    <xdr:cxnSp macro="">
      <xdr:nvCxnSpPr>
        <xdr:cNvPr id="188" name="Straight Arrow Connector 187">
          <a:extLst>
            <a:ext uri="{FF2B5EF4-FFF2-40B4-BE49-F238E27FC236}">
              <a16:creationId xmlns:a16="http://schemas.microsoft.com/office/drawing/2014/main" xmlns="" id="{00000000-0008-0000-0400-0000BC000000}"/>
            </a:ext>
          </a:extLst>
        </xdr:cNvPr>
        <xdr:cNvCxnSpPr/>
      </xdr:nvCxnSpPr>
      <xdr:spPr>
        <a:xfrm flipV="1">
          <a:off x="19828565" y="11438285"/>
          <a:ext cx="0" cy="1921563"/>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207066</xdr:colOff>
      <xdr:row>62</xdr:row>
      <xdr:rowOff>91109</xdr:rowOff>
    </xdr:from>
    <xdr:to>
      <xdr:col>37</xdr:col>
      <xdr:colOff>356151</xdr:colOff>
      <xdr:row>62</xdr:row>
      <xdr:rowOff>91109</xdr:rowOff>
    </xdr:to>
    <xdr:cxnSp macro="">
      <xdr:nvCxnSpPr>
        <xdr:cNvPr id="190" name="Straight Arrow Connector 189">
          <a:extLst>
            <a:ext uri="{FF2B5EF4-FFF2-40B4-BE49-F238E27FC236}">
              <a16:creationId xmlns:a16="http://schemas.microsoft.com/office/drawing/2014/main" xmlns="" id="{00000000-0008-0000-0400-0000BE000000}"/>
            </a:ext>
          </a:extLst>
        </xdr:cNvPr>
        <xdr:cNvCxnSpPr/>
      </xdr:nvCxnSpPr>
      <xdr:spPr>
        <a:xfrm>
          <a:off x="19820283" y="12556435"/>
          <a:ext cx="3213651" cy="0"/>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223632</xdr:colOff>
      <xdr:row>66</xdr:row>
      <xdr:rowOff>107676</xdr:rowOff>
    </xdr:from>
    <xdr:to>
      <xdr:col>36</xdr:col>
      <xdr:colOff>356152</xdr:colOff>
      <xdr:row>66</xdr:row>
      <xdr:rowOff>107676</xdr:rowOff>
    </xdr:to>
    <xdr:cxnSp macro="">
      <xdr:nvCxnSpPr>
        <xdr:cNvPr id="194" name="Straight Arrow Connector 193">
          <a:extLst>
            <a:ext uri="{FF2B5EF4-FFF2-40B4-BE49-F238E27FC236}">
              <a16:creationId xmlns:a16="http://schemas.microsoft.com/office/drawing/2014/main" xmlns="" id="{00000000-0008-0000-0400-0000C2000000}"/>
            </a:ext>
          </a:extLst>
        </xdr:cNvPr>
        <xdr:cNvCxnSpPr/>
      </xdr:nvCxnSpPr>
      <xdr:spPr>
        <a:xfrm>
          <a:off x="19836849" y="13343285"/>
          <a:ext cx="258417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381000</xdr:colOff>
      <xdr:row>65</xdr:row>
      <xdr:rowOff>182217</xdr:rowOff>
    </xdr:from>
    <xdr:to>
      <xdr:col>38</xdr:col>
      <xdr:colOff>182190</xdr:colOff>
      <xdr:row>69</xdr:row>
      <xdr:rowOff>197447</xdr:rowOff>
    </xdr:to>
    <xdr:sp macro="" textlink="">
      <xdr:nvSpPr>
        <xdr:cNvPr id="195" name="Rectangle 194">
          <a:extLst>
            <a:ext uri="{FF2B5EF4-FFF2-40B4-BE49-F238E27FC236}">
              <a16:creationId xmlns:a16="http://schemas.microsoft.com/office/drawing/2014/main" xmlns="" id="{00000000-0008-0000-0400-0000C3000000}"/>
            </a:ext>
          </a:extLst>
        </xdr:cNvPr>
        <xdr:cNvSpPr/>
      </xdr:nvSpPr>
      <xdr:spPr>
        <a:xfrm>
          <a:off x="22445870" y="13227326"/>
          <a:ext cx="1027016" cy="7855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PE Clock Select</a:t>
          </a:r>
          <a:endParaRPr lang="en-US" sz="1100" baseline="0"/>
        </a:p>
        <a:p>
          <a:pPr algn="ctr"/>
          <a:r>
            <a:rPr lang="en-US" sz="900"/>
            <a:t>CAN0_CTRL1[CLKSRC]</a:t>
          </a:r>
        </a:p>
      </xdr:txBody>
    </xdr:sp>
    <xdr:clientData/>
  </xdr:twoCellAnchor>
  <xdr:oneCellAnchor>
    <xdr:from>
      <xdr:col>36</xdr:col>
      <xdr:colOff>554934</xdr:colOff>
      <xdr:row>70</xdr:row>
      <xdr:rowOff>190500</xdr:rowOff>
    </xdr:from>
    <xdr:ext cx="1126435" cy="367862"/>
    <xdr:sp macro="" textlink="">
      <xdr:nvSpPr>
        <xdr:cNvPr id="198" name="TextBox 197">
          <a:extLst>
            <a:ext uri="{FF2B5EF4-FFF2-40B4-BE49-F238E27FC236}">
              <a16:creationId xmlns:a16="http://schemas.microsoft.com/office/drawing/2014/main" xmlns="" id="{00000000-0008-0000-0400-0000C6000000}"/>
            </a:ext>
          </a:extLst>
        </xdr:cNvPr>
        <xdr:cNvSpPr txBox="1"/>
      </xdr:nvSpPr>
      <xdr:spPr>
        <a:xfrm>
          <a:off x="22619804" y="14212957"/>
          <a:ext cx="1126435"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SOSCDIV2_CLK</a:t>
          </a:r>
        </a:p>
        <a:p>
          <a:r>
            <a:rPr lang="en-US" sz="800"/>
            <a:t>1 - SYS_CLK</a:t>
          </a:r>
        </a:p>
      </xdr:txBody>
    </xdr:sp>
    <xdr:clientData/>
  </xdr:oneCellAnchor>
  <xdr:twoCellAnchor>
    <xdr:from>
      <xdr:col>28</xdr:col>
      <xdr:colOff>298174</xdr:colOff>
      <xdr:row>68</xdr:row>
      <xdr:rowOff>190500</xdr:rowOff>
    </xdr:from>
    <xdr:to>
      <xdr:col>36</xdr:col>
      <xdr:colOff>356152</xdr:colOff>
      <xdr:row>68</xdr:row>
      <xdr:rowOff>190500</xdr:rowOff>
    </xdr:to>
    <xdr:cxnSp macro="">
      <xdr:nvCxnSpPr>
        <xdr:cNvPr id="199" name="Straight Arrow Connector 198">
          <a:extLst>
            <a:ext uri="{FF2B5EF4-FFF2-40B4-BE49-F238E27FC236}">
              <a16:creationId xmlns:a16="http://schemas.microsoft.com/office/drawing/2014/main" xmlns="" id="{00000000-0008-0000-0400-0000C7000000}"/>
            </a:ext>
          </a:extLst>
        </xdr:cNvPr>
        <xdr:cNvCxnSpPr/>
      </xdr:nvCxnSpPr>
      <xdr:spPr>
        <a:xfrm>
          <a:off x="17459739" y="13807109"/>
          <a:ext cx="4961283"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16566</xdr:colOff>
      <xdr:row>60</xdr:row>
      <xdr:rowOff>74543</xdr:rowOff>
    </xdr:from>
    <xdr:to>
      <xdr:col>40</xdr:col>
      <xdr:colOff>16566</xdr:colOff>
      <xdr:row>69</xdr:row>
      <xdr:rowOff>2868</xdr:rowOff>
    </xdr:to>
    <xdr:cxnSp macro="">
      <xdr:nvCxnSpPr>
        <xdr:cNvPr id="202" name="Straight Arrow Connector 201">
          <a:extLst>
            <a:ext uri="{FF2B5EF4-FFF2-40B4-BE49-F238E27FC236}">
              <a16:creationId xmlns:a16="http://schemas.microsoft.com/office/drawing/2014/main" xmlns="" id="{00000000-0008-0000-0400-0000CA000000}"/>
            </a:ext>
          </a:extLst>
        </xdr:cNvPr>
        <xdr:cNvCxnSpPr/>
      </xdr:nvCxnSpPr>
      <xdr:spPr>
        <a:xfrm flipV="1">
          <a:off x="24533088" y="12125739"/>
          <a:ext cx="0" cy="169252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16566</xdr:colOff>
      <xdr:row>60</xdr:row>
      <xdr:rowOff>82827</xdr:rowOff>
    </xdr:from>
    <xdr:to>
      <xdr:col>41</xdr:col>
      <xdr:colOff>381000</xdr:colOff>
      <xdr:row>60</xdr:row>
      <xdr:rowOff>82827</xdr:rowOff>
    </xdr:to>
    <xdr:cxnSp macro="">
      <xdr:nvCxnSpPr>
        <xdr:cNvPr id="204" name="Straight Arrow Connector 203">
          <a:extLst>
            <a:ext uri="{FF2B5EF4-FFF2-40B4-BE49-F238E27FC236}">
              <a16:creationId xmlns:a16="http://schemas.microsoft.com/office/drawing/2014/main" xmlns="" id="{00000000-0008-0000-0400-0000CC000000}"/>
            </a:ext>
          </a:extLst>
        </xdr:cNvPr>
        <xdr:cNvCxnSpPr/>
      </xdr:nvCxnSpPr>
      <xdr:spPr>
        <a:xfrm>
          <a:off x="24533088" y="12134023"/>
          <a:ext cx="9773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182217</xdr:colOff>
      <xdr:row>69</xdr:row>
      <xdr:rowOff>8283</xdr:rowOff>
    </xdr:from>
    <xdr:to>
      <xdr:col>40</xdr:col>
      <xdr:colOff>24848</xdr:colOff>
      <xdr:row>69</xdr:row>
      <xdr:rowOff>8283</xdr:rowOff>
    </xdr:to>
    <xdr:cxnSp macro="">
      <xdr:nvCxnSpPr>
        <xdr:cNvPr id="207" name="Straight Arrow Connector 206">
          <a:extLst>
            <a:ext uri="{FF2B5EF4-FFF2-40B4-BE49-F238E27FC236}">
              <a16:creationId xmlns:a16="http://schemas.microsoft.com/office/drawing/2014/main" xmlns="" id="{00000000-0008-0000-0400-0000CF000000}"/>
            </a:ext>
          </a:extLst>
        </xdr:cNvPr>
        <xdr:cNvCxnSpPr/>
      </xdr:nvCxnSpPr>
      <xdr:spPr>
        <a:xfrm>
          <a:off x="23472913" y="13823674"/>
          <a:ext cx="106845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389282</xdr:colOff>
      <xdr:row>73</xdr:row>
      <xdr:rowOff>57980</xdr:rowOff>
    </xdr:from>
    <xdr:to>
      <xdr:col>43</xdr:col>
      <xdr:colOff>212379</xdr:colOff>
      <xdr:row>77</xdr:row>
      <xdr:rowOff>191000</xdr:rowOff>
    </xdr:to>
    <xdr:grpSp>
      <xdr:nvGrpSpPr>
        <xdr:cNvPr id="212" name="Group 211">
          <a:extLst>
            <a:ext uri="{FF2B5EF4-FFF2-40B4-BE49-F238E27FC236}">
              <a16:creationId xmlns:a16="http://schemas.microsoft.com/office/drawing/2014/main" xmlns="" id="{00000000-0008-0000-0400-0000D4000000}"/>
            </a:ext>
          </a:extLst>
        </xdr:cNvPr>
        <xdr:cNvGrpSpPr/>
      </xdr:nvGrpSpPr>
      <xdr:grpSpPr>
        <a:xfrm>
          <a:off x="26485541" y="13980168"/>
          <a:ext cx="1096085" cy="903985"/>
          <a:chOff x="588526" y="190500"/>
          <a:chExt cx="1036410" cy="734695"/>
        </a:xfrm>
      </xdr:grpSpPr>
      <xdr:sp macro="" textlink="">
        <xdr:nvSpPr>
          <xdr:cNvPr id="216" name="Rectangle 215">
            <a:extLst>
              <a:ext uri="{FF2B5EF4-FFF2-40B4-BE49-F238E27FC236}">
                <a16:creationId xmlns:a16="http://schemas.microsoft.com/office/drawing/2014/main" xmlns="" id="{00000000-0008-0000-0400-0000D8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EIM</a:t>
            </a:r>
          </a:p>
        </xdr:txBody>
      </xdr:sp>
      <xdr:sp macro="" textlink="">
        <xdr:nvSpPr>
          <xdr:cNvPr id="217" name="TextBox 216">
            <a:extLst>
              <a:ext uri="{FF2B5EF4-FFF2-40B4-BE49-F238E27FC236}">
                <a16:creationId xmlns:a16="http://schemas.microsoft.com/office/drawing/2014/main" xmlns="" id="{00000000-0008-0000-0400-0000D900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12</xdr:col>
      <xdr:colOff>289891</xdr:colOff>
      <xdr:row>74</xdr:row>
      <xdr:rowOff>124237</xdr:rowOff>
    </xdr:from>
    <xdr:to>
      <xdr:col>33</xdr:col>
      <xdr:colOff>389284</xdr:colOff>
      <xdr:row>74</xdr:row>
      <xdr:rowOff>124237</xdr:rowOff>
    </xdr:to>
    <xdr:cxnSp macro="">
      <xdr:nvCxnSpPr>
        <xdr:cNvPr id="218" name="Straight Arrow Connector 217">
          <a:extLst>
            <a:ext uri="{FF2B5EF4-FFF2-40B4-BE49-F238E27FC236}">
              <a16:creationId xmlns:a16="http://schemas.microsoft.com/office/drawing/2014/main" xmlns="" id="{00000000-0008-0000-0400-0000DA000000}"/>
            </a:ext>
          </a:extLst>
        </xdr:cNvPr>
        <xdr:cNvCxnSpPr/>
      </xdr:nvCxnSpPr>
      <xdr:spPr>
        <a:xfrm>
          <a:off x="7644848" y="14966672"/>
          <a:ext cx="12970566"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405848</xdr:colOff>
      <xdr:row>72</xdr:row>
      <xdr:rowOff>157370</xdr:rowOff>
    </xdr:from>
    <xdr:to>
      <xdr:col>35</xdr:col>
      <xdr:colOff>207037</xdr:colOff>
      <xdr:row>76</xdr:row>
      <xdr:rowOff>180883</xdr:rowOff>
    </xdr:to>
    <xdr:sp macro="" textlink="">
      <xdr:nvSpPr>
        <xdr:cNvPr id="219" name="Rectangle 218">
          <a:extLst>
            <a:ext uri="{FF2B5EF4-FFF2-40B4-BE49-F238E27FC236}">
              <a16:creationId xmlns:a16="http://schemas.microsoft.com/office/drawing/2014/main" xmlns="" id="{00000000-0008-0000-0400-0000DB000000}"/>
            </a:ext>
          </a:extLst>
        </xdr:cNvPr>
        <xdr:cNvSpPr/>
      </xdr:nvSpPr>
      <xdr:spPr>
        <a:xfrm>
          <a:off x="20631978" y="14610522"/>
          <a:ext cx="1027016" cy="8020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EIM Clock Enable</a:t>
          </a:r>
          <a:endParaRPr lang="en-US" sz="1100" baseline="0"/>
        </a:p>
        <a:p>
          <a:pPr algn="ctr"/>
          <a:r>
            <a:rPr lang="en-US" sz="900"/>
            <a:t>SIM_PLATCGC[CGCEIM]</a:t>
          </a:r>
        </a:p>
      </xdr:txBody>
    </xdr:sp>
    <xdr:clientData/>
  </xdr:twoCellAnchor>
  <xdr:oneCellAnchor>
    <xdr:from>
      <xdr:col>33</xdr:col>
      <xdr:colOff>571500</xdr:colOff>
      <xdr:row>78</xdr:row>
      <xdr:rowOff>0</xdr:rowOff>
    </xdr:from>
    <xdr:ext cx="860534" cy="367862"/>
    <xdr:sp macro="" textlink="">
      <xdr:nvSpPr>
        <xdr:cNvPr id="220" name="TextBox 219">
          <a:extLst>
            <a:ext uri="{FF2B5EF4-FFF2-40B4-BE49-F238E27FC236}">
              <a16:creationId xmlns:a16="http://schemas.microsoft.com/office/drawing/2014/main" xmlns="" id="{00000000-0008-0000-0400-0000DC000000}"/>
            </a:ext>
          </a:extLst>
        </xdr:cNvPr>
        <xdr:cNvSpPr txBox="1"/>
      </xdr:nvSpPr>
      <xdr:spPr>
        <a:xfrm>
          <a:off x="20797630" y="15645848"/>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207065</xdr:colOff>
      <xdr:row>74</xdr:row>
      <xdr:rowOff>3863</xdr:rowOff>
    </xdr:from>
    <xdr:to>
      <xdr:col>41</xdr:col>
      <xdr:colOff>389282</xdr:colOff>
      <xdr:row>74</xdr:row>
      <xdr:rowOff>13519</xdr:rowOff>
    </xdr:to>
    <xdr:cxnSp macro="">
      <xdr:nvCxnSpPr>
        <xdr:cNvPr id="221" name="Straight Arrow Connector 220">
          <a:extLst>
            <a:ext uri="{FF2B5EF4-FFF2-40B4-BE49-F238E27FC236}">
              <a16:creationId xmlns:a16="http://schemas.microsoft.com/office/drawing/2014/main" xmlns="" id="{00000000-0008-0000-0400-0000DD000000}"/>
            </a:ext>
          </a:extLst>
        </xdr:cNvPr>
        <xdr:cNvCxnSpPr>
          <a:endCxn id="217" idx="1"/>
        </xdr:cNvCxnSpPr>
      </xdr:nvCxnSpPr>
      <xdr:spPr>
        <a:xfrm flipV="1">
          <a:off x="21659022" y="14846298"/>
          <a:ext cx="3859695" cy="9656"/>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372717</xdr:colOff>
      <xdr:row>81</xdr:row>
      <xdr:rowOff>41416</xdr:rowOff>
    </xdr:from>
    <xdr:to>
      <xdr:col>43</xdr:col>
      <xdr:colOff>195814</xdr:colOff>
      <xdr:row>86</xdr:row>
      <xdr:rowOff>33632</xdr:rowOff>
    </xdr:to>
    <xdr:grpSp>
      <xdr:nvGrpSpPr>
        <xdr:cNvPr id="225" name="Group 224">
          <a:extLst>
            <a:ext uri="{FF2B5EF4-FFF2-40B4-BE49-F238E27FC236}">
              <a16:creationId xmlns:a16="http://schemas.microsoft.com/office/drawing/2014/main" xmlns="" id="{00000000-0008-0000-0400-0000E1000000}"/>
            </a:ext>
          </a:extLst>
        </xdr:cNvPr>
        <xdr:cNvGrpSpPr/>
      </xdr:nvGrpSpPr>
      <xdr:grpSpPr>
        <a:xfrm>
          <a:off x="26468976" y="15505534"/>
          <a:ext cx="1096085" cy="942474"/>
          <a:chOff x="588526" y="190500"/>
          <a:chExt cx="1036410" cy="734695"/>
        </a:xfrm>
      </xdr:grpSpPr>
      <xdr:sp macro="" textlink="">
        <xdr:nvSpPr>
          <xdr:cNvPr id="226" name="Rectangle 225">
            <a:extLst>
              <a:ext uri="{FF2B5EF4-FFF2-40B4-BE49-F238E27FC236}">
                <a16:creationId xmlns:a16="http://schemas.microsoft.com/office/drawing/2014/main" xmlns="" id="{00000000-0008-0000-0400-0000E2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ERM</a:t>
            </a:r>
          </a:p>
        </xdr:txBody>
      </xdr:sp>
      <xdr:sp macro="" textlink="">
        <xdr:nvSpPr>
          <xdr:cNvPr id="227" name="TextBox 226">
            <a:extLst>
              <a:ext uri="{FF2B5EF4-FFF2-40B4-BE49-F238E27FC236}">
                <a16:creationId xmlns:a16="http://schemas.microsoft.com/office/drawing/2014/main" xmlns="" id="{00000000-0008-0000-0400-0000E300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33</xdr:col>
      <xdr:colOff>405848</xdr:colOff>
      <xdr:row>80</xdr:row>
      <xdr:rowOff>99391</xdr:rowOff>
    </xdr:from>
    <xdr:to>
      <xdr:col>35</xdr:col>
      <xdr:colOff>207037</xdr:colOff>
      <xdr:row>84</xdr:row>
      <xdr:rowOff>172600</xdr:rowOff>
    </xdr:to>
    <xdr:sp macro="" textlink="">
      <xdr:nvSpPr>
        <xdr:cNvPr id="228" name="Rectangle 227">
          <a:extLst>
            <a:ext uri="{FF2B5EF4-FFF2-40B4-BE49-F238E27FC236}">
              <a16:creationId xmlns:a16="http://schemas.microsoft.com/office/drawing/2014/main" xmlns="" id="{00000000-0008-0000-0400-0000E4000000}"/>
            </a:ext>
          </a:extLst>
        </xdr:cNvPr>
        <xdr:cNvSpPr/>
      </xdr:nvSpPr>
      <xdr:spPr>
        <a:xfrm>
          <a:off x="20631978" y="16184217"/>
          <a:ext cx="1027016" cy="8352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ERM Clock Enable</a:t>
          </a:r>
          <a:endParaRPr lang="en-US" sz="1100" baseline="0"/>
        </a:p>
        <a:p>
          <a:pPr algn="ctr"/>
          <a:r>
            <a:rPr lang="en-US" sz="900"/>
            <a:t>SIM_PLATCGC[CGCERM]</a:t>
          </a:r>
        </a:p>
      </xdr:txBody>
    </xdr:sp>
    <xdr:clientData/>
  </xdr:twoCellAnchor>
  <xdr:twoCellAnchor>
    <xdr:from>
      <xdr:col>12</xdr:col>
      <xdr:colOff>298172</xdr:colOff>
      <xdr:row>82</xdr:row>
      <xdr:rowOff>132523</xdr:rowOff>
    </xdr:from>
    <xdr:to>
      <xdr:col>33</xdr:col>
      <xdr:colOff>397565</xdr:colOff>
      <xdr:row>82</xdr:row>
      <xdr:rowOff>132523</xdr:rowOff>
    </xdr:to>
    <xdr:cxnSp macro="">
      <xdr:nvCxnSpPr>
        <xdr:cNvPr id="229" name="Straight Arrow Connector 228">
          <a:extLst>
            <a:ext uri="{FF2B5EF4-FFF2-40B4-BE49-F238E27FC236}">
              <a16:creationId xmlns:a16="http://schemas.microsoft.com/office/drawing/2014/main" xmlns="" id="{00000000-0008-0000-0400-0000E5000000}"/>
            </a:ext>
          </a:extLst>
        </xdr:cNvPr>
        <xdr:cNvCxnSpPr/>
      </xdr:nvCxnSpPr>
      <xdr:spPr>
        <a:xfrm>
          <a:off x="7653129" y="16598349"/>
          <a:ext cx="12970566"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223630</xdr:colOff>
      <xdr:row>81</xdr:row>
      <xdr:rowOff>182221</xdr:rowOff>
    </xdr:from>
    <xdr:to>
      <xdr:col>41</xdr:col>
      <xdr:colOff>405847</xdr:colOff>
      <xdr:row>82</xdr:row>
      <xdr:rowOff>1377</xdr:rowOff>
    </xdr:to>
    <xdr:cxnSp macro="">
      <xdr:nvCxnSpPr>
        <xdr:cNvPr id="230" name="Straight Arrow Connector 229">
          <a:extLst>
            <a:ext uri="{FF2B5EF4-FFF2-40B4-BE49-F238E27FC236}">
              <a16:creationId xmlns:a16="http://schemas.microsoft.com/office/drawing/2014/main" xmlns="" id="{00000000-0008-0000-0400-0000E6000000}"/>
            </a:ext>
          </a:extLst>
        </xdr:cNvPr>
        <xdr:cNvCxnSpPr/>
      </xdr:nvCxnSpPr>
      <xdr:spPr>
        <a:xfrm flipV="1">
          <a:off x="21675587" y="16457547"/>
          <a:ext cx="3859695" cy="9656"/>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554935</xdr:colOff>
      <xdr:row>85</xdr:row>
      <xdr:rowOff>198782</xdr:rowOff>
    </xdr:from>
    <xdr:ext cx="860534" cy="367862"/>
    <xdr:sp macro="" textlink="">
      <xdr:nvSpPr>
        <xdr:cNvPr id="231" name="TextBox 230">
          <a:extLst>
            <a:ext uri="{FF2B5EF4-FFF2-40B4-BE49-F238E27FC236}">
              <a16:creationId xmlns:a16="http://schemas.microsoft.com/office/drawing/2014/main" xmlns="" id="{00000000-0008-0000-0400-0000E7000000}"/>
            </a:ext>
          </a:extLst>
        </xdr:cNvPr>
        <xdr:cNvSpPr txBox="1"/>
      </xdr:nvSpPr>
      <xdr:spPr>
        <a:xfrm>
          <a:off x="20781065" y="17277521"/>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41</xdr:col>
      <xdr:colOff>372718</xdr:colOff>
      <xdr:row>89</xdr:row>
      <xdr:rowOff>173935</xdr:rowOff>
    </xdr:from>
    <xdr:to>
      <xdr:col>43</xdr:col>
      <xdr:colOff>195815</xdr:colOff>
      <xdr:row>94</xdr:row>
      <xdr:rowOff>182716</xdr:rowOff>
    </xdr:to>
    <xdr:grpSp>
      <xdr:nvGrpSpPr>
        <xdr:cNvPr id="232" name="Group 231">
          <a:extLst>
            <a:ext uri="{FF2B5EF4-FFF2-40B4-BE49-F238E27FC236}">
              <a16:creationId xmlns:a16="http://schemas.microsoft.com/office/drawing/2014/main" xmlns="" id="{00000000-0008-0000-0400-0000E8000000}"/>
            </a:ext>
          </a:extLst>
        </xdr:cNvPr>
        <xdr:cNvGrpSpPr/>
      </xdr:nvGrpSpPr>
      <xdr:grpSpPr>
        <a:xfrm>
          <a:off x="26468977" y="17179982"/>
          <a:ext cx="1096085" cy="959040"/>
          <a:chOff x="588526" y="190500"/>
          <a:chExt cx="1036410" cy="734695"/>
        </a:xfrm>
      </xdr:grpSpPr>
      <xdr:sp macro="" textlink="">
        <xdr:nvSpPr>
          <xdr:cNvPr id="235" name="Rectangle 234">
            <a:extLst>
              <a:ext uri="{FF2B5EF4-FFF2-40B4-BE49-F238E27FC236}">
                <a16:creationId xmlns:a16="http://schemas.microsoft.com/office/drawing/2014/main" xmlns="" id="{00000000-0008-0000-0400-0000EB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MSCM</a:t>
            </a:r>
          </a:p>
        </xdr:txBody>
      </xdr:sp>
      <xdr:sp macro="" textlink="">
        <xdr:nvSpPr>
          <xdr:cNvPr id="236" name="TextBox 235">
            <a:extLst>
              <a:ext uri="{FF2B5EF4-FFF2-40B4-BE49-F238E27FC236}">
                <a16:creationId xmlns:a16="http://schemas.microsoft.com/office/drawing/2014/main" xmlns="" id="{00000000-0008-0000-0400-0000EC00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33</xdr:col>
      <xdr:colOff>389282</xdr:colOff>
      <xdr:row>88</xdr:row>
      <xdr:rowOff>115957</xdr:rowOff>
    </xdr:from>
    <xdr:to>
      <xdr:col>35</xdr:col>
      <xdr:colOff>190471</xdr:colOff>
      <xdr:row>92</xdr:row>
      <xdr:rowOff>180884</xdr:rowOff>
    </xdr:to>
    <xdr:sp macro="" textlink="">
      <xdr:nvSpPr>
        <xdr:cNvPr id="237" name="Rectangle 236">
          <a:extLst>
            <a:ext uri="{FF2B5EF4-FFF2-40B4-BE49-F238E27FC236}">
              <a16:creationId xmlns:a16="http://schemas.microsoft.com/office/drawing/2014/main" xmlns="" id="{00000000-0008-0000-0400-0000ED000000}"/>
            </a:ext>
          </a:extLst>
        </xdr:cNvPr>
        <xdr:cNvSpPr/>
      </xdr:nvSpPr>
      <xdr:spPr>
        <a:xfrm>
          <a:off x="20615412" y="17815892"/>
          <a:ext cx="1027016" cy="8683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MSCM Clock Enable</a:t>
          </a:r>
          <a:endParaRPr lang="en-US" sz="1100" baseline="0"/>
        </a:p>
        <a:p>
          <a:pPr algn="ctr"/>
          <a:r>
            <a:rPr lang="en-US" sz="900"/>
            <a:t>SIM_PLATCGC[CGCMSCM]</a:t>
          </a:r>
        </a:p>
      </xdr:txBody>
    </xdr:sp>
    <xdr:clientData/>
  </xdr:twoCellAnchor>
  <xdr:twoCellAnchor>
    <xdr:from>
      <xdr:col>12</xdr:col>
      <xdr:colOff>289890</xdr:colOff>
      <xdr:row>90</xdr:row>
      <xdr:rowOff>165652</xdr:rowOff>
    </xdr:from>
    <xdr:to>
      <xdr:col>33</xdr:col>
      <xdr:colOff>389283</xdr:colOff>
      <xdr:row>90</xdr:row>
      <xdr:rowOff>165652</xdr:rowOff>
    </xdr:to>
    <xdr:cxnSp macro="">
      <xdr:nvCxnSpPr>
        <xdr:cNvPr id="238" name="Straight Arrow Connector 237">
          <a:extLst>
            <a:ext uri="{FF2B5EF4-FFF2-40B4-BE49-F238E27FC236}">
              <a16:creationId xmlns:a16="http://schemas.microsoft.com/office/drawing/2014/main" xmlns="" id="{00000000-0008-0000-0400-0000EE000000}"/>
            </a:ext>
          </a:extLst>
        </xdr:cNvPr>
        <xdr:cNvCxnSpPr/>
      </xdr:nvCxnSpPr>
      <xdr:spPr>
        <a:xfrm>
          <a:off x="7644847" y="18279717"/>
          <a:ext cx="12970566"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563217</xdr:colOff>
      <xdr:row>94</xdr:row>
      <xdr:rowOff>8282</xdr:rowOff>
    </xdr:from>
    <xdr:ext cx="860534" cy="367862"/>
    <xdr:sp macro="" textlink="">
      <xdr:nvSpPr>
        <xdr:cNvPr id="239" name="TextBox 238">
          <a:extLst>
            <a:ext uri="{FF2B5EF4-FFF2-40B4-BE49-F238E27FC236}">
              <a16:creationId xmlns:a16="http://schemas.microsoft.com/office/drawing/2014/main" xmlns="" id="{00000000-0008-0000-0400-0000EF000000}"/>
            </a:ext>
          </a:extLst>
        </xdr:cNvPr>
        <xdr:cNvSpPr txBox="1"/>
      </xdr:nvSpPr>
      <xdr:spPr>
        <a:xfrm>
          <a:off x="20789347" y="18917478"/>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198782</xdr:colOff>
      <xdr:row>90</xdr:row>
      <xdr:rowOff>74543</xdr:rowOff>
    </xdr:from>
    <xdr:to>
      <xdr:col>41</xdr:col>
      <xdr:colOff>339587</xdr:colOff>
      <xdr:row>90</xdr:row>
      <xdr:rowOff>74543</xdr:rowOff>
    </xdr:to>
    <xdr:cxnSp macro="">
      <xdr:nvCxnSpPr>
        <xdr:cNvPr id="240" name="Straight Arrow Connector 239">
          <a:extLst>
            <a:ext uri="{FF2B5EF4-FFF2-40B4-BE49-F238E27FC236}">
              <a16:creationId xmlns:a16="http://schemas.microsoft.com/office/drawing/2014/main" xmlns="" id="{00000000-0008-0000-0400-0000F0000000}"/>
            </a:ext>
          </a:extLst>
        </xdr:cNvPr>
        <xdr:cNvCxnSpPr/>
      </xdr:nvCxnSpPr>
      <xdr:spPr>
        <a:xfrm>
          <a:off x="21650739" y="18188608"/>
          <a:ext cx="381828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381000</xdr:colOff>
      <xdr:row>98</xdr:row>
      <xdr:rowOff>115957</xdr:rowOff>
    </xdr:from>
    <xdr:to>
      <xdr:col>43</xdr:col>
      <xdr:colOff>204097</xdr:colOff>
      <xdr:row>103</xdr:row>
      <xdr:rowOff>174434</xdr:rowOff>
    </xdr:to>
    <xdr:grpSp>
      <xdr:nvGrpSpPr>
        <xdr:cNvPr id="241" name="Group 240">
          <a:extLst>
            <a:ext uri="{FF2B5EF4-FFF2-40B4-BE49-F238E27FC236}">
              <a16:creationId xmlns:a16="http://schemas.microsoft.com/office/drawing/2014/main" xmlns="" id="{00000000-0008-0000-0400-0000F1000000}"/>
            </a:ext>
          </a:extLst>
        </xdr:cNvPr>
        <xdr:cNvGrpSpPr/>
      </xdr:nvGrpSpPr>
      <xdr:grpSpPr>
        <a:xfrm>
          <a:off x="26477259" y="18861157"/>
          <a:ext cx="1096085" cy="1017701"/>
          <a:chOff x="588526" y="190500"/>
          <a:chExt cx="1036410" cy="734695"/>
        </a:xfrm>
      </xdr:grpSpPr>
      <xdr:sp macro="" textlink="">
        <xdr:nvSpPr>
          <xdr:cNvPr id="242" name="Rectangle 241">
            <a:extLst>
              <a:ext uri="{FF2B5EF4-FFF2-40B4-BE49-F238E27FC236}">
                <a16:creationId xmlns:a16="http://schemas.microsoft.com/office/drawing/2014/main" xmlns="" id="{00000000-0008-0000-0400-0000F2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a:t>
            </a:r>
          </a:p>
        </xdr:txBody>
      </xdr:sp>
      <xdr:sp macro="" textlink="">
        <xdr:nvSpPr>
          <xdr:cNvPr id="243" name="TextBox 242">
            <a:extLst>
              <a:ext uri="{FF2B5EF4-FFF2-40B4-BE49-F238E27FC236}">
                <a16:creationId xmlns:a16="http://schemas.microsoft.com/office/drawing/2014/main" xmlns="" id="{00000000-0008-0000-0400-0000F300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33</xdr:col>
      <xdr:colOff>397565</xdr:colOff>
      <xdr:row>96</xdr:row>
      <xdr:rowOff>107674</xdr:rowOff>
    </xdr:from>
    <xdr:to>
      <xdr:col>35</xdr:col>
      <xdr:colOff>198754</xdr:colOff>
      <xdr:row>100</xdr:row>
      <xdr:rowOff>189166</xdr:rowOff>
    </xdr:to>
    <xdr:sp macro="" textlink="">
      <xdr:nvSpPr>
        <xdr:cNvPr id="246" name="Rectangle 245">
          <a:extLst>
            <a:ext uri="{FF2B5EF4-FFF2-40B4-BE49-F238E27FC236}">
              <a16:creationId xmlns:a16="http://schemas.microsoft.com/office/drawing/2014/main" xmlns="" id="{00000000-0008-0000-0400-0000F6000000}"/>
            </a:ext>
          </a:extLst>
        </xdr:cNvPr>
        <xdr:cNvSpPr/>
      </xdr:nvSpPr>
      <xdr:spPr>
        <a:xfrm>
          <a:off x="20623695" y="19431000"/>
          <a:ext cx="1027016" cy="8683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 Clock Enable</a:t>
          </a:r>
          <a:endParaRPr lang="en-US" sz="1100" baseline="0"/>
        </a:p>
        <a:p>
          <a:pPr algn="ctr"/>
          <a:r>
            <a:rPr lang="en-US" sz="900"/>
            <a:t>SIM_PLATCGC[CGCDMA]</a:t>
          </a:r>
        </a:p>
      </xdr:txBody>
    </xdr:sp>
    <xdr:clientData/>
  </xdr:twoCellAnchor>
  <xdr:oneCellAnchor>
    <xdr:from>
      <xdr:col>33</xdr:col>
      <xdr:colOff>563218</xdr:colOff>
      <xdr:row>101</xdr:row>
      <xdr:rowOff>207064</xdr:rowOff>
    </xdr:from>
    <xdr:ext cx="860534" cy="367862"/>
    <xdr:sp macro="" textlink="">
      <xdr:nvSpPr>
        <xdr:cNvPr id="247" name="TextBox 246">
          <a:extLst>
            <a:ext uri="{FF2B5EF4-FFF2-40B4-BE49-F238E27FC236}">
              <a16:creationId xmlns:a16="http://schemas.microsoft.com/office/drawing/2014/main" xmlns="" id="{00000000-0008-0000-0400-0000F7000000}"/>
            </a:ext>
          </a:extLst>
        </xdr:cNvPr>
        <xdr:cNvSpPr txBox="1"/>
      </xdr:nvSpPr>
      <xdr:spPr>
        <a:xfrm>
          <a:off x="20789348" y="20516021"/>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12</xdr:col>
      <xdr:colOff>298174</xdr:colOff>
      <xdr:row>98</xdr:row>
      <xdr:rowOff>99393</xdr:rowOff>
    </xdr:from>
    <xdr:to>
      <xdr:col>33</xdr:col>
      <xdr:colOff>397567</xdr:colOff>
      <xdr:row>98</xdr:row>
      <xdr:rowOff>99393</xdr:rowOff>
    </xdr:to>
    <xdr:cxnSp macro="">
      <xdr:nvCxnSpPr>
        <xdr:cNvPr id="248" name="Straight Arrow Connector 247">
          <a:extLst>
            <a:ext uri="{FF2B5EF4-FFF2-40B4-BE49-F238E27FC236}">
              <a16:creationId xmlns:a16="http://schemas.microsoft.com/office/drawing/2014/main" xmlns="" id="{00000000-0008-0000-0400-0000F8000000}"/>
            </a:ext>
          </a:extLst>
        </xdr:cNvPr>
        <xdr:cNvCxnSpPr/>
      </xdr:nvCxnSpPr>
      <xdr:spPr>
        <a:xfrm>
          <a:off x="7653131" y="19828567"/>
          <a:ext cx="12970566"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231913</xdr:colOff>
      <xdr:row>99</xdr:row>
      <xdr:rowOff>41413</xdr:rowOff>
    </xdr:from>
    <xdr:to>
      <xdr:col>41</xdr:col>
      <xdr:colOff>372718</xdr:colOff>
      <xdr:row>99</xdr:row>
      <xdr:rowOff>41413</xdr:rowOff>
    </xdr:to>
    <xdr:cxnSp macro="">
      <xdr:nvCxnSpPr>
        <xdr:cNvPr id="249" name="Straight Arrow Connector 248">
          <a:extLst>
            <a:ext uri="{FF2B5EF4-FFF2-40B4-BE49-F238E27FC236}">
              <a16:creationId xmlns:a16="http://schemas.microsoft.com/office/drawing/2014/main" xmlns="" id="{00000000-0008-0000-0400-0000F9000000}"/>
            </a:ext>
          </a:extLst>
        </xdr:cNvPr>
        <xdr:cNvCxnSpPr/>
      </xdr:nvCxnSpPr>
      <xdr:spPr>
        <a:xfrm>
          <a:off x="21683870" y="19961087"/>
          <a:ext cx="381828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364435</xdr:colOff>
      <xdr:row>107</xdr:row>
      <xdr:rowOff>109268</xdr:rowOff>
    </xdr:from>
    <xdr:to>
      <xdr:col>43</xdr:col>
      <xdr:colOff>187532</xdr:colOff>
      <xdr:row>111</xdr:row>
      <xdr:rowOff>183175</xdr:rowOff>
    </xdr:to>
    <xdr:grpSp>
      <xdr:nvGrpSpPr>
        <xdr:cNvPr id="252" name="Group 251">
          <a:extLst>
            <a:ext uri="{FF2B5EF4-FFF2-40B4-BE49-F238E27FC236}">
              <a16:creationId xmlns:a16="http://schemas.microsoft.com/office/drawing/2014/main" xmlns="" id="{00000000-0008-0000-0400-0000FC000000}"/>
            </a:ext>
          </a:extLst>
        </xdr:cNvPr>
        <xdr:cNvGrpSpPr/>
      </xdr:nvGrpSpPr>
      <xdr:grpSpPr>
        <a:xfrm>
          <a:off x="26460694" y="20539833"/>
          <a:ext cx="1096085" cy="862801"/>
          <a:chOff x="588526" y="190500"/>
          <a:chExt cx="1036410" cy="734695"/>
        </a:xfrm>
      </xdr:grpSpPr>
      <xdr:sp macro="" textlink="">
        <xdr:nvSpPr>
          <xdr:cNvPr id="253" name="Rectangle 252">
            <a:extLst>
              <a:ext uri="{FF2B5EF4-FFF2-40B4-BE49-F238E27FC236}">
                <a16:creationId xmlns:a16="http://schemas.microsoft.com/office/drawing/2014/main" xmlns="" id="{00000000-0008-0000-0400-0000FD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MPU</a:t>
            </a:r>
          </a:p>
        </xdr:txBody>
      </xdr:sp>
      <xdr:sp macro="" textlink="">
        <xdr:nvSpPr>
          <xdr:cNvPr id="254" name="TextBox 253">
            <a:extLst>
              <a:ext uri="{FF2B5EF4-FFF2-40B4-BE49-F238E27FC236}">
                <a16:creationId xmlns:a16="http://schemas.microsoft.com/office/drawing/2014/main" xmlns="" id="{00000000-0008-0000-0400-0000FE00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33</xdr:col>
      <xdr:colOff>414130</xdr:colOff>
      <xdr:row>105</xdr:row>
      <xdr:rowOff>24848</xdr:rowOff>
    </xdr:from>
    <xdr:to>
      <xdr:col>35</xdr:col>
      <xdr:colOff>215319</xdr:colOff>
      <xdr:row>109</xdr:row>
      <xdr:rowOff>164318</xdr:rowOff>
    </xdr:to>
    <xdr:sp macro="" textlink="">
      <xdr:nvSpPr>
        <xdr:cNvPr id="255" name="Rectangle 254">
          <a:extLst>
            <a:ext uri="{FF2B5EF4-FFF2-40B4-BE49-F238E27FC236}">
              <a16:creationId xmlns:a16="http://schemas.microsoft.com/office/drawing/2014/main" xmlns="" id="{00000000-0008-0000-0400-0000FF000000}"/>
            </a:ext>
          </a:extLst>
        </xdr:cNvPr>
        <xdr:cNvSpPr/>
      </xdr:nvSpPr>
      <xdr:spPr>
        <a:xfrm>
          <a:off x="20640260" y="21153783"/>
          <a:ext cx="1027016" cy="9014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MPU Clock Enable</a:t>
          </a:r>
          <a:endParaRPr lang="en-US" sz="1100" baseline="0"/>
        </a:p>
        <a:p>
          <a:pPr algn="ctr"/>
          <a:r>
            <a:rPr lang="en-US" sz="900"/>
            <a:t>SIM_PLATCGC[CGCMPU]</a:t>
          </a:r>
        </a:p>
      </xdr:txBody>
    </xdr:sp>
    <xdr:clientData/>
  </xdr:twoCellAnchor>
  <xdr:oneCellAnchor>
    <xdr:from>
      <xdr:col>33</xdr:col>
      <xdr:colOff>546652</xdr:colOff>
      <xdr:row>110</xdr:row>
      <xdr:rowOff>198783</xdr:rowOff>
    </xdr:from>
    <xdr:ext cx="860534" cy="367862"/>
    <xdr:sp macro="" textlink="">
      <xdr:nvSpPr>
        <xdr:cNvPr id="256" name="TextBox 255">
          <a:extLst>
            <a:ext uri="{FF2B5EF4-FFF2-40B4-BE49-F238E27FC236}">
              <a16:creationId xmlns:a16="http://schemas.microsoft.com/office/drawing/2014/main" xmlns="" id="{00000000-0008-0000-0400-000000010000}"/>
            </a:ext>
          </a:extLst>
        </xdr:cNvPr>
        <xdr:cNvSpPr txBox="1"/>
      </xdr:nvSpPr>
      <xdr:spPr>
        <a:xfrm>
          <a:off x="20772782" y="22288500"/>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12</xdr:col>
      <xdr:colOff>289890</xdr:colOff>
      <xdr:row>107</xdr:row>
      <xdr:rowOff>57978</xdr:rowOff>
    </xdr:from>
    <xdr:to>
      <xdr:col>33</xdr:col>
      <xdr:colOff>389283</xdr:colOff>
      <xdr:row>107</xdr:row>
      <xdr:rowOff>57978</xdr:rowOff>
    </xdr:to>
    <xdr:cxnSp macro="">
      <xdr:nvCxnSpPr>
        <xdr:cNvPr id="259" name="Straight Arrow Connector 258">
          <a:extLst>
            <a:ext uri="{FF2B5EF4-FFF2-40B4-BE49-F238E27FC236}">
              <a16:creationId xmlns:a16="http://schemas.microsoft.com/office/drawing/2014/main" xmlns="" id="{00000000-0008-0000-0400-000003010000}"/>
            </a:ext>
          </a:extLst>
        </xdr:cNvPr>
        <xdr:cNvCxnSpPr/>
      </xdr:nvCxnSpPr>
      <xdr:spPr>
        <a:xfrm>
          <a:off x="7644847" y="21567913"/>
          <a:ext cx="12970566"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234780</xdr:colOff>
      <xdr:row>108</xdr:row>
      <xdr:rowOff>41413</xdr:rowOff>
    </xdr:from>
    <xdr:to>
      <xdr:col>41</xdr:col>
      <xdr:colOff>375585</xdr:colOff>
      <xdr:row>108</xdr:row>
      <xdr:rowOff>41413</xdr:rowOff>
    </xdr:to>
    <xdr:cxnSp macro="">
      <xdr:nvCxnSpPr>
        <xdr:cNvPr id="260" name="Straight Arrow Connector 259">
          <a:extLst>
            <a:ext uri="{FF2B5EF4-FFF2-40B4-BE49-F238E27FC236}">
              <a16:creationId xmlns:a16="http://schemas.microsoft.com/office/drawing/2014/main" xmlns="" id="{00000000-0008-0000-0400-000004010000}"/>
            </a:ext>
          </a:extLst>
        </xdr:cNvPr>
        <xdr:cNvCxnSpPr/>
      </xdr:nvCxnSpPr>
      <xdr:spPr>
        <a:xfrm>
          <a:off x="21519492" y="22036836"/>
          <a:ext cx="37896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422413</xdr:colOff>
      <xdr:row>105</xdr:row>
      <xdr:rowOff>190487</xdr:rowOff>
    </xdr:from>
    <xdr:to>
      <xdr:col>2</xdr:col>
      <xdr:colOff>273341</xdr:colOff>
      <xdr:row>111</xdr:row>
      <xdr:rowOff>7600</xdr:rowOff>
    </xdr:to>
    <xdr:grpSp>
      <xdr:nvGrpSpPr>
        <xdr:cNvPr id="261" name="Group 260">
          <a:extLst>
            <a:ext uri="{FF2B5EF4-FFF2-40B4-BE49-F238E27FC236}">
              <a16:creationId xmlns:a16="http://schemas.microsoft.com/office/drawing/2014/main" xmlns="" id="{00000000-0008-0000-0400-000005010000}"/>
            </a:ext>
          </a:extLst>
        </xdr:cNvPr>
        <xdr:cNvGrpSpPr/>
      </xdr:nvGrpSpPr>
      <xdr:grpSpPr>
        <a:xfrm>
          <a:off x="422413" y="20245879"/>
          <a:ext cx="1123916" cy="981180"/>
          <a:chOff x="610115" y="190500"/>
          <a:chExt cx="1064162" cy="754985"/>
        </a:xfrm>
      </xdr:grpSpPr>
      <xdr:sp macro="" textlink="">
        <xdr:nvSpPr>
          <xdr:cNvPr id="264" name="Rectangle 263">
            <a:extLst>
              <a:ext uri="{FF2B5EF4-FFF2-40B4-BE49-F238E27FC236}">
                <a16:creationId xmlns:a16="http://schemas.microsoft.com/office/drawing/2014/main" xmlns="" id="{00000000-0008-0000-0400-000008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EWM</a:t>
            </a:r>
          </a:p>
        </xdr:txBody>
      </xdr:sp>
      <xdr:sp macro="" textlink="">
        <xdr:nvSpPr>
          <xdr:cNvPr id="265" name="TextBox 264">
            <a:extLst>
              <a:ext uri="{FF2B5EF4-FFF2-40B4-BE49-F238E27FC236}">
                <a16:creationId xmlns:a16="http://schemas.microsoft.com/office/drawing/2014/main" xmlns="" id="{00000000-0008-0000-0400-000009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66" name="TextBox 265">
            <a:extLst>
              <a:ext uri="{FF2B5EF4-FFF2-40B4-BE49-F238E27FC236}">
                <a16:creationId xmlns:a16="http://schemas.microsoft.com/office/drawing/2014/main" xmlns="" id="{00000000-0008-0000-0400-00000A010000}"/>
              </a:ext>
            </a:extLst>
          </xdr:cNvPr>
          <xdr:cNvSpPr txBox="1"/>
        </xdr:nvSpPr>
        <xdr:spPr>
          <a:xfrm>
            <a:off x="912989" y="764510"/>
            <a:ext cx="761288"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Low Power Clock</a:t>
            </a:r>
          </a:p>
        </xdr:txBody>
      </xdr:sp>
    </xdr:grpSp>
    <xdr:clientData/>
  </xdr:twoCellAnchor>
  <xdr:twoCellAnchor>
    <xdr:from>
      <xdr:col>4</xdr:col>
      <xdr:colOff>381000</xdr:colOff>
      <xdr:row>102</xdr:row>
      <xdr:rowOff>91110</xdr:rowOff>
    </xdr:from>
    <xdr:to>
      <xdr:col>6</xdr:col>
      <xdr:colOff>182189</xdr:colOff>
      <xdr:row>106</xdr:row>
      <xdr:rowOff>182679</xdr:rowOff>
    </xdr:to>
    <xdr:sp macro="" textlink="">
      <xdr:nvSpPr>
        <xdr:cNvPr id="269" name="Rectangle 268">
          <a:extLst>
            <a:ext uri="{FF2B5EF4-FFF2-40B4-BE49-F238E27FC236}">
              <a16:creationId xmlns:a16="http://schemas.microsoft.com/office/drawing/2014/main" xmlns="" id="{00000000-0008-0000-0400-00000D010000}"/>
            </a:ext>
          </a:extLst>
        </xdr:cNvPr>
        <xdr:cNvSpPr/>
      </xdr:nvSpPr>
      <xdr:spPr>
        <a:xfrm>
          <a:off x="2832652" y="20640262"/>
          <a:ext cx="1027015" cy="8618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EWM Clock</a:t>
          </a:r>
          <a:r>
            <a:rPr lang="en-US" sz="1100" baseline="0"/>
            <a:t> Enable</a:t>
          </a:r>
        </a:p>
        <a:p>
          <a:pPr algn="ctr"/>
          <a:r>
            <a:rPr lang="en-US" sz="900"/>
            <a:t>PCC_EWM[CGC]</a:t>
          </a:r>
        </a:p>
      </xdr:txBody>
    </xdr:sp>
    <xdr:clientData/>
  </xdr:twoCellAnchor>
  <xdr:oneCellAnchor>
    <xdr:from>
      <xdr:col>4</xdr:col>
      <xdr:colOff>571499</xdr:colOff>
      <xdr:row>107</xdr:row>
      <xdr:rowOff>198783</xdr:rowOff>
    </xdr:from>
    <xdr:ext cx="860534" cy="367862"/>
    <xdr:sp macro="" textlink="">
      <xdr:nvSpPr>
        <xdr:cNvPr id="270" name="TextBox 269">
          <a:extLst>
            <a:ext uri="{FF2B5EF4-FFF2-40B4-BE49-F238E27FC236}">
              <a16:creationId xmlns:a16="http://schemas.microsoft.com/office/drawing/2014/main" xmlns="" id="{00000000-0008-0000-0400-00000E010000}"/>
            </a:ext>
          </a:extLst>
        </xdr:cNvPr>
        <xdr:cNvSpPr txBox="1"/>
      </xdr:nvSpPr>
      <xdr:spPr>
        <a:xfrm>
          <a:off x="3023151" y="21717000"/>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190501</xdr:colOff>
      <xdr:row>104</xdr:row>
      <xdr:rowOff>124239</xdr:rowOff>
    </xdr:from>
    <xdr:to>
      <xdr:col>10</xdr:col>
      <xdr:colOff>323022</xdr:colOff>
      <xdr:row>104</xdr:row>
      <xdr:rowOff>124239</xdr:rowOff>
    </xdr:to>
    <xdr:cxnSp macro="">
      <xdr:nvCxnSpPr>
        <xdr:cNvPr id="271" name="Straight Arrow Connector 270">
          <a:extLst>
            <a:ext uri="{FF2B5EF4-FFF2-40B4-BE49-F238E27FC236}">
              <a16:creationId xmlns:a16="http://schemas.microsoft.com/office/drawing/2014/main" xmlns="" id="{00000000-0008-0000-0400-00000F010000}"/>
            </a:ext>
          </a:extLst>
        </xdr:cNvPr>
        <xdr:cNvCxnSpPr/>
      </xdr:nvCxnSpPr>
      <xdr:spPr>
        <a:xfrm flipH="1">
          <a:off x="3867979" y="21062674"/>
          <a:ext cx="2584173"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248479</xdr:colOff>
      <xdr:row>106</xdr:row>
      <xdr:rowOff>140804</xdr:rowOff>
    </xdr:from>
    <xdr:to>
      <xdr:col>4</xdr:col>
      <xdr:colOff>364435</xdr:colOff>
      <xdr:row>106</xdr:row>
      <xdr:rowOff>140804</xdr:rowOff>
    </xdr:to>
    <xdr:cxnSp macro="">
      <xdr:nvCxnSpPr>
        <xdr:cNvPr id="272" name="Straight Arrow Connector 271">
          <a:extLst>
            <a:ext uri="{FF2B5EF4-FFF2-40B4-BE49-F238E27FC236}">
              <a16:creationId xmlns:a16="http://schemas.microsoft.com/office/drawing/2014/main" xmlns="" id="{00000000-0008-0000-0400-000010010000}"/>
            </a:ext>
          </a:extLst>
        </xdr:cNvPr>
        <xdr:cNvCxnSpPr/>
      </xdr:nvCxnSpPr>
      <xdr:spPr>
        <a:xfrm flipH="1">
          <a:off x="1474305" y="21460239"/>
          <a:ext cx="134178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231915</xdr:colOff>
      <xdr:row>110</xdr:row>
      <xdr:rowOff>107674</xdr:rowOff>
    </xdr:from>
    <xdr:to>
      <xdr:col>7</xdr:col>
      <xdr:colOff>298174</xdr:colOff>
      <xdr:row>110</xdr:row>
      <xdr:rowOff>107674</xdr:rowOff>
    </xdr:to>
    <xdr:cxnSp macro="">
      <xdr:nvCxnSpPr>
        <xdr:cNvPr id="273" name="Straight Arrow Connector 272">
          <a:extLst>
            <a:ext uri="{FF2B5EF4-FFF2-40B4-BE49-F238E27FC236}">
              <a16:creationId xmlns:a16="http://schemas.microsoft.com/office/drawing/2014/main" xmlns="" id="{00000000-0008-0000-0400-000011010000}"/>
            </a:ext>
          </a:extLst>
        </xdr:cNvPr>
        <xdr:cNvCxnSpPr/>
      </xdr:nvCxnSpPr>
      <xdr:spPr>
        <a:xfrm flipH="1">
          <a:off x="1457741" y="22247087"/>
          <a:ext cx="3130824" cy="0"/>
        </a:xfrm>
        <a:prstGeom prst="straightConnector1">
          <a:avLst/>
        </a:prstGeom>
        <a:ln w="38100">
          <a:solidFill>
            <a:sysClr val="windowText" lastClr="00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493769</xdr:colOff>
      <xdr:row>106</xdr:row>
      <xdr:rowOff>166610</xdr:rowOff>
    </xdr:from>
    <xdr:ext cx="847725" cy="266700"/>
    <xdr:sp macro="" textlink="">
      <xdr:nvSpPr>
        <xdr:cNvPr id="274" name="TextBox 273">
          <a:hlinkClick xmlns:r="http://schemas.openxmlformats.org/officeDocument/2006/relationships" r:id="rId13"/>
          <a:extLst>
            <a:ext uri="{FF2B5EF4-FFF2-40B4-BE49-F238E27FC236}">
              <a16:creationId xmlns:a16="http://schemas.microsoft.com/office/drawing/2014/main" xmlns="" id="{00000000-0008-0000-0400-000012010000}"/>
            </a:ext>
          </a:extLst>
        </xdr:cNvPr>
        <xdr:cNvSpPr txBox="1"/>
      </xdr:nvSpPr>
      <xdr:spPr>
        <a:xfrm>
          <a:off x="4142577" y="2175172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LPO_CLK</a:t>
          </a:r>
        </a:p>
      </xdr:txBody>
    </xdr:sp>
    <xdr:clientData/>
  </xdr:oneCellAnchor>
  <xdr:twoCellAnchor>
    <xdr:from>
      <xdr:col>7</xdr:col>
      <xdr:colOff>306714</xdr:colOff>
      <xdr:row>109</xdr:row>
      <xdr:rowOff>24848</xdr:rowOff>
    </xdr:from>
    <xdr:to>
      <xdr:col>7</xdr:col>
      <xdr:colOff>306714</xdr:colOff>
      <xdr:row>118</xdr:row>
      <xdr:rowOff>182217</xdr:rowOff>
    </xdr:to>
    <xdr:cxnSp macro="">
      <xdr:nvCxnSpPr>
        <xdr:cNvPr id="281" name="Straight Arrow Connector 280">
          <a:extLst>
            <a:ext uri="{FF2B5EF4-FFF2-40B4-BE49-F238E27FC236}">
              <a16:creationId xmlns:a16="http://schemas.microsoft.com/office/drawing/2014/main" xmlns="" id="{00000000-0008-0000-0400-000019010000}"/>
            </a:ext>
          </a:extLst>
        </xdr:cNvPr>
        <xdr:cNvCxnSpPr/>
      </xdr:nvCxnSpPr>
      <xdr:spPr>
        <a:xfrm>
          <a:off x="4597105" y="21957196"/>
          <a:ext cx="0" cy="1913282"/>
        </a:xfrm>
        <a:prstGeom prst="straightConnector1">
          <a:avLst/>
        </a:prstGeom>
        <a:ln w="38100">
          <a:solidFill>
            <a:sysClr val="windowText" lastClr="000000"/>
          </a:solidFill>
          <a:prstDash val="sysDash"/>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381000</xdr:colOff>
      <xdr:row>116</xdr:row>
      <xdr:rowOff>107673</xdr:rowOff>
    </xdr:from>
    <xdr:to>
      <xdr:col>2</xdr:col>
      <xdr:colOff>231928</xdr:colOff>
      <xdr:row>121</xdr:row>
      <xdr:rowOff>189829</xdr:rowOff>
    </xdr:to>
    <xdr:grpSp>
      <xdr:nvGrpSpPr>
        <xdr:cNvPr id="288" name="Group 287">
          <a:extLst>
            <a:ext uri="{FF2B5EF4-FFF2-40B4-BE49-F238E27FC236}">
              <a16:creationId xmlns:a16="http://schemas.microsoft.com/office/drawing/2014/main" xmlns="" id="{00000000-0008-0000-0400-000020010000}"/>
            </a:ext>
          </a:extLst>
        </xdr:cNvPr>
        <xdr:cNvGrpSpPr/>
      </xdr:nvGrpSpPr>
      <xdr:grpSpPr>
        <a:xfrm>
          <a:off x="381000" y="22250497"/>
          <a:ext cx="1123916" cy="1005520"/>
          <a:chOff x="610115" y="190500"/>
          <a:chExt cx="1064162" cy="754985"/>
        </a:xfrm>
      </xdr:grpSpPr>
      <xdr:sp macro="" textlink="">
        <xdr:nvSpPr>
          <xdr:cNvPr id="289" name="Rectangle 288">
            <a:extLst>
              <a:ext uri="{FF2B5EF4-FFF2-40B4-BE49-F238E27FC236}">
                <a16:creationId xmlns:a16="http://schemas.microsoft.com/office/drawing/2014/main" xmlns="" id="{00000000-0008-0000-0400-000021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WDOG</a:t>
            </a:r>
          </a:p>
        </xdr:txBody>
      </xdr:sp>
      <xdr:sp macro="" textlink="">
        <xdr:nvSpPr>
          <xdr:cNvPr id="291" name="TextBox 290">
            <a:extLst>
              <a:ext uri="{FF2B5EF4-FFF2-40B4-BE49-F238E27FC236}">
                <a16:creationId xmlns:a16="http://schemas.microsoft.com/office/drawing/2014/main" xmlns="" id="{00000000-0008-0000-0400-000023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92" name="TextBox 291">
            <a:extLst>
              <a:ext uri="{FF2B5EF4-FFF2-40B4-BE49-F238E27FC236}">
                <a16:creationId xmlns:a16="http://schemas.microsoft.com/office/drawing/2014/main" xmlns="" id="{00000000-0008-0000-0400-000024010000}"/>
              </a:ext>
            </a:extLst>
          </xdr:cNvPr>
          <xdr:cNvSpPr txBox="1"/>
        </xdr:nvSpPr>
        <xdr:spPr>
          <a:xfrm>
            <a:off x="912989" y="764510"/>
            <a:ext cx="761288"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WDOG Clock</a:t>
            </a:r>
          </a:p>
        </xdr:txBody>
      </xdr:sp>
    </xdr:grpSp>
    <xdr:clientData/>
  </xdr:twoCellAnchor>
  <xdr:twoCellAnchor>
    <xdr:from>
      <xdr:col>2</xdr:col>
      <xdr:colOff>191314</xdr:colOff>
      <xdr:row>117</xdr:row>
      <xdr:rowOff>75783</xdr:rowOff>
    </xdr:from>
    <xdr:to>
      <xdr:col>10</xdr:col>
      <xdr:colOff>314740</xdr:colOff>
      <xdr:row>117</xdr:row>
      <xdr:rowOff>75783</xdr:rowOff>
    </xdr:to>
    <xdr:cxnSp macro="">
      <xdr:nvCxnSpPr>
        <xdr:cNvPr id="293" name="Straight Arrow Connector 292">
          <a:extLst>
            <a:ext uri="{FF2B5EF4-FFF2-40B4-BE49-F238E27FC236}">
              <a16:creationId xmlns:a16="http://schemas.microsoft.com/office/drawing/2014/main" xmlns="" id="{00000000-0008-0000-0400-000025010000}"/>
            </a:ext>
          </a:extLst>
        </xdr:cNvPr>
        <xdr:cNvCxnSpPr>
          <a:endCxn id="291" idx="3"/>
        </xdr:cNvCxnSpPr>
      </xdr:nvCxnSpPr>
      <xdr:spPr>
        <a:xfrm flipH="1">
          <a:off x="1417140" y="23573544"/>
          <a:ext cx="5026730"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198784</xdr:colOff>
      <xdr:row>119</xdr:row>
      <xdr:rowOff>0</xdr:rowOff>
    </xdr:from>
    <xdr:to>
      <xdr:col>7</xdr:col>
      <xdr:colOff>331305</xdr:colOff>
      <xdr:row>119</xdr:row>
      <xdr:rowOff>0</xdr:rowOff>
    </xdr:to>
    <xdr:cxnSp macro="">
      <xdr:nvCxnSpPr>
        <xdr:cNvPr id="297" name="Straight Arrow Connector 296">
          <a:extLst>
            <a:ext uri="{FF2B5EF4-FFF2-40B4-BE49-F238E27FC236}">
              <a16:creationId xmlns:a16="http://schemas.microsoft.com/office/drawing/2014/main" xmlns="" id="{00000000-0008-0000-0400-000029010000}"/>
            </a:ext>
          </a:extLst>
        </xdr:cNvPr>
        <xdr:cNvCxnSpPr/>
      </xdr:nvCxnSpPr>
      <xdr:spPr>
        <a:xfrm flipH="1">
          <a:off x="3876262" y="23878761"/>
          <a:ext cx="745434" cy="0"/>
        </a:xfrm>
        <a:prstGeom prst="straightConnector1">
          <a:avLst/>
        </a:prstGeom>
        <a:ln w="38100">
          <a:solidFill>
            <a:sysClr val="windowText" lastClr="00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389283</xdr:colOff>
      <xdr:row>118</xdr:row>
      <xdr:rowOff>74545</xdr:rowOff>
    </xdr:from>
    <xdr:to>
      <xdr:col>6</xdr:col>
      <xdr:colOff>190472</xdr:colOff>
      <xdr:row>122</xdr:row>
      <xdr:rowOff>174397</xdr:rowOff>
    </xdr:to>
    <xdr:sp macro="" textlink="">
      <xdr:nvSpPr>
        <xdr:cNvPr id="300" name="Rectangle 299">
          <a:extLst>
            <a:ext uri="{FF2B5EF4-FFF2-40B4-BE49-F238E27FC236}">
              <a16:creationId xmlns:a16="http://schemas.microsoft.com/office/drawing/2014/main" xmlns="" id="{00000000-0008-0000-0400-00002C010000}"/>
            </a:ext>
          </a:extLst>
        </xdr:cNvPr>
        <xdr:cNvSpPr/>
      </xdr:nvSpPr>
      <xdr:spPr>
        <a:xfrm>
          <a:off x="2840935" y="23762806"/>
          <a:ext cx="1027015" cy="8618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WDOG Clock Select</a:t>
          </a:r>
          <a:endParaRPr lang="en-US" sz="1100" baseline="0"/>
        </a:p>
        <a:p>
          <a:pPr algn="ctr"/>
          <a:r>
            <a:rPr lang="en-US" sz="900"/>
            <a:t>WDOG_CS[CLK]</a:t>
          </a:r>
        </a:p>
      </xdr:txBody>
    </xdr:sp>
    <xdr:clientData/>
  </xdr:twoCellAnchor>
  <xdr:twoCellAnchor>
    <xdr:from>
      <xdr:col>6</xdr:col>
      <xdr:colOff>207066</xdr:colOff>
      <xdr:row>120</xdr:row>
      <xdr:rowOff>33130</xdr:rowOff>
    </xdr:from>
    <xdr:to>
      <xdr:col>9</xdr:col>
      <xdr:colOff>0</xdr:colOff>
      <xdr:row>120</xdr:row>
      <xdr:rowOff>33130</xdr:rowOff>
    </xdr:to>
    <xdr:cxnSp macro="">
      <xdr:nvCxnSpPr>
        <xdr:cNvPr id="301" name="Straight Arrow Connector 300">
          <a:extLst>
            <a:ext uri="{FF2B5EF4-FFF2-40B4-BE49-F238E27FC236}">
              <a16:creationId xmlns:a16="http://schemas.microsoft.com/office/drawing/2014/main" xmlns="" id="{00000000-0008-0000-0400-00002D010000}"/>
            </a:ext>
          </a:extLst>
        </xdr:cNvPr>
        <xdr:cNvCxnSpPr/>
      </xdr:nvCxnSpPr>
      <xdr:spPr>
        <a:xfrm flipH="1">
          <a:off x="3872549" y="24233199"/>
          <a:ext cx="1625675"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604630</xdr:colOff>
      <xdr:row>117</xdr:row>
      <xdr:rowOff>66261</xdr:rowOff>
    </xdr:from>
    <xdr:to>
      <xdr:col>8</xdr:col>
      <xdr:colOff>604630</xdr:colOff>
      <xdr:row>120</xdr:row>
      <xdr:rowOff>23812</xdr:rowOff>
    </xdr:to>
    <xdr:cxnSp macro="">
      <xdr:nvCxnSpPr>
        <xdr:cNvPr id="303" name="Straight Arrow Connector 302">
          <a:extLst>
            <a:ext uri="{FF2B5EF4-FFF2-40B4-BE49-F238E27FC236}">
              <a16:creationId xmlns:a16="http://schemas.microsoft.com/office/drawing/2014/main" xmlns="" id="{00000000-0008-0000-0400-00002F010000}"/>
            </a:ext>
          </a:extLst>
        </xdr:cNvPr>
        <xdr:cNvCxnSpPr/>
      </xdr:nvCxnSpPr>
      <xdr:spPr>
        <a:xfrm>
          <a:off x="5557630" y="23735886"/>
          <a:ext cx="0" cy="529051"/>
        </a:xfrm>
        <a:prstGeom prst="straightConnector1">
          <a:avLst/>
        </a:prstGeom>
        <a:ln w="19050">
          <a:solidFill>
            <a:schemeClr val="accent2">
              <a:lumMod val="60000"/>
              <a:lumOff val="40000"/>
            </a:schemeClr>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551793</xdr:colOff>
      <xdr:row>124</xdr:row>
      <xdr:rowOff>6569</xdr:rowOff>
    </xdr:from>
    <xdr:ext cx="860534" cy="597776"/>
    <xdr:sp macro="" textlink="">
      <xdr:nvSpPr>
        <xdr:cNvPr id="307" name="TextBox 306">
          <a:extLst>
            <a:ext uri="{FF2B5EF4-FFF2-40B4-BE49-F238E27FC236}">
              <a16:creationId xmlns:a16="http://schemas.microsoft.com/office/drawing/2014/main" xmlns="" id="{00000000-0008-0000-0400-000033010000}"/>
            </a:ext>
          </a:extLst>
        </xdr:cNvPr>
        <xdr:cNvSpPr txBox="1"/>
      </xdr:nvSpPr>
      <xdr:spPr>
        <a:xfrm>
          <a:off x="2995448" y="25034328"/>
          <a:ext cx="860534" cy="5977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BUS_CLK</a:t>
          </a:r>
        </a:p>
        <a:p>
          <a:r>
            <a:rPr lang="en-US" sz="800"/>
            <a:t>1 - LPO_CLK</a:t>
          </a:r>
        </a:p>
        <a:p>
          <a:r>
            <a:rPr lang="en-US" sz="800"/>
            <a:t>2</a:t>
          </a:r>
          <a:r>
            <a:rPr lang="en-US" sz="800" baseline="0"/>
            <a:t> - SOSC_CLK</a:t>
          </a:r>
        </a:p>
        <a:p>
          <a:r>
            <a:rPr lang="en-US" sz="800" baseline="0"/>
            <a:t>3 - SIRC_CLK</a:t>
          </a:r>
          <a:endParaRPr lang="en-US" sz="800"/>
        </a:p>
      </xdr:txBody>
    </xdr:sp>
    <xdr:clientData/>
  </xdr:oneCellAnchor>
  <xdr:twoCellAnchor>
    <xdr:from>
      <xdr:col>6</xdr:col>
      <xdr:colOff>197069</xdr:colOff>
      <xdr:row>121</xdr:row>
      <xdr:rowOff>98535</xdr:rowOff>
    </xdr:from>
    <xdr:to>
      <xdr:col>7</xdr:col>
      <xdr:colOff>604344</xdr:colOff>
      <xdr:row>121</xdr:row>
      <xdr:rowOff>98535</xdr:rowOff>
    </xdr:to>
    <xdr:cxnSp macro="">
      <xdr:nvCxnSpPr>
        <xdr:cNvPr id="310" name="Straight Arrow Connector 309">
          <a:extLst>
            <a:ext uri="{FF2B5EF4-FFF2-40B4-BE49-F238E27FC236}">
              <a16:creationId xmlns:a16="http://schemas.microsoft.com/office/drawing/2014/main" xmlns="" id="{00000000-0008-0000-0400-000036010000}"/>
            </a:ext>
          </a:extLst>
        </xdr:cNvPr>
        <xdr:cNvCxnSpPr/>
      </xdr:nvCxnSpPr>
      <xdr:spPr>
        <a:xfrm flipH="1">
          <a:off x="3862552" y="24495673"/>
          <a:ext cx="1018189"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571500</xdr:colOff>
      <xdr:row>120</xdr:row>
      <xdr:rowOff>164224</xdr:rowOff>
    </xdr:from>
    <xdr:ext cx="769327" cy="257176"/>
    <xdr:sp macro="" textlink="">
      <xdr:nvSpPr>
        <xdr:cNvPr id="311" name="TextBox 310">
          <a:hlinkClick xmlns:r="http://schemas.openxmlformats.org/officeDocument/2006/relationships" r:id="rId14"/>
          <a:extLst>
            <a:ext uri="{FF2B5EF4-FFF2-40B4-BE49-F238E27FC236}">
              <a16:creationId xmlns:a16="http://schemas.microsoft.com/office/drawing/2014/main" xmlns="" id="{00000000-0008-0000-0400-000037010000}"/>
            </a:ext>
          </a:extLst>
        </xdr:cNvPr>
        <xdr:cNvSpPr txBox="1"/>
      </xdr:nvSpPr>
      <xdr:spPr>
        <a:xfrm>
          <a:off x="5458810" y="24364293"/>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SOSC_CLK</a:t>
          </a:r>
        </a:p>
      </xdr:txBody>
    </xdr:sp>
    <xdr:clientData/>
  </xdr:oneCellAnchor>
  <xdr:twoCellAnchor>
    <xdr:from>
      <xdr:col>6</xdr:col>
      <xdr:colOff>203638</xdr:colOff>
      <xdr:row>122</xdr:row>
      <xdr:rowOff>118241</xdr:rowOff>
    </xdr:from>
    <xdr:to>
      <xdr:col>7</xdr:col>
      <xdr:colOff>604345</xdr:colOff>
      <xdr:row>122</xdr:row>
      <xdr:rowOff>118241</xdr:rowOff>
    </xdr:to>
    <xdr:cxnSp macro="">
      <xdr:nvCxnSpPr>
        <xdr:cNvPr id="312" name="Straight Arrow Connector 311">
          <a:extLst>
            <a:ext uri="{FF2B5EF4-FFF2-40B4-BE49-F238E27FC236}">
              <a16:creationId xmlns:a16="http://schemas.microsoft.com/office/drawing/2014/main" xmlns="" id="{00000000-0008-0000-0400-000038010000}"/>
            </a:ext>
          </a:extLst>
        </xdr:cNvPr>
        <xdr:cNvCxnSpPr/>
      </xdr:nvCxnSpPr>
      <xdr:spPr>
        <a:xfrm flipH="1">
          <a:off x="3869121" y="24725586"/>
          <a:ext cx="1011621" cy="0"/>
        </a:xfrm>
        <a:prstGeom prst="straightConnector1">
          <a:avLst/>
        </a:prstGeom>
        <a:ln w="19050">
          <a:solidFill>
            <a:srgbClr val="FFC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584638</xdr:colOff>
      <xdr:row>121</xdr:row>
      <xdr:rowOff>183931</xdr:rowOff>
    </xdr:from>
    <xdr:ext cx="769327" cy="257176"/>
    <xdr:sp macro="" textlink="">
      <xdr:nvSpPr>
        <xdr:cNvPr id="316" name="TextBox 315">
          <a:hlinkClick xmlns:r="http://schemas.openxmlformats.org/officeDocument/2006/relationships" r:id="rId15"/>
          <a:extLst>
            <a:ext uri="{FF2B5EF4-FFF2-40B4-BE49-F238E27FC236}">
              <a16:creationId xmlns:a16="http://schemas.microsoft.com/office/drawing/2014/main" xmlns="" id="{00000000-0008-0000-0400-00003C010000}"/>
            </a:ext>
          </a:extLst>
        </xdr:cNvPr>
        <xdr:cNvSpPr txBox="1"/>
      </xdr:nvSpPr>
      <xdr:spPr>
        <a:xfrm>
          <a:off x="5471948" y="24581069"/>
          <a:ext cx="769327"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SIRC_CLK</a:t>
          </a:r>
        </a:p>
      </xdr:txBody>
    </xdr:sp>
    <xdr:clientData/>
  </xdr:oneCellAnchor>
  <xdr:twoCellAnchor>
    <xdr:from>
      <xdr:col>41</xdr:col>
      <xdr:colOff>354723</xdr:colOff>
      <xdr:row>115</xdr:row>
      <xdr:rowOff>3033</xdr:rowOff>
    </xdr:from>
    <xdr:to>
      <xdr:col>43</xdr:col>
      <xdr:colOff>177820</xdr:colOff>
      <xdr:row>119</xdr:row>
      <xdr:rowOff>124559</xdr:rowOff>
    </xdr:to>
    <xdr:grpSp>
      <xdr:nvGrpSpPr>
        <xdr:cNvPr id="318" name="Group 317">
          <a:extLst>
            <a:ext uri="{FF2B5EF4-FFF2-40B4-BE49-F238E27FC236}">
              <a16:creationId xmlns:a16="http://schemas.microsoft.com/office/drawing/2014/main" xmlns="" id="{00000000-0008-0000-0400-00003E010000}"/>
            </a:ext>
          </a:extLst>
        </xdr:cNvPr>
        <xdr:cNvGrpSpPr/>
      </xdr:nvGrpSpPr>
      <xdr:grpSpPr>
        <a:xfrm>
          <a:off x="26450982" y="21966562"/>
          <a:ext cx="1096085" cy="838703"/>
          <a:chOff x="588526" y="190500"/>
          <a:chExt cx="1036410" cy="734695"/>
        </a:xfrm>
      </xdr:grpSpPr>
      <xdr:sp macro="" textlink="">
        <xdr:nvSpPr>
          <xdr:cNvPr id="319" name="Rectangle 318">
            <a:extLst>
              <a:ext uri="{FF2B5EF4-FFF2-40B4-BE49-F238E27FC236}">
                <a16:creationId xmlns:a16="http://schemas.microsoft.com/office/drawing/2014/main" xmlns="" id="{00000000-0008-0000-0400-00003F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SIM</a:t>
            </a:r>
          </a:p>
        </xdr:txBody>
      </xdr:sp>
      <xdr:sp macro="" textlink="">
        <xdr:nvSpPr>
          <xdr:cNvPr id="320" name="TextBox 319">
            <a:extLst>
              <a:ext uri="{FF2B5EF4-FFF2-40B4-BE49-F238E27FC236}">
                <a16:creationId xmlns:a16="http://schemas.microsoft.com/office/drawing/2014/main" xmlns="" id="{00000000-0008-0000-0400-000040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10</xdr:col>
      <xdr:colOff>323022</xdr:colOff>
      <xdr:row>115</xdr:row>
      <xdr:rowOff>140804</xdr:rowOff>
    </xdr:from>
    <xdr:to>
      <xdr:col>41</xdr:col>
      <xdr:colOff>350419</xdr:colOff>
      <xdr:row>115</xdr:row>
      <xdr:rowOff>140804</xdr:rowOff>
    </xdr:to>
    <xdr:cxnSp macro="">
      <xdr:nvCxnSpPr>
        <xdr:cNvPr id="329" name="Straight Arrow Connector 328">
          <a:extLst>
            <a:ext uri="{FF2B5EF4-FFF2-40B4-BE49-F238E27FC236}">
              <a16:creationId xmlns:a16="http://schemas.microsoft.com/office/drawing/2014/main" xmlns="" id="{00000000-0008-0000-0400-000049010000}"/>
            </a:ext>
          </a:extLst>
        </xdr:cNvPr>
        <xdr:cNvCxnSpPr/>
      </xdr:nvCxnSpPr>
      <xdr:spPr>
        <a:xfrm>
          <a:off x="6452152" y="23257565"/>
          <a:ext cx="19027702"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381000</xdr:colOff>
      <xdr:row>121</xdr:row>
      <xdr:rowOff>152846</xdr:rowOff>
    </xdr:from>
    <xdr:to>
      <xdr:col>43</xdr:col>
      <xdr:colOff>204097</xdr:colOff>
      <xdr:row>125</xdr:row>
      <xdr:rowOff>170718</xdr:rowOff>
    </xdr:to>
    <xdr:grpSp>
      <xdr:nvGrpSpPr>
        <xdr:cNvPr id="330" name="Group 329">
          <a:extLst>
            <a:ext uri="{FF2B5EF4-FFF2-40B4-BE49-F238E27FC236}">
              <a16:creationId xmlns:a16="http://schemas.microsoft.com/office/drawing/2014/main" xmlns="" id="{00000000-0008-0000-0400-00004A010000}"/>
            </a:ext>
          </a:extLst>
        </xdr:cNvPr>
        <xdr:cNvGrpSpPr/>
      </xdr:nvGrpSpPr>
      <xdr:grpSpPr>
        <a:xfrm>
          <a:off x="26477259" y="23219034"/>
          <a:ext cx="1096085" cy="797802"/>
          <a:chOff x="588526" y="190500"/>
          <a:chExt cx="1036410" cy="734695"/>
        </a:xfrm>
      </xdr:grpSpPr>
      <xdr:sp macro="" textlink="">
        <xdr:nvSpPr>
          <xdr:cNvPr id="331" name="Rectangle 330">
            <a:extLst>
              <a:ext uri="{FF2B5EF4-FFF2-40B4-BE49-F238E27FC236}">
                <a16:creationId xmlns:a16="http://schemas.microsoft.com/office/drawing/2014/main" xmlns="" id="{00000000-0008-0000-0400-00004B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PMC</a:t>
            </a:r>
          </a:p>
        </xdr:txBody>
      </xdr:sp>
      <xdr:sp macro="" textlink="">
        <xdr:nvSpPr>
          <xdr:cNvPr id="341" name="TextBox 340">
            <a:extLst>
              <a:ext uri="{FF2B5EF4-FFF2-40B4-BE49-F238E27FC236}">
                <a16:creationId xmlns:a16="http://schemas.microsoft.com/office/drawing/2014/main" xmlns="" id="{00000000-0008-0000-0400-000055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10</xdr:col>
      <xdr:colOff>314737</xdr:colOff>
      <xdr:row>122</xdr:row>
      <xdr:rowOff>70402</xdr:rowOff>
    </xdr:from>
    <xdr:to>
      <xdr:col>41</xdr:col>
      <xdr:colOff>361950</xdr:colOff>
      <xdr:row>122</xdr:row>
      <xdr:rowOff>70402</xdr:rowOff>
    </xdr:to>
    <xdr:cxnSp macro="">
      <xdr:nvCxnSpPr>
        <xdr:cNvPr id="342" name="Straight Arrow Connector 341">
          <a:extLst>
            <a:ext uri="{FF2B5EF4-FFF2-40B4-BE49-F238E27FC236}">
              <a16:creationId xmlns:a16="http://schemas.microsoft.com/office/drawing/2014/main" xmlns="" id="{00000000-0008-0000-0400-000056010000}"/>
            </a:ext>
          </a:extLst>
        </xdr:cNvPr>
        <xdr:cNvCxnSpPr/>
      </xdr:nvCxnSpPr>
      <xdr:spPr>
        <a:xfrm>
          <a:off x="6410737" y="24825877"/>
          <a:ext cx="18944813"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361950</xdr:colOff>
      <xdr:row>129</xdr:row>
      <xdr:rowOff>15388</xdr:rowOff>
    </xdr:from>
    <xdr:to>
      <xdr:col>43</xdr:col>
      <xdr:colOff>185047</xdr:colOff>
      <xdr:row>134</xdr:row>
      <xdr:rowOff>7329</xdr:rowOff>
    </xdr:to>
    <xdr:grpSp>
      <xdr:nvGrpSpPr>
        <xdr:cNvPr id="378" name="Group 377">
          <a:extLst>
            <a:ext uri="{FF2B5EF4-FFF2-40B4-BE49-F238E27FC236}">
              <a16:creationId xmlns:a16="http://schemas.microsoft.com/office/drawing/2014/main" xmlns="" id="{00000000-0008-0000-0400-00007A010000}"/>
            </a:ext>
          </a:extLst>
        </xdr:cNvPr>
        <xdr:cNvGrpSpPr/>
      </xdr:nvGrpSpPr>
      <xdr:grpSpPr>
        <a:xfrm>
          <a:off x="26458209" y="24641435"/>
          <a:ext cx="1096085" cy="906341"/>
          <a:chOff x="588526" y="190500"/>
          <a:chExt cx="1036410" cy="734695"/>
        </a:xfrm>
      </xdr:grpSpPr>
      <xdr:sp macro="" textlink="">
        <xdr:nvSpPr>
          <xdr:cNvPr id="379" name="Rectangle 378">
            <a:extLst>
              <a:ext uri="{FF2B5EF4-FFF2-40B4-BE49-F238E27FC236}">
                <a16:creationId xmlns:a16="http://schemas.microsoft.com/office/drawing/2014/main" xmlns="" id="{00000000-0008-0000-0400-00007B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TRGMUX</a:t>
            </a:r>
          </a:p>
        </xdr:txBody>
      </xdr:sp>
      <xdr:sp macro="" textlink="">
        <xdr:nvSpPr>
          <xdr:cNvPr id="380" name="TextBox 379">
            <a:extLst>
              <a:ext uri="{FF2B5EF4-FFF2-40B4-BE49-F238E27FC236}">
                <a16:creationId xmlns:a16="http://schemas.microsoft.com/office/drawing/2014/main" xmlns="" id="{00000000-0008-0000-0400-00007C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10</xdr:col>
      <xdr:colOff>314325</xdr:colOff>
      <xdr:row>129</xdr:row>
      <xdr:rowOff>152400</xdr:rowOff>
    </xdr:from>
    <xdr:to>
      <xdr:col>41</xdr:col>
      <xdr:colOff>361538</xdr:colOff>
      <xdr:row>129</xdr:row>
      <xdr:rowOff>152400</xdr:rowOff>
    </xdr:to>
    <xdr:cxnSp macro="">
      <xdr:nvCxnSpPr>
        <xdr:cNvPr id="381" name="Straight Arrow Connector 380">
          <a:extLst>
            <a:ext uri="{FF2B5EF4-FFF2-40B4-BE49-F238E27FC236}">
              <a16:creationId xmlns:a16="http://schemas.microsoft.com/office/drawing/2014/main" xmlns="" id="{00000000-0008-0000-0400-00007D010000}"/>
            </a:ext>
          </a:extLst>
        </xdr:cNvPr>
        <xdr:cNvCxnSpPr/>
      </xdr:nvCxnSpPr>
      <xdr:spPr>
        <a:xfrm>
          <a:off x="6410325" y="26193750"/>
          <a:ext cx="18944813"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409575</xdr:colOff>
      <xdr:row>130</xdr:row>
      <xdr:rowOff>104775</xdr:rowOff>
    </xdr:from>
    <xdr:to>
      <xdr:col>2</xdr:col>
      <xdr:colOff>260503</xdr:colOff>
      <xdr:row>136</xdr:row>
      <xdr:rowOff>5956</xdr:rowOff>
    </xdr:to>
    <xdr:grpSp>
      <xdr:nvGrpSpPr>
        <xdr:cNvPr id="382" name="Group 381">
          <a:extLst>
            <a:ext uri="{FF2B5EF4-FFF2-40B4-BE49-F238E27FC236}">
              <a16:creationId xmlns:a16="http://schemas.microsoft.com/office/drawing/2014/main" xmlns="" id="{00000000-0008-0000-0400-00007E010000}"/>
            </a:ext>
          </a:extLst>
        </xdr:cNvPr>
        <xdr:cNvGrpSpPr/>
      </xdr:nvGrpSpPr>
      <xdr:grpSpPr>
        <a:xfrm>
          <a:off x="409575" y="24919081"/>
          <a:ext cx="1123916" cy="1021769"/>
          <a:chOff x="610115" y="190500"/>
          <a:chExt cx="1064162" cy="754985"/>
        </a:xfrm>
      </xdr:grpSpPr>
      <xdr:sp macro="" textlink="">
        <xdr:nvSpPr>
          <xdr:cNvPr id="383" name="Rectangle 382">
            <a:extLst>
              <a:ext uri="{FF2B5EF4-FFF2-40B4-BE49-F238E27FC236}">
                <a16:creationId xmlns:a16="http://schemas.microsoft.com/office/drawing/2014/main" xmlns="" id="{00000000-0008-0000-0400-00007F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RCM</a:t>
            </a:r>
          </a:p>
        </xdr:txBody>
      </xdr:sp>
      <xdr:sp macro="" textlink="">
        <xdr:nvSpPr>
          <xdr:cNvPr id="385" name="TextBox 384">
            <a:extLst>
              <a:ext uri="{FF2B5EF4-FFF2-40B4-BE49-F238E27FC236}">
                <a16:creationId xmlns:a16="http://schemas.microsoft.com/office/drawing/2014/main" xmlns="" id="{00000000-0008-0000-0400-00008101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86" name="TextBox 385">
            <a:extLst>
              <a:ext uri="{FF2B5EF4-FFF2-40B4-BE49-F238E27FC236}">
                <a16:creationId xmlns:a16="http://schemas.microsoft.com/office/drawing/2014/main" xmlns="" id="{00000000-0008-0000-0400-000082010000}"/>
              </a:ext>
            </a:extLst>
          </xdr:cNvPr>
          <xdr:cNvSpPr txBox="1"/>
        </xdr:nvSpPr>
        <xdr:spPr>
          <a:xfrm>
            <a:off x="912989" y="764510"/>
            <a:ext cx="761288"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Filter Clock</a:t>
            </a:r>
          </a:p>
        </xdr:txBody>
      </xdr:sp>
    </xdr:grpSp>
    <xdr:clientData/>
  </xdr:twoCellAnchor>
  <xdr:twoCellAnchor>
    <xdr:from>
      <xdr:col>2</xdr:col>
      <xdr:colOff>230179</xdr:colOff>
      <xdr:row>131</xdr:row>
      <xdr:rowOff>61448</xdr:rowOff>
    </xdr:from>
    <xdr:to>
      <xdr:col>10</xdr:col>
      <xdr:colOff>322385</xdr:colOff>
      <xdr:row>131</xdr:row>
      <xdr:rowOff>61448</xdr:rowOff>
    </xdr:to>
    <xdr:cxnSp macro="">
      <xdr:nvCxnSpPr>
        <xdr:cNvPr id="387" name="Straight Arrow Connector 386">
          <a:extLst>
            <a:ext uri="{FF2B5EF4-FFF2-40B4-BE49-F238E27FC236}">
              <a16:creationId xmlns:a16="http://schemas.microsoft.com/office/drawing/2014/main" xmlns="" id="{00000000-0008-0000-0400-000083010000}"/>
            </a:ext>
          </a:extLst>
        </xdr:cNvPr>
        <xdr:cNvCxnSpPr/>
      </xdr:nvCxnSpPr>
      <xdr:spPr>
        <a:xfrm flipH="1">
          <a:off x="1446448" y="26592236"/>
          <a:ext cx="4957283"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388327</xdr:colOff>
      <xdr:row>132</xdr:row>
      <xdr:rowOff>43962</xdr:rowOff>
    </xdr:from>
    <xdr:to>
      <xdr:col>6</xdr:col>
      <xdr:colOff>189516</xdr:colOff>
      <xdr:row>136</xdr:row>
      <xdr:rowOff>173122</xdr:rowOff>
    </xdr:to>
    <xdr:sp macro="" textlink="">
      <xdr:nvSpPr>
        <xdr:cNvPr id="390" name="Rectangle 389">
          <a:extLst>
            <a:ext uri="{FF2B5EF4-FFF2-40B4-BE49-F238E27FC236}">
              <a16:creationId xmlns:a16="http://schemas.microsoft.com/office/drawing/2014/main" xmlns="" id="{00000000-0008-0000-0400-000086010000}"/>
            </a:ext>
          </a:extLst>
        </xdr:cNvPr>
        <xdr:cNvSpPr/>
      </xdr:nvSpPr>
      <xdr:spPr>
        <a:xfrm>
          <a:off x="2820865" y="26765250"/>
          <a:ext cx="1017459" cy="8911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Reset Pin Filter Clock Select</a:t>
          </a:r>
          <a:endParaRPr lang="en-US" sz="1100" baseline="0"/>
        </a:p>
        <a:p>
          <a:pPr algn="ctr"/>
          <a:r>
            <a:rPr lang="en-US" sz="900"/>
            <a:t>RCM_RPC[RSTFLTSRW]</a:t>
          </a:r>
        </a:p>
      </xdr:txBody>
    </xdr:sp>
    <xdr:clientData/>
  </xdr:twoCellAnchor>
  <xdr:oneCellAnchor>
    <xdr:from>
      <xdr:col>4</xdr:col>
      <xdr:colOff>564172</xdr:colOff>
      <xdr:row>137</xdr:row>
      <xdr:rowOff>205154</xdr:rowOff>
    </xdr:from>
    <xdr:ext cx="1018443" cy="597776"/>
    <xdr:sp macro="" textlink="">
      <xdr:nvSpPr>
        <xdr:cNvPr id="391" name="TextBox 390">
          <a:extLst>
            <a:ext uri="{FF2B5EF4-FFF2-40B4-BE49-F238E27FC236}">
              <a16:creationId xmlns:a16="http://schemas.microsoft.com/office/drawing/2014/main" xmlns="" id="{00000000-0008-0000-0400-000087010000}"/>
            </a:ext>
          </a:extLst>
        </xdr:cNvPr>
        <xdr:cNvSpPr txBox="1"/>
      </xdr:nvSpPr>
      <xdr:spPr>
        <a:xfrm>
          <a:off x="2996710" y="27886269"/>
          <a:ext cx="1018443" cy="5977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 Clock</a:t>
          </a:r>
        </a:p>
        <a:p>
          <a:r>
            <a:rPr lang="en-US" sz="800"/>
            <a:t>1 - BUS_CLK</a:t>
          </a:r>
        </a:p>
        <a:p>
          <a:r>
            <a:rPr lang="en-US" sz="800"/>
            <a:t>2</a:t>
          </a:r>
          <a:r>
            <a:rPr lang="en-US" sz="800" baseline="0"/>
            <a:t> - LPO128K_CLK</a:t>
          </a:r>
        </a:p>
      </xdr:txBody>
    </xdr:sp>
    <xdr:clientData/>
  </xdr:oneCellAnchor>
  <xdr:twoCellAnchor>
    <xdr:from>
      <xdr:col>6</xdr:col>
      <xdr:colOff>207067</xdr:colOff>
      <xdr:row>133</xdr:row>
      <xdr:rowOff>40136</xdr:rowOff>
    </xdr:from>
    <xdr:to>
      <xdr:col>9</xdr:col>
      <xdr:colOff>1</xdr:colOff>
      <xdr:row>133</xdr:row>
      <xdr:rowOff>40136</xdr:rowOff>
    </xdr:to>
    <xdr:cxnSp macro="">
      <xdr:nvCxnSpPr>
        <xdr:cNvPr id="393" name="Straight Arrow Connector 392">
          <a:extLst>
            <a:ext uri="{FF2B5EF4-FFF2-40B4-BE49-F238E27FC236}">
              <a16:creationId xmlns:a16="http://schemas.microsoft.com/office/drawing/2014/main" xmlns="" id="{00000000-0008-0000-0400-000089010000}"/>
            </a:ext>
          </a:extLst>
        </xdr:cNvPr>
        <xdr:cNvCxnSpPr/>
      </xdr:nvCxnSpPr>
      <xdr:spPr>
        <a:xfrm flipH="1">
          <a:off x="3855875" y="26951924"/>
          <a:ext cx="1617338"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604631</xdr:colOff>
      <xdr:row>131</xdr:row>
      <xdr:rowOff>58615</xdr:rowOff>
    </xdr:from>
    <xdr:to>
      <xdr:col>8</xdr:col>
      <xdr:colOff>604631</xdr:colOff>
      <xdr:row>133</xdr:row>
      <xdr:rowOff>21981</xdr:rowOff>
    </xdr:to>
    <xdr:cxnSp macro="">
      <xdr:nvCxnSpPr>
        <xdr:cNvPr id="394" name="Straight Arrow Connector 393">
          <a:extLst>
            <a:ext uri="{FF2B5EF4-FFF2-40B4-BE49-F238E27FC236}">
              <a16:creationId xmlns:a16="http://schemas.microsoft.com/office/drawing/2014/main" xmlns="" id="{00000000-0008-0000-0400-00008A010000}"/>
            </a:ext>
          </a:extLst>
        </xdr:cNvPr>
        <xdr:cNvCxnSpPr/>
      </xdr:nvCxnSpPr>
      <xdr:spPr>
        <a:xfrm>
          <a:off x="5469708" y="26589403"/>
          <a:ext cx="0" cy="344366"/>
        </a:xfrm>
        <a:prstGeom prst="straightConnector1">
          <a:avLst/>
        </a:prstGeom>
        <a:ln w="19050">
          <a:solidFill>
            <a:schemeClr val="accent2">
              <a:lumMod val="60000"/>
              <a:lumOff val="40000"/>
            </a:schemeClr>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212482</xdr:colOff>
      <xdr:row>135</xdr:row>
      <xdr:rowOff>131886</xdr:rowOff>
    </xdr:from>
    <xdr:to>
      <xdr:col>7</xdr:col>
      <xdr:colOff>578827</xdr:colOff>
      <xdr:row>135</xdr:row>
      <xdr:rowOff>131886</xdr:rowOff>
    </xdr:to>
    <xdr:cxnSp macro="">
      <xdr:nvCxnSpPr>
        <xdr:cNvPr id="397" name="Straight Arrow Connector 396">
          <a:extLst>
            <a:ext uri="{FF2B5EF4-FFF2-40B4-BE49-F238E27FC236}">
              <a16:creationId xmlns:a16="http://schemas.microsoft.com/office/drawing/2014/main" xmlns="" id="{00000000-0008-0000-0400-00008D010000}"/>
            </a:ext>
          </a:extLst>
        </xdr:cNvPr>
        <xdr:cNvCxnSpPr/>
      </xdr:nvCxnSpPr>
      <xdr:spPr>
        <a:xfrm flipH="1">
          <a:off x="3861290" y="27432001"/>
          <a:ext cx="974479"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175849</xdr:colOff>
      <xdr:row>121</xdr:row>
      <xdr:rowOff>73269</xdr:rowOff>
    </xdr:from>
    <xdr:to>
      <xdr:col>4</xdr:col>
      <xdr:colOff>24848</xdr:colOff>
      <xdr:row>121</xdr:row>
      <xdr:rowOff>73269</xdr:rowOff>
    </xdr:to>
    <xdr:cxnSp macro="">
      <xdr:nvCxnSpPr>
        <xdr:cNvPr id="403" name="Straight Arrow Connector 402">
          <a:extLst>
            <a:ext uri="{FF2B5EF4-FFF2-40B4-BE49-F238E27FC236}">
              <a16:creationId xmlns:a16="http://schemas.microsoft.com/office/drawing/2014/main" xmlns="" id="{00000000-0008-0000-0400-000093010000}"/>
            </a:ext>
          </a:extLst>
        </xdr:cNvPr>
        <xdr:cNvCxnSpPr/>
      </xdr:nvCxnSpPr>
      <xdr:spPr>
        <a:xfrm flipH="1">
          <a:off x="1401675" y="24341312"/>
          <a:ext cx="10748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586154</xdr:colOff>
      <xdr:row>134</xdr:row>
      <xdr:rowOff>161193</xdr:rowOff>
    </xdr:from>
    <xdr:ext cx="952501" cy="257176"/>
    <xdr:sp macro="" textlink="">
      <xdr:nvSpPr>
        <xdr:cNvPr id="407" name="TextBox 406">
          <a:hlinkClick xmlns:r="http://schemas.openxmlformats.org/officeDocument/2006/relationships" r:id="rId11"/>
          <a:extLst>
            <a:ext uri="{FF2B5EF4-FFF2-40B4-BE49-F238E27FC236}">
              <a16:creationId xmlns:a16="http://schemas.microsoft.com/office/drawing/2014/main" xmlns="" id="{00000000-0008-0000-0400-000097010000}"/>
            </a:ext>
          </a:extLst>
        </xdr:cNvPr>
        <xdr:cNvSpPr txBox="1"/>
      </xdr:nvSpPr>
      <xdr:spPr>
        <a:xfrm>
          <a:off x="5451231" y="27285462"/>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LPO128K_CLK</a:t>
          </a:r>
        </a:p>
      </xdr:txBody>
    </xdr:sp>
    <xdr:clientData/>
  </xdr:oneCellAnchor>
  <xdr:twoCellAnchor>
    <xdr:from>
      <xdr:col>2</xdr:col>
      <xdr:colOff>205154</xdr:colOff>
      <xdr:row>135</xdr:row>
      <xdr:rowOff>73269</xdr:rowOff>
    </xdr:from>
    <xdr:to>
      <xdr:col>4</xdr:col>
      <xdr:colOff>388327</xdr:colOff>
      <xdr:row>135</xdr:row>
      <xdr:rowOff>73269</xdr:rowOff>
    </xdr:to>
    <xdr:cxnSp macro="">
      <xdr:nvCxnSpPr>
        <xdr:cNvPr id="408" name="Straight Arrow Connector 407">
          <a:extLst>
            <a:ext uri="{FF2B5EF4-FFF2-40B4-BE49-F238E27FC236}">
              <a16:creationId xmlns:a16="http://schemas.microsoft.com/office/drawing/2014/main" xmlns="" id="{00000000-0008-0000-0400-000098010000}"/>
            </a:ext>
          </a:extLst>
        </xdr:cNvPr>
        <xdr:cNvCxnSpPr/>
      </xdr:nvCxnSpPr>
      <xdr:spPr>
        <a:xfrm flipH="1">
          <a:off x="1421423" y="27395365"/>
          <a:ext cx="13994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351693</xdr:colOff>
      <xdr:row>136</xdr:row>
      <xdr:rowOff>116498</xdr:rowOff>
    </xdr:from>
    <xdr:to>
      <xdr:col>43</xdr:col>
      <xdr:colOff>174790</xdr:colOff>
      <xdr:row>140</xdr:row>
      <xdr:rowOff>175113</xdr:rowOff>
    </xdr:to>
    <xdr:grpSp>
      <xdr:nvGrpSpPr>
        <xdr:cNvPr id="415" name="Group 414">
          <a:extLst>
            <a:ext uri="{FF2B5EF4-FFF2-40B4-BE49-F238E27FC236}">
              <a16:creationId xmlns:a16="http://schemas.microsoft.com/office/drawing/2014/main" xmlns="" id="{00000000-0008-0000-0400-00009F010000}"/>
            </a:ext>
          </a:extLst>
        </xdr:cNvPr>
        <xdr:cNvGrpSpPr/>
      </xdr:nvGrpSpPr>
      <xdr:grpSpPr>
        <a:xfrm>
          <a:off x="26447952" y="26051392"/>
          <a:ext cx="1096085" cy="820615"/>
          <a:chOff x="588526" y="190500"/>
          <a:chExt cx="1036410" cy="734695"/>
        </a:xfrm>
      </xdr:grpSpPr>
      <xdr:sp macro="" textlink="">
        <xdr:nvSpPr>
          <xdr:cNvPr id="416" name="Rectangle 415">
            <a:extLst>
              <a:ext uri="{FF2B5EF4-FFF2-40B4-BE49-F238E27FC236}">
                <a16:creationId xmlns:a16="http://schemas.microsoft.com/office/drawing/2014/main" xmlns="" id="{00000000-0008-0000-0400-0000A0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System RAM</a:t>
            </a:r>
          </a:p>
        </xdr:txBody>
      </xdr:sp>
      <xdr:sp macro="" textlink="">
        <xdr:nvSpPr>
          <xdr:cNvPr id="417" name="TextBox 416">
            <a:extLst>
              <a:ext uri="{FF2B5EF4-FFF2-40B4-BE49-F238E27FC236}">
                <a16:creationId xmlns:a16="http://schemas.microsoft.com/office/drawing/2014/main" xmlns="" id="{00000000-0008-0000-0400-0000A1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Memory Clock</a:t>
            </a:r>
          </a:p>
        </xdr:txBody>
      </xdr:sp>
    </xdr:grpSp>
    <xdr:clientData/>
  </xdr:twoCellAnchor>
  <xdr:twoCellAnchor>
    <xdr:from>
      <xdr:col>12</xdr:col>
      <xdr:colOff>300403</xdr:colOff>
      <xdr:row>137</xdr:row>
      <xdr:rowOff>35908</xdr:rowOff>
    </xdr:from>
    <xdr:to>
      <xdr:col>41</xdr:col>
      <xdr:colOff>366346</xdr:colOff>
      <xdr:row>137</xdr:row>
      <xdr:rowOff>35908</xdr:rowOff>
    </xdr:to>
    <xdr:cxnSp macro="">
      <xdr:nvCxnSpPr>
        <xdr:cNvPr id="418" name="Straight Arrow Connector 417">
          <a:extLst>
            <a:ext uri="{FF2B5EF4-FFF2-40B4-BE49-F238E27FC236}">
              <a16:creationId xmlns:a16="http://schemas.microsoft.com/office/drawing/2014/main" xmlns="" id="{00000000-0008-0000-0400-0000A2010000}"/>
            </a:ext>
          </a:extLst>
        </xdr:cNvPr>
        <xdr:cNvCxnSpPr/>
      </xdr:nvCxnSpPr>
      <xdr:spPr>
        <a:xfrm>
          <a:off x="7615603" y="27782233"/>
          <a:ext cx="1774434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395654</xdr:colOff>
      <xdr:row>142</xdr:row>
      <xdr:rowOff>65944</xdr:rowOff>
    </xdr:from>
    <xdr:to>
      <xdr:col>2</xdr:col>
      <xdr:colOff>206329</xdr:colOff>
      <xdr:row>147</xdr:row>
      <xdr:rowOff>179472</xdr:rowOff>
    </xdr:to>
    <xdr:grpSp>
      <xdr:nvGrpSpPr>
        <xdr:cNvPr id="420" name="Group 419">
          <a:extLst>
            <a:ext uri="{FF2B5EF4-FFF2-40B4-BE49-F238E27FC236}">
              <a16:creationId xmlns:a16="http://schemas.microsoft.com/office/drawing/2014/main" xmlns="" id="{00000000-0008-0000-0400-0000A4010000}"/>
            </a:ext>
          </a:extLst>
        </xdr:cNvPr>
        <xdr:cNvGrpSpPr/>
      </xdr:nvGrpSpPr>
      <xdr:grpSpPr>
        <a:xfrm>
          <a:off x="395654" y="27148320"/>
          <a:ext cx="1083663" cy="1090681"/>
          <a:chOff x="610115" y="190500"/>
          <a:chExt cx="1024023" cy="734694"/>
        </a:xfrm>
      </xdr:grpSpPr>
      <xdr:sp macro="" textlink="">
        <xdr:nvSpPr>
          <xdr:cNvPr id="421" name="Rectangle 420">
            <a:extLst>
              <a:ext uri="{FF2B5EF4-FFF2-40B4-BE49-F238E27FC236}">
                <a16:creationId xmlns:a16="http://schemas.microsoft.com/office/drawing/2014/main" xmlns="" id="{00000000-0008-0000-0400-0000A501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FTFC</a:t>
            </a:r>
          </a:p>
        </xdr:txBody>
      </xdr:sp>
      <xdr:sp macro="" textlink="">
        <xdr:nvSpPr>
          <xdr:cNvPr id="422" name="TextBox 421">
            <a:extLst>
              <a:ext uri="{FF2B5EF4-FFF2-40B4-BE49-F238E27FC236}">
                <a16:creationId xmlns:a16="http://schemas.microsoft.com/office/drawing/2014/main" xmlns="" id="{00000000-0008-0000-0400-0000A6010000}"/>
              </a:ext>
            </a:extLst>
          </xdr:cNvPr>
          <xdr:cNvSpPr txBox="1"/>
        </xdr:nvSpPr>
        <xdr:spPr>
          <a:xfrm>
            <a:off x="1004973" y="215747"/>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4</xdr:col>
      <xdr:colOff>395654</xdr:colOff>
      <xdr:row>140</xdr:row>
      <xdr:rowOff>87923</xdr:rowOff>
    </xdr:from>
    <xdr:to>
      <xdr:col>6</xdr:col>
      <xdr:colOff>196843</xdr:colOff>
      <xdr:row>144</xdr:row>
      <xdr:rowOff>186819</xdr:rowOff>
    </xdr:to>
    <xdr:sp macro="" textlink="">
      <xdr:nvSpPr>
        <xdr:cNvPr id="424" name="Rectangle 423">
          <a:extLst>
            <a:ext uri="{FF2B5EF4-FFF2-40B4-BE49-F238E27FC236}">
              <a16:creationId xmlns:a16="http://schemas.microsoft.com/office/drawing/2014/main" xmlns="" id="{00000000-0008-0000-0400-0000A8010000}"/>
            </a:ext>
          </a:extLst>
        </xdr:cNvPr>
        <xdr:cNvSpPr/>
      </xdr:nvSpPr>
      <xdr:spPr>
        <a:xfrm>
          <a:off x="2828192" y="28457769"/>
          <a:ext cx="1017459" cy="86089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FTFC Clock</a:t>
          </a:r>
          <a:r>
            <a:rPr lang="en-US" sz="1100" baseline="0"/>
            <a:t> Enable</a:t>
          </a:r>
        </a:p>
        <a:p>
          <a:pPr algn="ctr"/>
          <a:r>
            <a:rPr lang="en-US" sz="900"/>
            <a:t>PCC_FTFC[CGC]</a:t>
          </a:r>
        </a:p>
      </xdr:txBody>
    </xdr:sp>
    <xdr:clientData/>
  </xdr:twoCellAnchor>
  <xdr:oneCellAnchor>
    <xdr:from>
      <xdr:col>4</xdr:col>
      <xdr:colOff>549520</xdr:colOff>
      <xdr:row>145</xdr:row>
      <xdr:rowOff>197827</xdr:rowOff>
    </xdr:from>
    <xdr:ext cx="860534" cy="367862"/>
    <xdr:sp macro="" textlink="">
      <xdr:nvSpPr>
        <xdr:cNvPr id="425" name="TextBox 424">
          <a:extLst>
            <a:ext uri="{FF2B5EF4-FFF2-40B4-BE49-F238E27FC236}">
              <a16:creationId xmlns:a16="http://schemas.microsoft.com/office/drawing/2014/main" xmlns="" id="{00000000-0008-0000-0400-0000A9010000}"/>
            </a:ext>
          </a:extLst>
        </xdr:cNvPr>
        <xdr:cNvSpPr txBox="1"/>
      </xdr:nvSpPr>
      <xdr:spPr>
        <a:xfrm>
          <a:off x="2982058" y="29527500"/>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212481</xdr:colOff>
      <xdr:row>142</xdr:row>
      <xdr:rowOff>102578</xdr:rowOff>
    </xdr:from>
    <xdr:to>
      <xdr:col>8</xdr:col>
      <xdr:colOff>0</xdr:colOff>
      <xdr:row>142</xdr:row>
      <xdr:rowOff>102579</xdr:rowOff>
    </xdr:to>
    <xdr:cxnSp macro="">
      <xdr:nvCxnSpPr>
        <xdr:cNvPr id="426" name="Straight Arrow Connector 425">
          <a:extLst>
            <a:ext uri="{FF2B5EF4-FFF2-40B4-BE49-F238E27FC236}">
              <a16:creationId xmlns:a16="http://schemas.microsoft.com/office/drawing/2014/main" xmlns="" id="{00000000-0008-0000-0400-0000AA010000}"/>
            </a:ext>
          </a:extLst>
        </xdr:cNvPr>
        <xdr:cNvCxnSpPr/>
      </xdr:nvCxnSpPr>
      <xdr:spPr>
        <a:xfrm flipH="1">
          <a:off x="3861289" y="28853424"/>
          <a:ext cx="1003788" cy="1"/>
        </a:xfrm>
        <a:prstGeom prst="straightConnector1">
          <a:avLst/>
        </a:prstGeom>
        <a:ln w="19050">
          <a:solidFill>
            <a:srgbClr val="7030A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593481</xdr:colOff>
      <xdr:row>141</xdr:row>
      <xdr:rowOff>161192</xdr:rowOff>
    </xdr:from>
    <xdr:ext cx="847725" cy="266700"/>
    <xdr:sp macro="" textlink="">
      <xdr:nvSpPr>
        <xdr:cNvPr id="430" name="TextBox 429">
          <a:hlinkClick xmlns:r="http://schemas.openxmlformats.org/officeDocument/2006/relationships" r:id="rId16"/>
          <a:extLst>
            <a:ext uri="{FF2B5EF4-FFF2-40B4-BE49-F238E27FC236}">
              <a16:creationId xmlns:a16="http://schemas.microsoft.com/office/drawing/2014/main" xmlns="" id="{00000000-0008-0000-0400-0000AE010000}"/>
            </a:ext>
          </a:extLst>
        </xdr:cNvPr>
        <xdr:cNvSpPr txBox="1"/>
      </xdr:nvSpPr>
      <xdr:spPr>
        <a:xfrm>
          <a:off x="5458558" y="28721538"/>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FLASH_CLK</a:t>
          </a:r>
        </a:p>
      </xdr:txBody>
    </xdr:sp>
    <xdr:clientData/>
  </xdr:oneCellAnchor>
  <xdr:twoCellAnchor>
    <xdr:from>
      <xdr:col>2</xdr:col>
      <xdr:colOff>197828</xdr:colOff>
      <xdr:row>143</xdr:row>
      <xdr:rowOff>14653</xdr:rowOff>
    </xdr:from>
    <xdr:to>
      <xdr:col>4</xdr:col>
      <xdr:colOff>381001</xdr:colOff>
      <xdr:row>143</xdr:row>
      <xdr:rowOff>14653</xdr:rowOff>
    </xdr:to>
    <xdr:cxnSp macro="">
      <xdr:nvCxnSpPr>
        <xdr:cNvPr id="435" name="Straight Arrow Connector 434">
          <a:extLst>
            <a:ext uri="{FF2B5EF4-FFF2-40B4-BE49-F238E27FC236}">
              <a16:creationId xmlns:a16="http://schemas.microsoft.com/office/drawing/2014/main" xmlns="" id="{00000000-0008-0000-0400-0000B3010000}"/>
            </a:ext>
          </a:extLst>
        </xdr:cNvPr>
        <xdr:cNvCxnSpPr/>
      </xdr:nvCxnSpPr>
      <xdr:spPr>
        <a:xfrm flipH="1">
          <a:off x="1414097" y="28985307"/>
          <a:ext cx="13994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564174</xdr:colOff>
      <xdr:row>23</xdr:row>
      <xdr:rowOff>197827</xdr:rowOff>
    </xdr:from>
    <xdr:ext cx="1152526" cy="1116726"/>
    <xdr:sp macro="" textlink="">
      <xdr:nvSpPr>
        <xdr:cNvPr id="439" name="TextBox 438">
          <a:extLst>
            <a:ext uri="{FF2B5EF4-FFF2-40B4-BE49-F238E27FC236}">
              <a16:creationId xmlns:a16="http://schemas.microsoft.com/office/drawing/2014/main" xmlns="" id="{00000000-0008-0000-0400-0000B7010000}"/>
            </a:ext>
          </a:extLst>
        </xdr:cNvPr>
        <xdr:cNvSpPr txBox="1"/>
      </xdr:nvSpPr>
      <xdr:spPr>
        <a:xfrm>
          <a:off x="2996712" y="4791808"/>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oneCellAnchor>
    <xdr:from>
      <xdr:col>4</xdr:col>
      <xdr:colOff>571500</xdr:colOff>
      <xdr:row>42</xdr:row>
      <xdr:rowOff>205154</xdr:rowOff>
    </xdr:from>
    <xdr:ext cx="1152526" cy="1116726"/>
    <xdr:sp macro="" textlink="">
      <xdr:nvSpPr>
        <xdr:cNvPr id="440" name="TextBox 439">
          <a:extLst>
            <a:ext uri="{FF2B5EF4-FFF2-40B4-BE49-F238E27FC236}">
              <a16:creationId xmlns:a16="http://schemas.microsoft.com/office/drawing/2014/main" xmlns="" id="{00000000-0008-0000-0400-0000B8010000}"/>
            </a:ext>
          </a:extLst>
        </xdr:cNvPr>
        <xdr:cNvSpPr txBox="1"/>
      </xdr:nvSpPr>
      <xdr:spPr>
        <a:xfrm>
          <a:off x="3004038" y="8689731"/>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oneCellAnchor>
    <xdr:from>
      <xdr:col>4</xdr:col>
      <xdr:colOff>571501</xdr:colOff>
      <xdr:row>78</xdr:row>
      <xdr:rowOff>205154</xdr:rowOff>
    </xdr:from>
    <xdr:ext cx="1152526" cy="1116726"/>
    <xdr:sp macro="" textlink="">
      <xdr:nvSpPr>
        <xdr:cNvPr id="441" name="TextBox 440">
          <a:extLst>
            <a:ext uri="{FF2B5EF4-FFF2-40B4-BE49-F238E27FC236}">
              <a16:creationId xmlns:a16="http://schemas.microsoft.com/office/drawing/2014/main" xmlns="" id="{00000000-0008-0000-0400-0000B9010000}"/>
            </a:ext>
          </a:extLst>
        </xdr:cNvPr>
        <xdr:cNvSpPr txBox="1"/>
      </xdr:nvSpPr>
      <xdr:spPr>
        <a:xfrm>
          <a:off x="3004039" y="16082596"/>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oneCellAnchor>
    <xdr:from>
      <xdr:col>4</xdr:col>
      <xdr:colOff>556846</xdr:colOff>
      <xdr:row>96</xdr:row>
      <xdr:rowOff>205154</xdr:rowOff>
    </xdr:from>
    <xdr:ext cx="1152526" cy="1116726"/>
    <xdr:sp macro="" textlink="">
      <xdr:nvSpPr>
        <xdr:cNvPr id="442" name="TextBox 441">
          <a:extLst>
            <a:ext uri="{FF2B5EF4-FFF2-40B4-BE49-F238E27FC236}">
              <a16:creationId xmlns:a16="http://schemas.microsoft.com/office/drawing/2014/main" xmlns="" id="{00000000-0008-0000-0400-0000BA010000}"/>
            </a:ext>
          </a:extLst>
        </xdr:cNvPr>
        <xdr:cNvSpPr txBox="1"/>
      </xdr:nvSpPr>
      <xdr:spPr>
        <a:xfrm>
          <a:off x="2989384" y="19775366"/>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33</xdr:col>
      <xdr:colOff>417635</xdr:colOff>
      <xdr:row>141</xdr:row>
      <xdr:rowOff>14655</xdr:rowOff>
    </xdr:from>
    <xdr:to>
      <xdr:col>35</xdr:col>
      <xdr:colOff>218824</xdr:colOff>
      <xdr:row>145</xdr:row>
      <xdr:rowOff>9496</xdr:rowOff>
    </xdr:to>
    <xdr:sp macro="" textlink="">
      <xdr:nvSpPr>
        <xdr:cNvPr id="443" name="Rectangle 442">
          <a:extLst>
            <a:ext uri="{FF2B5EF4-FFF2-40B4-BE49-F238E27FC236}">
              <a16:creationId xmlns:a16="http://schemas.microsoft.com/office/drawing/2014/main" xmlns="" id="{00000000-0008-0000-0400-0000BB010000}"/>
            </a:ext>
          </a:extLst>
        </xdr:cNvPr>
        <xdr:cNvSpPr/>
      </xdr:nvSpPr>
      <xdr:spPr>
        <a:xfrm>
          <a:off x="20486077" y="28575001"/>
          <a:ext cx="1017459" cy="8008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 Clock</a:t>
          </a:r>
          <a:r>
            <a:rPr lang="en-US" sz="1100" baseline="0"/>
            <a:t> Enable</a:t>
          </a:r>
        </a:p>
        <a:p>
          <a:pPr algn="ctr"/>
          <a:r>
            <a:rPr lang="en-US" sz="900"/>
            <a:t>PCC_ADC0[CGC]</a:t>
          </a:r>
        </a:p>
      </xdr:txBody>
    </xdr:sp>
    <xdr:clientData/>
  </xdr:twoCellAnchor>
  <xdr:oneCellAnchor>
    <xdr:from>
      <xdr:col>33</xdr:col>
      <xdr:colOff>556846</xdr:colOff>
      <xdr:row>146</xdr:row>
      <xdr:rowOff>7327</xdr:rowOff>
    </xdr:from>
    <xdr:ext cx="860534" cy="367862"/>
    <xdr:sp macro="" textlink="">
      <xdr:nvSpPr>
        <xdr:cNvPr id="444" name="TextBox 443">
          <a:extLst>
            <a:ext uri="{FF2B5EF4-FFF2-40B4-BE49-F238E27FC236}">
              <a16:creationId xmlns:a16="http://schemas.microsoft.com/office/drawing/2014/main" xmlns="" id="{00000000-0008-0000-0400-0000BC010000}"/>
            </a:ext>
          </a:extLst>
        </xdr:cNvPr>
        <xdr:cNvSpPr txBox="1"/>
      </xdr:nvSpPr>
      <xdr:spPr>
        <a:xfrm>
          <a:off x="20625288" y="2958611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315059</xdr:colOff>
      <xdr:row>142</xdr:row>
      <xdr:rowOff>212480</xdr:rowOff>
    </xdr:from>
    <xdr:to>
      <xdr:col>33</xdr:col>
      <xdr:colOff>417635</xdr:colOff>
      <xdr:row>143</xdr:row>
      <xdr:rowOff>4749</xdr:rowOff>
    </xdr:to>
    <xdr:cxnSp macro="">
      <xdr:nvCxnSpPr>
        <xdr:cNvPr id="445" name="Straight Arrow Connector 444">
          <a:extLst>
            <a:ext uri="{FF2B5EF4-FFF2-40B4-BE49-F238E27FC236}">
              <a16:creationId xmlns:a16="http://schemas.microsoft.com/office/drawing/2014/main" xmlns="" id="{00000000-0008-0000-0400-0000BD010000}"/>
            </a:ext>
          </a:extLst>
        </xdr:cNvPr>
        <xdr:cNvCxnSpPr>
          <a:endCxn id="443" idx="1"/>
        </xdr:cNvCxnSpPr>
      </xdr:nvCxnSpPr>
      <xdr:spPr>
        <a:xfrm>
          <a:off x="6396405" y="28970653"/>
          <a:ext cx="14089672" cy="475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234461</xdr:colOff>
      <xdr:row>143</xdr:row>
      <xdr:rowOff>190500</xdr:rowOff>
    </xdr:from>
    <xdr:to>
      <xdr:col>41</xdr:col>
      <xdr:colOff>375266</xdr:colOff>
      <xdr:row>143</xdr:row>
      <xdr:rowOff>190500</xdr:rowOff>
    </xdr:to>
    <xdr:cxnSp macro="">
      <xdr:nvCxnSpPr>
        <xdr:cNvPr id="449" name="Straight Arrow Connector 448">
          <a:extLst>
            <a:ext uri="{FF2B5EF4-FFF2-40B4-BE49-F238E27FC236}">
              <a16:creationId xmlns:a16="http://schemas.microsoft.com/office/drawing/2014/main" xmlns="" id="{00000000-0008-0000-0400-0000C1010000}"/>
            </a:ext>
          </a:extLst>
        </xdr:cNvPr>
        <xdr:cNvCxnSpPr/>
      </xdr:nvCxnSpPr>
      <xdr:spPr>
        <a:xfrm>
          <a:off x="21519173" y="29161154"/>
          <a:ext cx="37896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439613</xdr:colOff>
      <xdr:row>148</xdr:row>
      <xdr:rowOff>139211</xdr:rowOff>
    </xdr:from>
    <xdr:to>
      <xdr:col>31</xdr:col>
      <xdr:colOff>240803</xdr:colOff>
      <xdr:row>152</xdr:row>
      <xdr:rowOff>183749</xdr:rowOff>
    </xdr:to>
    <xdr:sp macro="" textlink="">
      <xdr:nvSpPr>
        <xdr:cNvPr id="450" name="Rectangle 449">
          <a:extLst>
            <a:ext uri="{FF2B5EF4-FFF2-40B4-BE49-F238E27FC236}">
              <a16:creationId xmlns:a16="http://schemas.microsoft.com/office/drawing/2014/main" xmlns="" id="{00000000-0008-0000-0400-0000C2010000}"/>
            </a:ext>
          </a:extLst>
        </xdr:cNvPr>
        <xdr:cNvSpPr/>
      </xdr:nvSpPr>
      <xdr:spPr>
        <a:xfrm>
          <a:off x="18075517" y="30135634"/>
          <a:ext cx="1017459" cy="8431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r>
            <a:rPr lang="en-US" sz="1100" baseline="0"/>
            <a:t> Per. Clk. Select</a:t>
          </a:r>
        </a:p>
        <a:p>
          <a:pPr algn="ctr"/>
          <a:r>
            <a:rPr lang="en-US" sz="900"/>
            <a:t>PCC_ADC0[PCS]</a:t>
          </a:r>
        </a:p>
      </xdr:txBody>
    </xdr:sp>
    <xdr:clientData/>
  </xdr:twoCellAnchor>
  <xdr:twoCellAnchor>
    <xdr:from>
      <xdr:col>41</xdr:col>
      <xdr:colOff>337039</xdr:colOff>
      <xdr:row>143</xdr:row>
      <xdr:rowOff>36634</xdr:rowOff>
    </xdr:from>
    <xdr:to>
      <xdr:col>43</xdr:col>
      <xdr:colOff>160136</xdr:colOff>
      <xdr:row>147</xdr:row>
      <xdr:rowOff>183049</xdr:rowOff>
    </xdr:to>
    <xdr:grpSp>
      <xdr:nvGrpSpPr>
        <xdr:cNvPr id="452" name="Group 451">
          <a:extLst>
            <a:ext uri="{FF2B5EF4-FFF2-40B4-BE49-F238E27FC236}">
              <a16:creationId xmlns:a16="http://schemas.microsoft.com/office/drawing/2014/main" xmlns="" id="{00000000-0008-0000-0400-0000C4010000}"/>
            </a:ext>
          </a:extLst>
        </xdr:cNvPr>
        <xdr:cNvGrpSpPr/>
      </xdr:nvGrpSpPr>
      <xdr:grpSpPr>
        <a:xfrm>
          <a:off x="26433298" y="27316234"/>
          <a:ext cx="1096085" cy="926344"/>
          <a:chOff x="25270558" y="29007288"/>
          <a:chExt cx="1039366" cy="981684"/>
        </a:xfrm>
      </xdr:grpSpPr>
      <xdr:grpSp>
        <xdr:nvGrpSpPr>
          <xdr:cNvPr id="436" name="Group 435">
            <a:extLst>
              <a:ext uri="{FF2B5EF4-FFF2-40B4-BE49-F238E27FC236}">
                <a16:creationId xmlns:a16="http://schemas.microsoft.com/office/drawing/2014/main" xmlns="" id="{00000000-0008-0000-0400-0000B4010000}"/>
              </a:ext>
            </a:extLst>
          </xdr:cNvPr>
          <xdr:cNvGrpSpPr/>
        </xdr:nvGrpSpPr>
        <xdr:grpSpPr>
          <a:xfrm>
            <a:off x="25270558" y="29007288"/>
            <a:ext cx="1039366" cy="981076"/>
            <a:chOff x="588526" y="190500"/>
            <a:chExt cx="1036410" cy="734695"/>
          </a:xfrm>
        </xdr:grpSpPr>
        <xdr:sp macro="" textlink="">
          <xdr:nvSpPr>
            <xdr:cNvPr id="437" name="Rectangle 436">
              <a:extLst>
                <a:ext uri="{FF2B5EF4-FFF2-40B4-BE49-F238E27FC236}">
                  <a16:creationId xmlns:a16="http://schemas.microsoft.com/office/drawing/2014/main" xmlns="" id="{00000000-0008-0000-0400-0000B5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p>
          </xdr:txBody>
        </xdr:sp>
        <xdr:sp macro="" textlink="">
          <xdr:nvSpPr>
            <xdr:cNvPr id="438" name="TextBox 437">
              <a:extLst>
                <a:ext uri="{FF2B5EF4-FFF2-40B4-BE49-F238E27FC236}">
                  <a16:creationId xmlns:a16="http://schemas.microsoft.com/office/drawing/2014/main" xmlns="" id="{00000000-0008-0000-0400-0000B601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451" name="TextBox 450">
            <a:extLst>
              <a:ext uri="{FF2B5EF4-FFF2-40B4-BE49-F238E27FC236}">
                <a16:creationId xmlns:a16="http://schemas.microsoft.com/office/drawing/2014/main" xmlns="" id="{00000000-0008-0000-0400-0000C301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Conversion Clock</a:t>
            </a:r>
          </a:p>
        </xdr:txBody>
      </xdr:sp>
    </xdr:grpSp>
    <xdr:clientData/>
  </xdr:twoCellAnchor>
  <xdr:oneCellAnchor>
    <xdr:from>
      <xdr:col>29</xdr:col>
      <xdr:colOff>564170</xdr:colOff>
      <xdr:row>153</xdr:row>
      <xdr:rowOff>205155</xdr:rowOff>
    </xdr:from>
    <xdr:ext cx="1152526" cy="1116726"/>
    <xdr:sp macro="" textlink="">
      <xdr:nvSpPr>
        <xdr:cNvPr id="453" name="TextBox 452">
          <a:extLst>
            <a:ext uri="{FF2B5EF4-FFF2-40B4-BE49-F238E27FC236}">
              <a16:creationId xmlns:a16="http://schemas.microsoft.com/office/drawing/2014/main" xmlns="" id="{00000000-0008-0000-0400-0000C5010000}"/>
            </a:ext>
          </a:extLst>
        </xdr:cNvPr>
        <xdr:cNvSpPr txBox="1"/>
      </xdr:nvSpPr>
      <xdr:spPr>
        <a:xfrm>
          <a:off x="18200074" y="31198040"/>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28</xdr:col>
      <xdr:colOff>315058</xdr:colOff>
      <xdr:row>149</xdr:row>
      <xdr:rowOff>95250</xdr:rowOff>
    </xdr:from>
    <xdr:to>
      <xdr:col>29</xdr:col>
      <xdr:colOff>454269</xdr:colOff>
      <xdr:row>149</xdr:row>
      <xdr:rowOff>95250</xdr:rowOff>
    </xdr:to>
    <xdr:cxnSp macro="">
      <xdr:nvCxnSpPr>
        <xdr:cNvPr id="454" name="Straight Arrow Connector 453">
          <a:extLst>
            <a:ext uri="{FF2B5EF4-FFF2-40B4-BE49-F238E27FC236}">
              <a16:creationId xmlns:a16="http://schemas.microsoft.com/office/drawing/2014/main" xmlns="" id="{00000000-0008-0000-0400-0000C6010000}"/>
            </a:ext>
          </a:extLst>
        </xdr:cNvPr>
        <xdr:cNvCxnSpPr/>
      </xdr:nvCxnSpPr>
      <xdr:spPr>
        <a:xfrm>
          <a:off x="17342827" y="30282173"/>
          <a:ext cx="747346"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319100</xdr:colOff>
      <xdr:row>150</xdr:row>
      <xdr:rowOff>65942</xdr:rowOff>
    </xdr:from>
    <xdr:to>
      <xdr:col>29</xdr:col>
      <xdr:colOff>432288</xdr:colOff>
      <xdr:row>150</xdr:row>
      <xdr:rowOff>65942</xdr:rowOff>
    </xdr:to>
    <xdr:cxnSp macro="">
      <xdr:nvCxnSpPr>
        <xdr:cNvPr id="457" name="Straight Arrow Connector 456">
          <a:extLst>
            <a:ext uri="{FF2B5EF4-FFF2-40B4-BE49-F238E27FC236}">
              <a16:creationId xmlns:a16="http://schemas.microsoft.com/office/drawing/2014/main" xmlns="" id="{00000000-0008-0000-0400-0000C9010000}"/>
            </a:ext>
          </a:extLst>
        </xdr:cNvPr>
        <xdr:cNvCxnSpPr/>
      </xdr:nvCxnSpPr>
      <xdr:spPr>
        <a:xfrm>
          <a:off x="14914331" y="30450692"/>
          <a:ext cx="3153861"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297877</xdr:colOff>
      <xdr:row>151</xdr:row>
      <xdr:rowOff>36635</xdr:rowOff>
    </xdr:from>
    <xdr:to>
      <xdr:col>29</xdr:col>
      <xdr:colOff>417634</xdr:colOff>
      <xdr:row>151</xdr:row>
      <xdr:rowOff>36635</xdr:rowOff>
    </xdr:to>
    <xdr:cxnSp macro="">
      <xdr:nvCxnSpPr>
        <xdr:cNvPr id="467" name="Straight Arrow Connector 466">
          <a:extLst>
            <a:ext uri="{FF2B5EF4-FFF2-40B4-BE49-F238E27FC236}">
              <a16:creationId xmlns:a16="http://schemas.microsoft.com/office/drawing/2014/main" xmlns="" id="{00000000-0008-0000-0400-0000D3010000}"/>
            </a:ext>
          </a:extLst>
        </xdr:cNvPr>
        <xdr:cNvCxnSpPr/>
      </xdr:nvCxnSpPr>
      <xdr:spPr>
        <a:xfrm>
          <a:off x="12460569" y="30633866"/>
          <a:ext cx="5592969"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327940</xdr:colOff>
      <xdr:row>152</xdr:row>
      <xdr:rowOff>21980</xdr:rowOff>
    </xdr:from>
    <xdr:to>
      <xdr:col>29</xdr:col>
      <xdr:colOff>432288</xdr:colOff>
      <xdr:row>152</xdr:row>
      <xdr:rowOff>21980</xdr:rowOff>
    </xdr:to>
    <xdr:cxnSp macro="">
      <xdr:nvCxnSpPr>
        <xdr:cNvPr id="480" name="Straight Arrow Connector 479">
          <a:extLst>
            <a:ext uri="{FF2B5EF4-FFF2-40B4-BE49-F238E27FC236}">
              <a16:creationId xmlns:a16="http://schemas.microsoft.com/office/drawing/2014/main" xmlns="" id="{00000000-0008-0000-0400-0000E0010000}"/>
            </a:ext>
          </a:extLst>
        </xdr:cNvPr>
        <xdr:cNvCxnSpPr/>
      </xdr:nvCxnSpPr>
      <xdr:spPr>
        <a:xfrm>
          <a:off x="10058094" y="30817038"/>
          <a:ext cx="801009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271091</xdr:colOff>
      <xdr:row>151</xdr:row>
      <xdr:rowOff>21981</xdr:rowOff>
    </xdr:from>
    <xdr:to>
      <xdr:col>33</xdr:col>
      <xdr:colOff>359020</xdr:colOff>
      <xdr:row>151</xdr:row>
      <xdr:rowOff>21981</xdr:rowOff>
    </xdr:to>
    <xdr:cxnSp macro="">
      <xdr:nvCxnSpPr>
        <xdr:cNvPr id="486" name="Straight Arrow Connector 485">
          <a:extLst>
            <a:ext uri="{FF2B5EF4-FFF2-40B4-BE49-F238E27FC236}">
              <a16:creationId xmlns:a16="http://schemas.microsoft.com/office/drawing/2014/main" xmlns="" id="{00000000-0008-0000-0400-0000E6010000}"/>
            </a:ext>
          </a:extLst>
        </xdr:cNvPr>
        <xdr:cNvCxnSpPr/>
      </xdr:nvCxnSpPr>
      <xdr:spPr>
        <a:xfrm>
          <a:off x="19123264" y="30619212"/>
          <a:ext cx="130419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388327</xdr:colOff>
      <xdr:row>148</xdr:row>
      <xdr:rowOff>131885</xdr:rowOff>
    </xdr:from>
    <xdr:to>
      <xdr:col>35</xdr:col>
      <xdr:colOff>189516</xdr:colOff>
      <xdr:row>152</xdr:row>
      <xdr:rowOff>176423</xdr:rowOff>
    </xdr:to>
    <xdr:sp macro="" textlink="">
      <xdr:nvSpPr>
        <xdr:cNvPr id="522" name="Rectangle 521">
          <a:extLst>
            <a:ext uri="{FF2B5EF4-FFF2-40B4-BE49-F238E27FC236}">
              <a16:creationId xmlns:a16="http://schemas.microsoft.com/office/drawing/2014/main" xmlns="" id="{00000000-0008-0000-0400-00000A020000}"/>
            </a:ext>
          </a:extLst>
        </xdr:cNvPr>
        <xdr:cNvSpPr/>
      </xdr:nvSpPr>
      <xdr:spPr>
        <a:xfrm>
          <a:off x="20456769" y="30128308"/>
          <a:ext cx="1017459" cy="8431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r>
            <a:rPr lang="en-US" sz="1100" baseline="0"/>
            <a:t> Alt. Clk. Select</a:t>
          </a:r>
        </a:p>
        <a:p>
          <a:pPr algn="ctr"/>
          <a:r>
            <a:rPr lang="en-US" sz="900"/>
            <a:t>ADC0_CFG1[ADICLK]</a:t>
          </a:r>
        </a:p>
      </xdr:txBody>
    </xdr:sp>
    <xdr:clientData/>
  </xdr:twoCellAnchor>
  <xdr:oneCellAnchor>
    <xdr:from>
      <xdr:col>31</xdr:col>
      <xdr:colOff>505553</xdr:colOff>
      <xdr:row>148</xdr:row>
      <xdr:rowOff>168519</xdr:rowOff>
    </xdr:from>
    <xdr:ext cx="847725" cy="266700"/>
    <xdr:sp macro="" textlink="">
      <xdr:nvSpPr>
        <xdr:cNvPr id="524" name="TextBox 523">
          <a:extLst>
            <a:ext uri="{FF2B5EF4-FFF2-40B4-BE49-F238E27FC236}">
              <a16:creationId xmlns:a16="http://schemas.microsoft.com/office/drawing/2014/main" xmlns="" id="{00000000-0008-0000-0400-00000C020000}"/>
            </a:ext>
          </a:extLst>
        </xdr:cNvPr>
        <xdr:cNvSpPr txBox="1"/>
      </xdr:nvSpPr>
      <xdr:spPr>
        <a:xfrm>
          <a:off x="19357726" y="30164942"/>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ALTCLK1</a:t>
          </a:r>
        </a:p>
      </xdr:txBody>
    </xdr:sp>
    <xdr:clientData/>
  </xdr:oneCellAnchor>
  <xdr:oneCellAnchor>
    <xdr:from>
      <xdr:col>33</xdr:col>
      <xdr:colOff>549517</xdr:colOff>
      <xdr:row>153</xdr:row>
      <xdr:rowOff>205152</xdr:rowOff>
    </xdr:from>
    <xdr:ext cx="1524001" cy="674077"/>
    <xdr:sp macro="" textlink="">
      <xdr:nvSpPr>
        <xdr:cNvPr id="531" name="TextBox 530">
          <a:extLst>
            <a:ext uri="{FF2B5EF4-FFF2-40B4-BE49-F238E27FC236}">
              <a16:creationId xmlns:a16="http://schemas.microsoft.com/office/drawing/2014/main" xmlns="" id="{00000000-0008-0000-0400-000013020000}"/>
            </a:ext>
          </a:extLst>
        </xdr:cNvPr>
        <xdr:cNvSpPr txBox="1"/>
      </xdr:nvSpPr>
      <xdr:spPr>
        <a:xfrm>
          <a:off x="20617959" y="31198037"/>
          <a:ext cx="1524001" cy="6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ALTCLK1</a:t>
          </a:r>
        </a:p>
        <a:p>
          <a:r>
            <a:rPr lang="en-US" sz="800"/>
            <a:t>1 - ALTCLK2</a:t>
          </a:r>
          <a:r>
            <a:rPr lang="en-US" sz="800" baseline="0"/>
            <a:t> (not connected)</a:t>
          </a:r>
        </a:p>
        <a:p>
          <a:r>
            <a:rPr lang="en-US" sz="800"/>
            <a:t>2 - ALTCLK3 (not connected)</a:t>
          </a:r>
        </a:p>
        <a:p>
          <a:r>
            <a:rPr lang="en-US" sz="800"/>
            <a:t>3</a:t>
          </a:r>
          <a:r>
            <a:rPr lang="en-US" sz="800" baseline="0"/>
            <a:t> - ALTCLK4 (not connected)</a:t>
          </a:r>
          <a:endParaRPr lang="en-US" sz="800"/>
        </a:p>
      </xdr:txBody>
    </xdr:sp>
    <xdr:clientData/>
  </xdr:oneCellAnchor>
  <xdr:twoCellAnchor>
    <xdr:from>
      <xdr:col>35</xdr:col>
      <xdr:colOff>205152</xdr:colOff>
      <xdr:row>151</xdr:row>
      <xdr:rowOff>7327</xdr:rowOff>
    </xdr:from>
    <xdr:to>
      <xdr:col>37</xdr:col>
      <xdr:colOff>373675</xdr:colOff>
      <xdr:row>151</xdr:row>
      <xdr:rowOff>7327</xdr:rowOff>
    </xdr:to>
    <xdr:cxnSp macro="">
      <xdr:nvCxnSpPr>
        <xdr:cNvPr id="532" name="Straight Arrow Connector 531">
          <a:extLst>
            <a:ext uri="{FF2B5EF4-FFF2-40B4-BE49-F238E27FC236}">
              <a16:creationId xmlns:a16="http://schemas.microsoft.com/office/drawing/2014/main" xmlns="" id="{00000000-0008-0000-0400-000014020000}"/>
            </a:ext>
          </a:extLst>
        </xdr:cNvPr>
        <xdr:cNvCxnSpPr/>
      </xdr:nvCxnSpPr>
      <xdr:spPr>
        <a:xfrm>
          <a:off x="21489864" y="30604558"/>
          <a:ext cx="138479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381000</xdr:colOff>
      <xdr:row>148</xdr:row>
      <xdr:rowOff>131885</xdr:rowOff>
    </xdr:from>
    <xdr:to>
      <xdr:col>39</xdr:col>
      <xdr:colOff>182190</xdr:colOff>
      <xdr:row>152</xdr:row>
      <xdr:rowOff>176423</xdr:rowOff>
    </xdr:to>
    <xdr:sp macro="" textlink="">
      <xdr:nvSpPr>
        <xdr:cNvPr id="558" name="Rectangle 557">
          <a:extLst>
            <a:ext uri="{FF2B5EF4-FFF2-40B4-BE49-F238E27FC236}">
              <a16:creationId xmlns:a16="http://schemas.microsoft.com/office/drawing/2014/main" xmlns="" id="{00000000-0008-0000-0400-00002E020000}"/>
            </a:ext>
          </a:extLst>
        </xdr:cNvPr>
        <xdr:cNvSpPr/>
      </xdr:nvSpPr>
      <xdr:spPr>
        <a:xfrm>
          <a:off x="22881981" y="30128308"/>
          <a:ext cx="1017459" cy="8431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r>
            <a:rPr lang="en-US" sz="1100" baseline="0"/>
            <a:t> Clock Divider</a:t>
          </a:r>
        </a:p>
        <a:p>
          <a:pPr algn="ctr"/>
          <a:r>
            <a:rPr lang="en-US" sz="900"/>
            <a:t>ADC0_CFG1[ADIV]</a:t>
          </a:r>
        </a:p>
      </xdr:txBody>
    </xdr:sp>
    <xdr:clientData/>
  </xdr:twoCellAnchor>
  <xdr:oneCellAnchor>
    <xdr:from>
      <xdr:col>37</xdr:col>
      <xdr:colOff>562705</xdr:colOff>
      <xdr:row>153</xdr:row>
      <xdr:rowOff>211014</xdr:rowOff>
    </xdr:from>
    <xdr:ext cx="1524001" cy="674077"/>
    <xdr:sp macro="" textlink="">
      <xdr:nvSpPr>
        <xdr:cNvPr id="559" name="TextBox 558">
          <a:extLst>
            <a:ext uri="{FF2B5EF4-FFF2-40B4-BE49-F238E27FC236}">
              <a16:creationId xmlns:a16="http://schemas.microsoft.com/office/drawing/2014/main" xmlns="" id="{00000000-0008-0000-0400-00002F020000}"/>
            </a:ext>
          </a:extLst>
        </xdr:cNvPr>
        <xdr:cNvSpPr txBox="1"/>
      </xdr:nvSpPr>
      <xdr:spPr>
        <a:xfrm>
          <a:off x="23063686" y="31203899"/>
          <a:ext cx="1524001" cy="6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 by 2</a:t>
          </a:r>
          <a:endParaRPr lang="en-US" sz="800" baseline="0"/>
        </a:p>
        <a:p>
          <a:r>
            <a:rPr lang="en-US" sz="800"/>
            <a:t>2 - Divide by 4</a:t>
          </a:r>
        </a:p>
        <a:p>
          <a:r>
            <a:rPr lang="en-US" sz="800"/>
            <a:t>3</a:t>
          </a:r>
          <a:r>
            <a:rPr lang="en-US" sz="800" baseline="0"/>
            <a:t> - Divide by 8</a:t>
          </a:r>
          <a:endParaRPr lang="en-US" sz="800"/>
        </a:p>
      </xdr:txBody>
    </xdr:sp>
    <xdr:clientData/>
  </xdr:oneCellAnchor>
  <xdr:twoCellAnchor>
    <xdr:from>
      <xdr:col>41</xdr:col>
      <xdr:colOff>43962</xdr:colOff>
      <xdr:row>147</xdr:row>
      <xdr:rowOff>51289</xdr:rowOff>
    </xdr:from>
    <xdr:to>
      <xdr:col>41</xdr:col>
      <xdr:colOff>359024</xdr:colOff>
      <xdr:row>147</xdr:row>
      <xdr:rowOff>51289</xdr:rowOff>
    </xdr:to>
    <xdr:cxnSp macro="">
      <xdr:nvCxnSpPr>
        <xdr:cNvPr id="560" name="Straight Arrow Connector 559">
          <a:extLst>
            <a:ext uri="{FF2B5EF4-FFF2-40B4-BE49-F238E27FC236}">
              <a16:creationId xmlns:a16="http://schemas.microsoft.com/office/drawing/2014/main" xmlns="" id="{00000000-0008-0000-0400-000030020000}"/>
            </a:ext>
          </a:extLst>
        </xdr:cNvPr>
        <xdr:cNvCxnSpPr/>
      </xdr:nvCxnSpPr>
      <xdr:spPr>
        <a:xfrm>
          <a:off x="24977481" y="29857212"/>
          <a:ext cx="3150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197827</xdr:colOff>
      <xdr:row>151</xdr:row>
      <xdr:rowOff>7327</xdr:rowOff>
    </xdr:from>
    <xdr:to>
      <xdr:col>41</xdr:col>
      <xdr:colOff>29308</xdr:colOff>
      <xdr:row>151</xdr:row>
      <xdr:rowOff>7327</xdr:rowOff>
    </xdr:to>
    <xdr:cxnSp macro="">
      <xdr:nvCxnSpPr>
        <xdr:cNvPr id="563" name="Straight Arrow Connector 562">
          <a:extLst>
            <a:ext uri="{FF2B5EF4-FFF2-40B4-BE49-F238E27FC236}">
              <a16:creationId xmlns:a16="http://schemas.microsoft.com/office/drawing/2014/main" xmlns="" id="{00000000-0008-0000-0400-000033020000}"/>
            </a:ext>
          </a:extLst>
        </xdr:cNvPr>
        <xdr:cNvCxnSpPr/>
      </xdr:nvCxnSpPr>
      <xdr:spPr>
        <a:xfrm>
          <a:off x="23915077" y="30604558"/>
          <a:ext cx="104775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43961</xdr:colOff>
      <xdr:row>147</xdr:row>
      <xdr:rowOff>51290</xdr:rowOff>
    </xdr:from>
    <xdr:to>
      <xdr:col>41</xdr:col>
      <xdr:colOff>43961</xdr:colOff>
      <xdr:row>151</xdr:row>
      <xdr:rowOff>14654</xdr:rowOff>
    </xdr:to>
    <xdr:cxnSp macro="">
      <xdr:nvCxnSpPr>
        <xdr:cNvPr id="566" name="Straight Arrow Connector 565">
          <a:extLst>
            <a:ext uri="{FF2B5EF4-FFF2-40B4-BE49-F238E27FC236}">
              <a16:creationId xmlns:a16="http://schemas.microsoft.com/office/drawing/2014/main" xmlns="" id="{00000000-0008-0000-0400-000036020000}"/>
            </a:ext>
          </a:extLst>
        </xdr:cNvPr>
        <xdr:cNvCxnSpPr/>
      </xdr:nvCxnSpPr>
      <xdr:spPr>
        <a:xfrm flipV="1">
          <a:off x="24977480" y="29857213"/>
          <a:ext cx="0" cy="75467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430980</xdr:colOff>
      <xdr:row>165</xdr:row>
      <xdr:rowOff>15138</xdr:rowOff>
    </xdr:from>
    <xdr:to>
      <xdr:col>51</xdr:col>
      <xdr:colOff>254076</xdr:colOff>
      <xdr:row>170</xdr:row>
      <xdr:rowOff>28461</xdr:rowOff>
    </xdr:to>
    <xdr:grpSp>
      <xdr:nvGrpSpPr>
        <xdr:cNvPr id="589" name="Group 588">
          <a:extLst>
            <a:ext uri="{FF2B5EF4-FFF2-40B4-BE49-F238E27FC236}">
              <a16:creationId xmlns:a16="http://schemas.microsoft.com/office/drawing/2014/main" xmlns="" id="{00000000-0008-0000-0400-00004D020000}"/>
            </a:ext>
          </a:extLst>
        </xdr:cNvPr>
        <xdr:cNvGrpSpPr/>
      </xdr:nvGrpSpPr>
      <xdr:grpSpPr>
        <a:xfrm>
          <a:off x="31619192" y="31436432"/>
          <a:ext cx="1096084" cy="990476"/>
          <a:chOff x="25270558" y="29007288"/>
          <a:chExt cx="1039366" cy="981684"/>
        </a:xfrm>
      </xdr:grpSpPr>
      <xdr:grpSp>
        <xdr:nvGrpSpPr>
          <xdr:cNvPr id="590" name="Group 589">
            <a:extLst>
              <a:ext uri="{FF2B5EF4-FFF2-40B4-BE49-F238E27FC236}">
                <a16:creationId xmlns:a16="http://schemas.microsoft.com/office/drawing/2014/main" xmlns="" id="{00000000-0008-0000-0400-00004E020000}"/>
              </a:ext>
            </a:extLst>
          </xdr:cNvPr>
          <xdr:cNvGrpSpPr/>
        </xdr:nvGrpSpPr>
        <xdr:grpSpPr>
          <a:xfrm>
            <a:off x="25270558" y="29007288"/>
            <a:ext cx="1039366" cy="981076"/>
            <a:chOff x="588526" y="190500"/>
            <a:chExt cx="1036410" cy="734695"/>
          </a:xfrm>
        </xdr:grpSpPr>
        <xdr:sp macro="" textlink="">
          <xdr:nvSpPr>
            <xdr:cNvPr id="592" name="Rectangle 591">
              <a:extLst>
                <a:ext uri="{FF2B5EF4-FFF2-40B4-BE49-F238E27FC236}">
                  <a16:creationId xmlns:a16="http://schemas.microsoft.com/office/drawing/2014/main" xmlns="" id="{00000000-0008-0000-0400-000050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FTM0</a:t>
              </a:r>
            </a:p>
          </xdr:txBody>
        </xdr:sp>
        <xdr:sp macro="" textlink="">
          <xdr:nvSpPr>
            <xdr:cNvPr id="593" name="TextBox 592">
              <a:extLst>
                <a:ext uri="{FF2B5EF4-FFF2-40B4-BE49-F238E27FC236}">
                  <a16:creationId xmlns:a16="http://schemas.microsoft.com/office/drawing/2014/main" xmlns="" id="{00000000-0008-0000-0400-000051020000}"/>
                </a:ext>
              </a:extLst>
            </xdr:cNvPr>
            <xdr:cNvSpPr txBox="1"/>
          </xdr:nvSpPr>
          <xdr:spPr>
            <a:xfrm>
              <a:off x="588526" y="208941"/>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591" name="TextBox 590">
            <a:extLst>
              <a:ext uri="{FF2B5EF4-FFF2-40B4-BE49-F238E27FC236}">
                <a16:creationId xmlns:a16="http://schemas.microsoft.com/office/drawing/2014/main" xmlns="" id="{00000000-0008-0000-0400-00004F02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298173</xdr:colOff>
      <xdr:row>165</xdr:row>
      <xdr:rowOff>91109</xdr:rowOff>
    </xdr:from>
    <xdr:to>
      <xdr:col>33</xdr:col>
      <xdr:colOff>389283</xdr:colOff>
      <xdr:row>165</xdr:row>
      <xdr:rowOff>91109</xdr:rowOff>
    </xdr:to>
    <xdr:cxnSp macro="">
      <xdr:nvCxnSpPr>
        <xdr:cNvPr id="594" name="Straight Arrow Connector 593">
          <a:extLst>
            <a:ext uri="{FF2B5EF4-FFF2-40B4-BE49-F238E27FC236}">
              <a16:creationId xmlns:a16="http://schemas.microsoft.com/office/drawing/2014/main" xmlns="" id="{00000000-0008-0000-0400-000052020000}"/>
            </a:ext>
          </a:extLst>
        </xdr:cNvPr>
        <xdr:cNvCxnSpPr/>
      </xdr:nvCxnSpPr>
      <xdr:spPr>
        <a:xfrm>
          <a:off x="7653130" y="33047609"/>
          <a:ext cx="1296228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389283</xdr:colOff>
      <xdr:row>163</xdr:row>
      <xdr:rowOff>124239</xdr:rowOff>
    </xdr:from>
    <xdr:to>
      <xdr:col>35</xdr:col>
      <xdr:colOff>190472</xdr:colOff>
      <xdr:row>167</xdr:row>
      <xdr:rowOff>177058</xdr:rowOff>
    </xdr:to>
    <xdr:sp macro="" textlink="">
      <xdr:nvSpPr>
        <xdr:cNvPr id="596" name="Rectangle 595">
          <a:extLst>
            <a:ext uri="{FF2B5EF4-FFF2-40B4-BE49-F238E27FC236}">
              <a16:creationId xmlns:a16="http://schemas.microsoft.com/office/drawing/2014/main" xmlns="" id="{00000000-0008-0000-0400-000054020000}"/>
            </a:ext>
          </a:extLst>
        </xdr:cNvPr>
        <xdr:cNvSpPr/>
      </xdr:nvSpPr>
      <xdr:spPr>
        <a:xfrm>
          <a:off x="20615413" y="32699739"/>
          <a:ext cx="1027016" cy="8148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FTM0 Clock</a:t>
          </a:r>
          <a:r>
            <a:rPr lang="en-US" sz="1100" baseline="0"/>
            <a:t> Enable</a:t>
          </a:r>
        </a:p>
        <a:p>
          <a:pPr algn="ctr"/>
          <a:r>
            <a:rPr lang="en-US" sz="900"/>
            <a:t>PCC_FTM0[CGC]</a:t>
          </a:r>
        </a:p>
      </xdr:txBody>
    </xdr:sp>
    <xdr:clientData/>
  </xdr:twoCellAnchor>
  <xdr:oneCellAnchor>
    <xdr:from>
      <xdr:col>33</xdr:col>
      <xdr:colOff>563217</xdr:colOff>
      <xdr:row>168</xdr:row>
      <xdr:rowOff>198782</xdr:rowOff>
    </xdr:from>
    <xdr:ext cx="860534" cy="367862"/>
    <xdr:sp macro="" textlink="">
      <xdr:nvSpPr>
        <xdr:cNvPr id="597" name="TextBox 596">
          <a:extLst>
            <a:ext uri="{FF2B5EF4-FFF2-40B4-BE49-F238E27FC236}">
              <a16:creationId xmlns:a16="http://schemas.microsoft.com/office/drawing/2014/main" xmlns="" id="{00000000-0008-0000-0400-000055020000}"/>
            </a:ext>
          </a:extLst>
        </xdr:cNvPr>
        <xdr:cNvSpPr txBox="1"/>
      </xdr:nvSpPr>
      <xdr:spPr>
        <a:xfrm>
          <a:off x="20789347" y="3373506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190500</xdr:colOff>
      <xdr:row>165</xdr:row>
      <xdr:rowOff>182217</xdr:rowOff>
    </xdr:from>
    <xdr:to>
      <xdr:col>49</xdr:col>
      <xdr:colOff>438978</xdr:colOff>
      <xdr:row>165</xdr:row>
      <xdr:rowOff>182217</xdr:rowOff>
    </xdr:to>
    <xdr:cxnSp macro="">
      <xdr:nvCxnSpPr>
        <xdr:cNvPr id="598" name="Straight Arrow Connector 597">
          <a:extLst>
            <a:ext uri="{FF2B5EF4-FFF2-40B4-BE49-F238E27FC236}">
              <a16:creationId xmlns:a16="http://schemas.microsoft.com/office/drawing/2014/main" xmlns="" id="{00000000-0008-0000-0400-000056020000}"/>
            </a:ext>
          </a:extLst>
        </xdr:cNvPr>
        <xdr:cNvCxnSpPr/>
      </xdr:nvCxnSpPr>
      <xdr:spPr>
        <a:xfrm>
          <a:off x="21642457" y="33362347"/>
          <a:ext cx="88292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397565</xdr:colOff>
      <xdr:row>170</xdr:row>
      <xdr:rowOff>107674</xdr:rowOff>
    </xdr:from>
    <xdr:to>
      <xdr:col>43</xdr:col>
      <xdr:colOff>198755</xdr:colOff>
      <xdr:row>174</xdr:row>
      <xdr:rowOff>185343</xdr:rowOff>
    </xdr:to>
    <xdr:sp macro="" textlink="">
      <xdr:nvSpPr>
        <xdr:cNvPr id="600" name="Rectangle 599">
          <a:extLst>
            <a:ext uri="{FF2B5EF4-FFF2-40B4-BE49-F238E27FC236}">
              <a16:creationId xmlns:a16="http://schemas.microsoft.com/office/drawing/2014/main" xmlns="" id="{00000000-0008-0000-0400-000058020000}"/>
            </a:ext>
          </a:extLst>
        </xdr:cNvPr>
        <xdr:cNvSpPr/>
      </xdr:nvSpPr>
      <xdr:spPr>
        <a:xfrm>
          <a:off x="25527000" y="34082935"/>
          <a:ext cx="1027016" cy="8396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FTM0 Clock Select</a:t>
          </a:r>
        </a:p>
        <a:p>
          <a:pPr algn="ctr"/>
          <a:r>
            <a:rPr lang="en-US" sz="900"/>
            <a:t>FTM0_SC[CLKS]</a:t>
          </a:r>
        </a:p>
      </xdr:txBody>
    </xdr:sp>
    <xdr:clientData/>
  </xdr:twoCellAnchor>
  <xdr:oneCellAnchor>
    <xdr:from>
      <xdr:col>36</xdr:col>
      <xdr:colOff>372717</xdr:colOff>
      <xdr:row>163</xdr:row>
      <xdr:rowOff>124239</xdr:rowOff>
    </xdr:from>
    <xdr:ext cx="1209261" cy="266700"/>
    <xdr:sp macro="" textlink="">
      <xdr:nvSpPr>
        <xdr:cNvPr id="601" name="TextBox 600">
          <a:extLst>
            <a:ext uri="{FF2B5EF4-FFF2-40B4-BE49-F238E27FC236}">
              <a16:creationId xmlns:a16="http://schemas.microsoft.com/office/drawing/2014/main" xmlns="" id="{00000000-0008-0000-0400-000059020000}"/>
            </a:ext>
          </a:extLst>
        </xdr:cNvPr>
        <xdr:cNvSpPr txBox="1"/>
      </xdr:nvSpPr>
      <xdr:spPr>
        <a:xfrm>
          <a:off x="22437587" y="32699739"/>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oneCellAnchor>
    <xdr:from>
      <xdr:col>41</xdr:col>
      <xdr:colOff>554934</xdr:colOff>
      <xdr:row>176</xdr:row>
      <xdr:rowOff>0</xdr:rowOff>
    </xdr:from>
    <xdr:ext cx="1192695" cy="637762"/>
    <xdr:sp macro="" textlink="">
      <xdr:nvSpPr>
        <xdr:cNvPr id="602" name="TextBox 601">
          <a:extLst>
            <a:ext uri="{FF2B5EF4-FFF2-40B4-BE49-F238E27FC236}">
              <a16:creationId xmlns:a16="http://schemas.microsoft.com/office/drawing/2014/main" xmlns="" id="{00000000-0008-0000-0400-00005A020000}"/>
            </a:ext>
          </a:extLst>
        </xdr:cNvPr>
        <xdr:cNvSpPr txBox="1"/>
      </xdr:nvSpPr>
      <xdr:spPr>
        <a:xfrm>
          <a:off x="25684369" y="35143109"/>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198782</xdr:colOff>
      <xdr:row>171</xdr:row>
      <xdr:rowOff>24847</xdr:rowOff>
    </xdr:from>
    <xdr:to>
      <xdr:col>41</xdr:col>
      <xdr:colOff>389282</xdr:colOff>
      <xdr:row>171</xdr:row>
      <xdr:rowOff>24847</xdr:rowOff>
    </xdr:to>
    <xdr:cxnSp macro="">
      <xdr:nvCxnSpPr>
        <xdr:cNvPr id="603" name="Straight Arrow Connector 602">
          <a:extLst>
            <a:ext uri="{FF2B5EF4-FFF2-40B4-BE49-F238E27FC236}">
              <a16:creationId xmlns:a16="http://schemas.microsoft.com/office/drawing/2014/main" xmlns="" id="{00000000-0008-0000-0400-00005B020000}"/>
            </a:ext>
          </a:extLst>
        </xdr:cNvPr>
        <xdr:cNvCxnSpPr/>
      </xdr:nvCxnSpPr>
      <xdr:spPr>
        <a:xfrm>
          <a:off x="22263652" y="34190608"/>
          <a:ext cx="32550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207065</xdr:colOff>
      <xdr:row>165</xdr:row>
      <xdr:rowOff>182217</xdr:rowOff>
    </xdr:from>
    <xdr:to>
      <xdr:col>36</xdr:col>
      <xdr:colOff>207065</xdr:colOff>
      <xdr:row>171</xdr:row>
      <xdr:rowOff>21342</xdr:rowOff>
    </xdr:to>
    <xdr:cxnSp macro="">
      <xdr:nvCxnSpPr>
        <xdr:cNvPr id="605" name="Straight Arrow Connector 604">
          <a:extLst>
            <a:ext uri="{FF2B5EF4-FFF2-40B4-BE49-F238E27FC236}">
              <a16:creationId xmlns:a16="http://schemas.microsoft.com/office/drawing/2014/main" xmlns="" id="{00000000-0008-0000-0400-00005D020000}"/>
            </a:ext>
          </a:extLst>
        </xdr:cNvPr>
        <xdr:cNvCxnSpPr/>
      </xdr:nvCxnSpPr>
      <xdr:spPr>
        <a:xfrm flipV="1">
          <a:off x="22271935" y="33147000"/>
          <a:ext cx="0" cy="104010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546652</xdr:colOff>
      <xdr:row>171</xdr:row>
      <xdr:rowOff>157371</xdr:rowOff>
    </xdr:from>
    <xdr:ext cx="717274" cy="266700"/>
    <xdr:sp macro="" textlink="">
      <xdr:nvSpPr>
        <xdr:cNvPr id="609" name="TextBox 608">
          <a:hlinkClick xmlns:r="http://schemas.openxmlformats.org/officeDocument/2006/relationships" r:id="rId17"/>
          <a:extLst>
            <a:ext uri="{FF2B5EF4-FFF2-40B4-BE49-F238E27FC236}">
              <a16:creationId xmlns:a16="http://schemas.microsoft.com/office/drawing/2014/main" xmlns="" id="{00000000-0008-0000-0400-000061020000}"/>
            </a:ext>
          </a:extLst>
        </xdr:cNvPr>
        <xdr:cNvSpPr txBox="1"/>
      </xdr:nvSpPr>
      <xdr:spPr>
        <a:xfrm>
          <a:off x="21998609" y="34323132"/>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397566</xdr:colOff>
      <xdr:row>171</xdr:row>
      <xdr:rowOff>140803</xdr:rowOff>
    </xdr:from>
    <xdr:to>
      <xdr:col>33</xdr:col>
      <xdr:colOff>198756</xdr:colOff>
      <xdr:row>175</xdr:row>
      <xdr:rowOff>185339</xdr:rowOff>
    </xdr:to>
    <xdr:sp macro="" textlink="">
      <xdr:nvSpPr>
        <xdr:cNvPr id="610" name="Rectangle 609">
          <a:extLst>
            <a:ext uri="{FF2B5EF4-FFF2-40B4-BE49-F238E27FC236}">
              <a16:creationId xmlns:a16="http://schemas.microsoft.com/office/drawing/2014/main" xmlns="" id="{00000000-0008-0000-0400-000062020000}"/>
            </a:ext>
          </a:extLst>
        </xdr:cNvPr>
        <xdr:cNvSpPr/>
      </xdr:nvSpPr>
      <xdr:spPr>
        <a:xfrm>
          <a:off x="19397870" y="34306564"/>
          <a:ext cx="1027016" cy="8479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FTM0 Ext.</a:t>
          </a:r>
          <a:r>
            <a:rPr lang="en-US" sz="1100" baseline="0"/>
            <a:t> Clk. Pin Select </a:t>
          </a:r>
          <a:r>
            <a:rPr lang="en-US" sz="900"/>
            <a:t>SIM_FTMOPT0[FTM0CLKSEL]</a:t>
          </a:r>
        </a:p>
      </xdr:txBody>
    </xdr:sp>
    <xdr:clientData/>
  </xdr:twoCellAnchor>
  <xdr:oneCellAnchor>
    <xdr:from>
      <xdr:col>31</xdr:col>
      <xdr:colOff>579782</xdr:colOff>
      <xdr:row>177</xdr:row>
      <xdr:rowOff>1</xdr:rowOff>
    </xdr:from>
    <xdr:ext cx="1192695" cy="637762"/>
    <xdr:sp macro="" textlink="">
      <xdr:nvSpPr>
        <xdr:cNvPr id="611" name="TextBox 610">
          <a:extLst>
            <a:ext uri="{FF2B5EF4-FFF2-40B4-BE49-F238E27FC236}">
              <a16:creationId xmlns:a16="http://schemas.microsoft.com/office/drawing/2014/main" xmlns="" id="{00000000-0008-0000-0400-000063020000}"/>
            </a:ext>
          </a:extLst>
        </xdr:cNvPr>
        <xdr:cNvSpPr txBox="1"/>
      </xdr:nvSpPr>
      <xdr:spPr>
        <a:xfrm>
          <a:off x="19580086" y="35383305"/>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31</xdr:col>
      <xdr:colOff>24848</xdr:colOff>
      <xdr:row>172</xdr:row>
      <xdr:rowOff>124240</xdr:rowOff>
    </xdr:from>
    <xdr:to>
      <xdr:col>31</xdr:col>
      <xdr:colOff>394385</xdr:colOff>
      <xdr:row>172</xdr:row>
      <xdr:rowOff>124240</xdr:rowOff>
    </xdr:to>
    <xdr:cxnSp macro="">
      <xdr:nvCxnSpPr>
        <xdr:cNvPr id="612" name="Straight Arrow Connector 611">
          <a:extLst>
            <a:ext uri="{FF2B5EF4-FFF2-40B4-BE49-F238E27FC236}">
              <a16:creationId xmlns:a16="http://schemas.microsoft.com/office/drawing/2014/main" xmlns="" id="{00000000-0008-0000-0400-000064020000}"/>
            </a:ext>
          </a:extLst>
        </xdr:cNvPr>
        <xdr:cNvCxnSpPr/>
      </xdr:nvCxnSpPr>
      <xdr:spPr>
        <a:xfrm>
          <a:off x="19025152" y="34488783"/>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16565</xdr:colOff>
      <xdr:row>173</xdr:row>
      <xdr:rowOff>107673</xdr:rowOff>
    </xdr:from>
    <xdr:to>
      <xdr:col>31</xdr:col>
      <xdr:colOff>386102</xdr:colOff>
      <xdr:row>173</xdr:row>
      <xdr:rowOff>107673</xdr:rowOff>
    </xdr:to>
    <xdr:cxnSp macro="">
      <xdr:nvCxnSpPr>
        <xdr:cNvPr id="614" name="Straight Arrow Connector 613">
          <a:extLst>
            <a:ext uri="{FF2B5EF4-FFF2-40B4-BE49-F238E27FC236}">
              <a16:creationId xmlns:a16="http://schemas.microsoft.com/office/drawing/2014/main" xmlns="" id="{00000000-0008-0000-0400-000066020000}"/>
            </a:ext>
          </a:extLst>
        </xdr:cNvPr>
        <xdr:cNvCxnSpPr/>
      </xdr:nvCxnSpPr>
      <xdr:spPr>
        <a:xfrm>
          <a:off x="19016869" y="34679282"/>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24848</xdr:colOff>
      <xdr:row>174</xdr:row>
      <xdr:rowOff>124239</xdr:rowOff>
    </xdr:from>
    <xdr:to>
      <xdr:col>31</xdr:col>
      <xdr:colOff>394385</xdr:colOff>
      <xdr:row>174</xdr:row>
      <xdr:rowOff>124239</xdr:rowOff>
    </xdr:to>
    <xdr:cxnSp macro="">
      <xdr:nvCxnSpPr>
        <xdr:cNvPr id="615" name="Straight Arrow Connector 614">
          <a:extLst>
            <a:ext uri="{FF2B5EF4-FFF2-40B4-BE49-F238E27FC236}">
              <a16:creationId xmlns:a16="http://schemas.microsoft.com/office/drawing/2014/main" xmlns="" id="{00000000-0008-0000-0400-000067020000}"/>
            </a:ext>
          </a:extLst>
        </xdr:cNvPr>
        <xdr:cNvCxnSpPr/>
      </xdr:nvCxnSpPr>
      <xdr:spPr>
        <a:xfrm>
          <a:off x="19025152" y="34902913"/>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405849</xdr:colOff>
      <xdr:row>171</xdr:row>
      <xdr:rowOff>182217</xdr:rowOff>
    </xdr:from>
    <xdr:ext cx="847725" cy="266700"/>
    <xdr:sp macro="" textlink="">
      <xdr:nvSpPr>
        <xdr:cNvPr id="616" name="TextBox 615">
          <a:extLst>
            <a:ext uri="{FF2B5EF4-FFF2-40B4-BE49-F238E27FC236}">
              <a16:creationId xmlns:a16="http://schemas.microsoft.com/office/drawing/2014/main" xmlns="" id="{00000000-0008-0000-0400-000068020000}"/>
            </a:ext>
          </a:extLst>
        </xdr:cNvPr>
        <xdr:cNvSpPr txBox="1"/>
      </xdr:nvSpPr>
      <xdr:spPr>
        <a:xfrm>
          <a:off x="17567414" y="34347978"/>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422413</xdr:colOff>
      <xdr:row>172</xdr:row>
      <xdr:rowOff>182218</xdr:rowOff>
    </xdr:from>
    <xdr:ext cx="847725" cy="266700"/>
    <xdr:sp macro="" textlink="">
      <xdr:nvSpPr>
        <xdr:cNvPr id="617" name="TextBox 616">
          <a:extLst>
            <a:ext uri="{FF2B5EF4-FFF2-40B4-BE49-F238E27FC236}">
              <a16:creationId xmlns:a16="http://schemas.microsoft.com/office/drawing/2014/main" xmlns="" id="{00000000-0008-0000-0400-000069020000}"/>
            </a:ext>
          </a:extLst>
        </xdr:cNvPr>
        <xdr:cNvSpPr txBox="1"/>
      </xdr:nvSpPr>
      <xdr:spPr>
        <a:xfrm>
          <a:off x="17583978" y="3454676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414130</xdr:colOff>
      <xdr:row>173</xdr:row>
      <xdr:rowOff>182217</xdr:rowOff>
    </xdr:from>
    <xdr:ext cx="847725" cy="266700"/>
    <xdr:sp macro="" textlink="">
      <xdr:nvSpPr>
        <xdr:cNvPr id="618" name="TextBox 617">
          <a:extLst>
            <a:ext uri="{FF2B5EF4-FFF2-40B4-BE49-F238E27FC236}">
              <a16:creationId xmlns:a16="http://schemas.microsoft.com/office/drawing/2014/main" xmlns="" id="{00000000-0008-0000-0400-00006A020000}"/>
            </a:ext>
          </a:extLst>
        </xdr:cNvPr>
        <xdr:cNvSpPr txBox="1"/>
      </xdr:nvSpPr>
      <xdr:spPr>
        <a:xfrm>
          <a:off x="17575695" y="3475382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twoCellAnchor>
    <xdr:from>
      <xdr:col>33</xdr:col>
      <xdr:colOff>198784</xdr:colOff>
      <xdr:row>173</xdr:row>
      <xdr:rowOff>124239</xdr:rowOff>
    </xdr:from>
    <xdr:to>
      <xdr:col>33</xdr:col>
      <xdr:colOff>612913</xdr:colOff>
      <xdr:row>173</xdr:row>
      <xdr:rowOff>124239</xdr:rowOff>
    </xdr:to>
    <xdr:cxnSp macro="">
      <xdr:nvCxnSpPr>
        <xdr:cNvPr id="619" name="Straight Arrow Connector 618">
          <a:extLst>
            <a:ext uri="{FF2B5EF4-FFF2-40B4-BE49-F238E27FC236}">
              <a16:creationId xmlns:a16="http://schemas.microsoft.com/office/drawing/2014/main" xmlns="" id="{00000000-0008-0000-0400-00006B020000}"/>
            </a:ext>
          </a:extLst>
        </xdr:cNvPr>
        <xdr:cNvCxnSpPr/>
      </xdr:nvCxnSpPr>
      <xdr:spPr>
        <a:xfrm>
          <a:off x="20424914" y="34695848"/>
          <a:ext cx="4141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24847</xdr:colOff>
      <xdr:row>172</xdr:row>
      <xdr:rowOff>91107</xdr:rowOff>
    </xdr:from>
    <xdr:to>
      <xdr:col>41</xdr:col>
      <xdr:colOff>377687</xdr:colOff>
      <xdr:row>172</xdr:row>
      <xdr:rowOff>91107</xdr:rowOff>
    </xdr:to>
    <xdr:cxnSp macro="">
      <xdr:nvCxnSpPr>
        <xdr:cNvPr id="620" name="Straight Arrow Connector 619">
          <a:extLst>
            <a:ext uri="{FF2B5EF4-FFF2-40B4-BE49-F238E27FC236}">
              <a16:creationId xmlns:a16="http://schemas.microsoft.com/office/drawing/2014/main" xmlns="" id="{00000000-0008-0000-0400-00006C020000}"/>
            </a:ext>
          </a:extLst>
        </xdr:cNvPr>
        <xdr:cNvCxnSpPr/>
      </xdr:nvCxnSpPr>
      <xdr:spPr>
        <a:xfrm>
          <a:off x="23315543" y="34455650"/>
          <a:ext cx="2191579"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248478</xdr:colOff>
      <xdr:row>177</xdr:row>
      <xdr:rowOff>82826</xdr:rowOff>
    </xdr:from>
    <xdr:to>
      <xdr:col>38</xdr:col>
      <xdr:colOff>455516</xdr:colOff>
      <xdr:row>183</xdr:row>
      <xdr:rowOff>173935</xdr:rowOff>
    </xdr:to>
    <xdr:sp macro="" textlink="">
      <xdr:nvSpPr>
        <xdr:cNvPr id="623" name="Rectangle 622">
          <a:extLst>
            <a:ext uri="{FF2B5EF4-FFF2-40B4-BE49-F238E27FC236}">
              <a16:creationId xmlns:a16="http://schemas.microsoft.com/office/drawing/2014/main" xmlns="" id="{00000000-0008-0000-0400-00006F020000}"/>
            </a:ext>
          </a:extLst>
        </xdr:cNvPr>
        <xdr:cNvSpPr/>
      </xdr:nvSpPr>
      <xdr:spPr>
        <a:xfrm>
          <a:off x="22313348" y="35482696"/>
          <a:ext cx="1432864" cy="125895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FTM0 Ext.</a:t>
          </a:r>
          <a:r>
            <a:rPr lang="en-US" sz="1100" baseline="0"/>
            <a:t> Clk. Select </a:t>
          </a:r>
          <a:r>
            <a:rPr lang="en-US" sz="900"/>
            <a:t>PCC_FTM0[PCS]</a:t>
          </a:r>
        </a:p>
      </xdr:txBody>
    </xdr:sp>
    <xdr:clientData/>
  </xdr:twoCellAnchor>
  <xdr:twoCellAnchor>
    <xdr:from>
      <xdr:col>34</xdr:col>
      <xdr:colOff>8283</xdr:colOff>
      <xdr:row>178</xdr:row>
      <xdr:rowOff>8283</xdr:rowOff>
    </xdr:from>
    <xdr:to>
      <xdr:col>36</xdr:col>
      <xdr:colOff>223630</xdr:colOff>
      <xdr:row>178</xdr:row>
      <xdr:rowOff>8283</xdr:rowOff>
    </xdr:to>
    <xdr:cxnSp macro="">
      <xdr:nvCxnSpPr>
        <xdr:cNvPr id="624" name="Straight Arrow Connector 623">
          <a:extLst>
            <a:ext uri="{FF2B5EF4-FFF2-40B4-BE49-F238E27FC236}">
              <a16:creationId xmlns:a16="http://schemas.microsoft.com/office/drawing/2014/main" xmlns="" id="{00000000-0008-0000-0400-000070020000}"/>
            </a:ext>
          </a:extLst>
        </xdr:cNvPr>
        <xdr:cNvCxnSpPr/>
      </xdr:nvCxnSpPr>
      <xdr:spPr>
        <a:xfrm>
          <a:off x="20847326" y="35615218"/>
          <a:ext cx="144117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604631</xdr:colOff>
      <xdr:row>173</xdr:row>
      <xdr:rowOff>124240</xdr:rowOff>
    </xdr:from>
    <xdr:to>
      <xdr:col>33</xdr:col>
      <xdr:colOff>604631</xdr:colOff>
      <xdr:row>178</xdr:row>
      <xdr:rowOff>16565</xdr:rowOff>
    </xdr:to>
    <xdr:cxnSp macro="">
      <xdr:nvCxnSpPr>
        <xdr:cNvPr id="627" name="Straight Arrow Connector 626">
          <a:extLst>
            <a:ext uri="{FF2B5EF4-FFF2-40B4-BE49-F238E27FC236}">
              <a16:creationId xmlns:a16="http://schemas.microsoft.com/office/drawing/2014/main" xmlns="" id="{00000000-0008-0000-0400-000073020000}"/>
            </a:ext>
          </a:extLst>
        </xdr:cNvPr>
        <xdr:cNvCxnSpPr/>
      </xdr:nvCxnSpPr>
      <xdr:spPr>
        <a:xfrm flipV="1">
          <a:off x="20830761" y="34695849"/>
          <a:ext cx="0" cy="91936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16566</xdr:colOff>
      <xdr:row>175</xdr:row>
      <xdr:rowOff>182217</xdr:rowOff>
    </xdr:from>
    <xdr:ext cx="596347" cy="266700"/>
    <xdr:sp macro="" textlink="">
      <xdr:nvSpPr>
        <xdr:cNvPr id="630" name="TextBox 629">
          <a:extLst>
            <a:ext uri="{FF2B5EF4-FFF2-40B4-BE49-F238E27FC236}">
              <a16:creationId xmlns:a16="http://schemas.microsoft.com/office/drawing/2014/main" xmlns="" id="{00000000-0008-0000-0400-000076020000}"/>
            </a:ext>
          </a:extLst>
        </xdr:cNvPr>
        <xdr:cNvSpPr txBox="1"/>
      </xdr:nvSpPr>
      <xdr:spPr>
        <a:xfrm>
          <a:off x="20855609" y="35167956"/>
          <a:ext cx="596347"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twoCellAnchor>
    <xdr:from>
      <xdr:col>26</xdr:col>
      <xdr:colOff>347382</xdr:colOff>
      <xdr:row>180</xdr:row>
      <xdr:rowOff>44822</xdr:rowOff>
    </xdr:from>
    <xdr:to>
      <xdr:col>36</xdr:col>
      <xdr:colOff>201706</xdr:colOff>
      <xdr:row>180</xdr:row>
      <xdr:rowOff>44822</xdr:rowOff>
    </xdr:to>
    <xdr:cxnSp macro="">
      <xdr:nvCxnSpPr>
        <xdr:cNvPr id="631" name="Straight Arrow Connector 630">
          <a:extLst>
            <a:ext uri="{FF2B5EF4-FFF2-40B4-BE49-F238E27FC236}">
              <a16:creationId xmlns:a16="http://schemas.microsoft.com/office/drawing/2014/main" xmlns="" id="{00000000-0008-0000-0400-000077020000}"/>
            </a:ext>
          </a:extLst>
        </xdr:cNvPr>
        <xdr:cNvCxnSpPr/>
      </xdr:nvCxnSpPr>
      <xdr:spPr>
        <a:xfrm>
          <a:off x="16080441" y="36643234"/>
          <a:ext cx="59055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582706</xdr:colOff>
      <xdr:row>185</xdr:row>
      <xdr:rowOff>0</xdr:rowOff>
    </xdr:from>
    <xdr:ext cx="1152526" cy="1116726"/>
    <xdr:sp macro="" textlink="">
      <xdr:nvSpPr>
        <xdr:cNvPr id="633" name="TextBox 632">
          <a:extLst>
            <a:ext uri="{FF2B5EF4-FFF2-40B4-BE49-F238E27FC236}">
              <a16:creationId xmlns:a16="http://schemas.microsoft.com/office/drawing/2014/main" xmlns="" id="{00000000-0008-0000-0400-000079020000}"/>
            </a:ext>
          </a:extLst>
        </xdr:cNvPr>
        <xdr:cNvSpPr txBox="1"/>
      </xdr:nvSpPr>
      <xdr:spPr>
        <a:xfrm>
          <a:off x="22366941" y="37584529"/>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322384</xdr:colOff>
      <xdr:row>181</xdr:row>
      <xdr:rowOff>34187</xdr:rowOff>
    </xdr:from>
    <xdr:to>
      <xdr:col>36</xdr:col>
      <xdr:colOff>197827</xdr:colOff>
      <xdr:row>181</xdr:row>
      <xdr:rowOff>34188</xdr:rowOff>
    </xdr:to>
    <xdr:cxnSp macro="">
      <xdr:nvCxnSpPr>
        <xdr:cNvPr id="634" name="Straight Arrow Connector 633">
          <a:extLst>
            <a:ext uri="{FF2B5EF4-FFF2-40B4-BE49-F238E27FC236}">
              <a16:creationId xmlns:a16="http://schemas.microsoft.com/office/drawing/2014/main" xmlns="" id="{00000000-0008-0000-0400-00007A020000}"/>
            </a:ext>
          </a:extLst>
        </xdr:cNvPr>
        <xdr:cNvCxnSpPr/>
      </xdr:nvCxnSpPr>
      <xdr:spPr>
        <a:xfrm flipV="1">
          <a:off x="13701346" y="36610187"/>
          <a:ext cx="8389327"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300404</xdr:colOff>
      <xdr:row>182</xdr:row>
      <xdr:rowOff>36635</xdr:rowOff>
    </xdr:from>
    <xdr:to>
      <xdr:col>36</xdr:col>
      <xdr:colOff>197827</xdr:colOff>
      <xdr:row>182</xdr:row>
      <xdr:rowOff>36635</xdr:rowOff>
    </xdr:to>
    <xdr:cxnSp macro="">
      <xdr:nvCxnSpPr>
        <xdr:cNvPr id="637" name="Straight Arrow Connector 636">
          <a:extLst>
            <a:ext uri="{FF2B5EF4-FFF2-40B4-BE49-F238E27FC236}">
              <a16:creationId xmlns:a16="http://schemas.microsoft.com/office/drawing/2014/main" xmlns="" id="{00000000-0008-0000-0400-00007D020000}"/>
            </a:ext>
          </a:extLst>
        </xdr:cNvPr>
        <xdr:cNvCxnSpPr/>
      </xdr:nvCxnSpPr>
      <xdr:spPr>
        <a:xfrm>
          <a:off x="11246827" y="36803135"/>
          <a:ext cx="10843846"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351693</xdr:colOff>
      <xdr:row>183</xdr:row>
      <xdr:rowOff>21981</xdr:rowOff>
    </xdr:from>
    <xdr:to>
      <xdr:col>36</xdr:col>
      <xdr:colOff>212481</xdr:colOff>
      <xdr:row>183</xdr:row>
      <xdr:rowOff>21982</xdr:rowOff>
    </xdr:to>
    <xdr:cxnSp macro="">
      <xdr:nvCxnSpPr>
        <xdr:cNvPr id="640" name="Straight Arrow Connector 639">
          <a:extLst>
            <a:ext uri="{FF2B5EF4-FFF2-40B4-BE49-F238E27FC236}">
              <a16:creationId xmlns:a16="http://schemas.microsoft.com/office/drawing/2014/main" xmlns="" id="{00000000-0008-0000-0400-000080020000}"/>
            </a:ext>
          </a:extLst>
        </xdr:cNvPr>
        <xdr:cNvCxnSpPr/>
      </xdr:nvCxnSpPr>
      <xdr:spPr>
        <a:xfrm flipV="1">
          <a:off x="8865578" y="36978981"/>
          <a:ext cx="13239749"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454270</xdr:colOff>
      <xdr:row>181</xdr:row>
      <xdr:rowOff>14654</xdr:rowOff>
    </xdr:from>
    <xdr:to>
      <xdr:col>40</xdr:col>
      <xdr:colOff>183173</xdr:colOff>
      <xdr:row>181</xdr:row>
      <xdr:rowOff>14654</xdr:rowOff>
    </xdr:to>
    <xdr:cxnSp macro="">
      <xdr:nvCxnSpPr>
        <xdr:cNvPr id="649" name="Straight Arrow Connector 648">
          <a:extLst>
            <a:ext uri="{FF2B5EF4-FFF2-40B4-BE49-F238E27FC236}">
              <a16:creationId xmlns:a16="http://schemas.microsoft.com/office/drawing/2014/main" xmlns="" id="{00000000-0008-0000-0400-000089020000}"/>
            </a:ext>
          </a:extLst>
        </xdr:cNvPr>
        <xdr:cNvCxnSpPr/>
      </xdr:nvCxnSpPr>
      <xdr:spPr>
        <a:xfrm>
          <a:off x="23563385" y="36590654"/>
          <a:ext cx="9451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190500</xdr:colOff>
      <xdr:row>174</xdr:row>
      <xdr:rowOff>65942</xdr:rowOff>
    </xdr:from>
    <xdr:to>
      <xdr:col>40</xdr:col>
      <xdr:colOff>190500</xdr:colOff>
      <xdr:row>181</xdr:row>
      <xdr:rowOff>22299</xdr:rowOff>
    </xdr:to>
    <xdr:cxnSp macro="">
      <xdr:nvCxnSpPr>
        <xdr:cNvPr id="651" name="Straight Arrow Connector 650">
          <a:extLst>
            <a:ext uri="{FF2B5EF4-FFF2-40B4-BE49-F238E27FC236}">
              <a16:creationId xmlns:a16="http://schemas.microsoft.com/office/drawing/2014/main" xmlns="" id="{00000000-0008-0000-0400-00008B020000}"/>
            </a:ext>
          </a:extLst>
        </xdr:cNvPr>
        <xdr:cNvCxnSpPr/>
      </xdr:nvCxnSpPr>
      <xdr:spPr>
        <a:xfrm flipV="1">
          <a:off x="24515885" y="35213192"/>
          <a:ext cx="0" cy="141441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175846</xdr:colOff>
      <xdr:row>174</xdr:row>
      <xdr:rowOff>51289</xdr:rowOff>
    </xdr:from>
    <xdr:to>
      <xdr:col>41</xdr:col>
      <xdr:colOff>402981</xdr:colOff>
      <xdr:row>174</xdr:row>
      <xdr:rowOff>51289</xdr:rowOff>
    </xdr:to>
    <xdr:cxnSp macro="">
      <xdr:nvCxnSpPr>
        <xdr:cNvPr id="653" name="Straight Arrow Connector 652">
          <a:extLst>
            <a:ext uri="{FF2B5EF4-FFF2-40B4-BE49-F238E27FC236}">
              <a16:creationId xmlns:a16="http://schemas.microsoft.com/office/drawing/2014/main" xmlns="" id="{00000000-0008-0000-0400-00008D020000}"/>
            </a:ext>
          </a:extLst>
        </xdr:cNvPr>
        <xdr:cNvCxnSpPr/>
      </xdr:nvCxnSpPr>
      <xdr:spPr>
        <a:xfrm>
          <a:off x="24501231" y="35198539"/>
          <a:ext cx="8352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337039</xdr:colOff>
      <xdr:row>178</xdr:row>
      <xdr:rowOff>161192</xdr:rowOff>
    </xdr:from>
    <xdr:ext cx="1209261" cy="266700"/>
    <xdr:sp macro="" textlink="">
      <xdr:nvSpPr>
        <xdr:cNvPr id="655" name="TextBox 654">
          <a:extLst>
            <a:ext uri="{FF2B5EF4-FFF2-40B4-BE49-F238E27FC236}">
              <a16:creationId xmlns:a16="http://schemas.microsoft.com/office/drawing/2014/main" xmlns="" id="{00000000-0008-0000-0400-00008F020000}"/>
            </a:ext>
          </a:extLst>
        </xdr:cNvPr>
        <xdr:cNvSpPr txBox="1"/>
      </xdr:nvSpPr>
      <xdr:spPr>
        <a:xfrm>
          <a:off x="23446154" y="36158365"/>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16565</xdr:colOff>
      <xdr:row>169</xdr:row>
      <xdr:rowOff>117230</xdr:rowOff>
    </xdr:from>
    <xdr:to>
      <xdr:col>49</xdr:col>
      <xdr:colOff>450132</xdr:colOff>
      <xdr:row>169</xdr:row>
      <xdr:rowOff>117230</xdr:rowOff>
    </xdr:to>
    <xdr:cxnSp macro="">
      <xdr:nvCxnSpPr>
        <xdr:cNvPr id="656" name="Straight Arrow Connector 655">
          <a:extLst>
            <a:ext uri="{FF2B5EF4-FFF2-40B4-BE49-F238E27FC236}">
              <a16:creationId xmlns:a16="http://schemas.microsoft.com/office/drawing/2014/main" xmlns="" id="{00000000-0008-0000-0400-000090020000}"/>
            </a:ext>
          </a:extLst>
        </xdr:cNvPr>
        <xdr:cNvCxnSpPr/>
      </xdr:nvCxnSpPr>
      <xdr:spPr>
        <a:xfrm>
          <a:off x="30049304" y="34109056"/>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27402</xdr:colOff>
      <xdr:row>169</xdr:row>
      <xdr:rowOff>109905</xdr:rowOff>
    </xdr:from>
    <xdr:to>
      <xdr:col>49</xdr:col>
      <xdr:colOff>27402</xdr:colOff>
      <xdr:row>173</xdr:row>
      <xdr:rowOff>36635</xdr:rowOff>
    </xdr:to>
    <xdr:cxnSp macro="">
      <xdr:nvCxnSpPr>
        <xdr:cNvPr id="658" name="Straight Arrow Connector 657">
          <a:extLst>
            <a:ext uri="{FF2B5EF4-FFF2-40B4-BE49-F238E27FC236}">
              <a16:creationId xmlns:a16="http://schemas.microsoft.com/office/drawing/2014/main" xmlns="" id="{00000000-0008-0000-0400-000092020000}"/>
            </a:ext>
          </a:extLst>
        </xdr:cNvPr>
        <xdr:cNvCxnSpPr/>
      </xdr:nvCxnSpPr>
      <xdr:spPr>
        <a:xfrm flipV="1">
          <a:off x="30060141" y="34101731"/>
          <a:ext cx="0" cy="73842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219808</xdr:colOff>
      <xdr:row>173</xdr:row>
      <xdr:rowOff>21981</xdr:rowOff>
    </xdr:from>
    <xdr:to>
      <xdr:col>45</xdr:col>
      <xdr:colOff>389283</xdr:colOff>
      <xdr:row>173</xdr:row>
      <xdr:rowOff>21981</xdr:rowOff>
    </xdr:to>
    <xdr:cxnSp macro="">
      <xdr:nvCxnSpPr>
        <xdr:cNvPr id="660" name="Straight Arrow Connector 659">
          <a:extLst>
            <a:ext uri="{FF2B5EF4-FFF2-40B4-BE49-F238E27FC236}">
              <a16:creationId xmlns:a16="http://schemas.microsoft.com/office/drawing/2014/main" xmlns="" id="{00000000-0008-0000-0400-000094020000}"/>
            </a:ext>
          </a:extLst>
        </xdr:cNvPr>
        <xdr:cNvCxnSpPr/>
      </xdr:nvCxnSpPr>
      <xdr:spPr>
        <a:xfrm>
          <a:off x="26575069" y="34825503"/>
          <a:ext cx="13953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564173</xdr:colOff>
      <xdr:row>183</xdr:row>
      <xdr:rowOff>181238</xdr:rowOff>
    </xdr:from>
    <xdr:ext cx="847725" cy="266700"/>
    <xdr:sp macro="" textlink="">
      <xdr:nvSpPr>
        <xdr:cNvPr id="667" name="TextBox 666">
          <a:hlinkClick xmlns:r="http://schemas.openxmlformats.org/officeDocument/2006/relationships" r:id="rId18"/>
          <a:extLst>
            <a:ext uri="{FF2B5EF4-FFF2-40B4-BE49-F238E27FC236}">
              <a16:creationId xmlns:a16="http://schemas.microsoft.com/office/drawing/2014/main" xmlns="" id="{00000000-0008-0000-0400-00009B020000}"/>
            </a:ext>
          </a:extLst>
        </xdr:cNvPr>
        <xdr:cNvSpPr txBox="1"/>
      </xdr:nvSpPr>
      <xdr:spPr>
        <a:xfrm>
          <a:off x="5429250" y="374679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LPO1K_CLK</a:t>
          </a:r>
        </a:p>
      </xdr:txBody>
    </xdr:sp>
    <xdr:clientData/>
  </xdr:oneCellAnchor>
  <xdr:twoCellAnchor>
    <xdr:from>
      <xdr:col>7</xdr:col>
      <xdr:colOff>238530</xdr:colOff>
      <xdr:row>184</xdr:row>
      <xdr:rowOff>85039</xdr:rowOff>
    </xdr:from>
    <xdr:to>
      <xdr:col>7</xdr:col>
      <xdr:colOff>599855</xdr:colOff>
      <xdr:row>184</xdr:row>
      <xdr:rowOff>85039</xdr:rowOff>
    </xdr:to>
    <xdr:cxnSp macro="">
      <xdr:nvCxnSpPr>
        <xdr:cNvPr id="668" name="Straight Arrow Connector 667">
          <a:extLst>
            <a:ext uri="{FF2B5EF4-FFF2-40B4-BE49-F238E27FC236}">
              <a16:creationId xmlns:a16="http://schemas.microsoft.com/office/drawing/2014/main" xmlns="" id="{00000000-0008-0000-0400-00009C020000}"/>
            </a:ext>
          </a:extLst>
        </xdr:cNvPr>
        <xdr:cNvCxnSpPr/>
      </xdr:nvCxnSpPr>
      <xdr:spPr>
        <a:xfrm flipH="1">
          <a:off x="4495472" y="37569577"/>
          <a:ext cx="361325" cy="0"/>
        </a:xfrm>
        <a:prstGeom prst="straightConnector1">
          <a:avLst/>
        </a:prstGeom>
        <a:ln w="38100">
          <a:solidFill>
            <a:schemeClr val="bg1">
              <a:lumMod val="6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232159</xdr:colOff>
      <xdr:row>186</xdr:row>
      <xdr:rowOff>62750</xdr:rowOff>
    </xdr:from>
    <xdr:to>
      <xdr:col>7</xdr:col>
      <xdr:colOff>578827</xdr:colOff>
      <xdr:row>186</xdr:row>
      <xdr:rowOff>62750</xdr:rowOff>
    </xdr:to>
    <xdr:cxnSp macro="">
      <xdr:nvCxnSpPr>
        <xdr:cNvPr id="671" name="Straight Arrow Connector 670">
          <a:extLst>
            <a:ext uri="{FF2B5EF4-FFF2-40B4-BE49-F238E27FC236}">
              <a16:creationId xmlns:a16="http://schemas.microsoft.com/office/drawing/2014/main" xmlns="" id="{00000000-0008-0000-0400-00009F020000}"/>
            </a:ext>
          </a:extLst>
        </xdr:cNvPr>
        <xdr:cNvCxnSpPr/>
      </xdr:nvCxnSpPr>
      <xdr:spPr>
        <a:xfrm flipH="1">
          <a:off x="4489101" y="37972250"/>
          <a:ext cx="346668"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571500</xdr:colOff>
      <xdr:row>185</xdr:row>
      <xdr:rowOff>169455</xdr:rowOff>
    </xdr:from>
    <xdr:ext cx="717274" cy="266700"/>
    <xdr:sp macro="" textlink="">
      <xdr:nvSpPr>
        <xdr:cNvPr id="675" name="TextBox 674">
          <a:hlinkClick xmlns:r="http://schemas.openxmlformats.org/officeDocument/2006/relationships" r:id="rId17"/>
          <a:extLst>
            <a:ext uri="{FF2B5EF4-FFF2-40B4-BE49-F238E27FC236}">
              <a16:creationId xmlns:a16="http://schemas.microsoft.com/office/drawing/2014/main" xmlns="" id="{00000000-0008-0000-0400-0000A3020000}"/>
            </a:ext>
          </a:extLst>
        </xdr:cNvPr>
        <xdr:cNvSpPr txBox="1"/>
      </xdr:nvSpPr>
      <xdr:spPr>
        <a:xfrm>
          <a:off x="5436577" y="37866474"/>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RTC_CLK</a:t>
          </a:r>
        </a:p>
      </xdr:txBody>
    </xdr:sp>
    <xdr:clientData/>
  </xdr:oneCellAnchor>
  <xdr:oneCellAnchor>
    <xdr:from>
      <xdr:col>1</xdr:col>
      <xdr:colOff>249116</xdr:colOff>
      <xdr:row>183</xdr:row>
      <xdr:rowOff>181234</xdr:rowOff>
    </xdr:from>
    <xdr:ext cx="990600" cy="266700"/>
    <xdr:sp macro="" textlink="">
      <xdr:nvSpPr>
        <xdr:cNvPr id="679" name="TextBox 678">
          <a:hlinkClick xmlns:r="http://schemas.openxmlformats.org/officeDocument/2006/relationships" r:id="rId19"/>
          <a:extLst>
            <a:ext uri="{FF2B5EF4-FFF2-40B4-BE49-F238E27FC236}">
              <a16:creationId xmlns:a16="http://schemas.microsoft.com/office/drawing/2014/main" xmlns="" id="{00000000-0008-0000-0400-0000A7020000}"/>
            </a:ext>
          </a:extLst>
        </xdr:cNvPr>
        <xdr:cNvSpPr txBox="1"/>
      </xdr:nvSpPr>
      <xdr:spPr>
        <a:xfrm>
          <a:off x="857251" y="3746794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RTC_CLKOUT</a:t>
          </a:r>
        </a:p>
      </xdr:txBody>
    </xdr:sp>
    <xdr:clientData/>
  </xdr:oneCellAnchor>
  <xdr:twoCellAnchor>
    <xdr:from>
      <xdr:col>31</xdr:col>
      <xdr:colOff>400050</xdr:colOff>
      <xdr:row>193</xdr:row>
      <xdr:rowOff>76200</xdr:rowOff>
    </xdr:from>
    <xdr:to>
      <xdr:col>33</xdr:col>
      <xdr:colOff>201239</xdr:colOff>
      <xdr:row>197</xdr:row>
      <xdr:rowOff>167119</xdr:rowOff>
    </xdr:to>
    <xdr:sp macro="" textlink="">
      <xdr:nvSpPr>
        <xdr:cNvPr id="367" name="Rectangle 366">
          <a:extLst>
            <a:ext uri="{FF2B5EF4-FFF2-40B4-BE49-F238E27FC236}">
              <a16:creationId xmlns:a16="http://schemas.microsoft.com/office/drawing/2014/main" xmlns="" id="{00000000-0008-0000-0400-00006F010000}"/>
            </a:ext>
          </a:extLst>
        </xdr:cNvPr>
        <xdr:cNvSpPr/>
      </xdr:nvSpPr>
      <xdr:spPr>
        <a:xfrm>
          <a:off x="19297650" y="38938200"/>
          <a:ext cx="1020389" cy="8529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Per. Clk. Select</a:t>
          </a:r>
          <a:endParaRPr lang="en-US" sz="1100" baseline="0"/>
        </a:p>
        <a:p>
          <a:pPr algn="ctr"/>
          <a:r>
            <a:rPr lang="en-US" sz="900"/>
            <a:t>PCC_LPTMR0[PCS]</a:t>
          </a:r>
        </a:p>
      </xdr:txBody>
    </xdr:sp>
    <xdr:clientData/>
  </xdr:twoCellAnchor>
  <xdr:twoCellAnchor>
    <xdr:from>
      <xdr:col>56</xdr:col>
      <xdr:colOff>381016</xdr:colOff>
      <xdr:row>191</xdr:row>
      <xdr:rowOff>64002</xdr:rowOff>
    </xdr:from>
    <xdr:to>
      <xdr:col>58</xdr:col>
      <xdr:colOff>300414</xdr:colOff>
      <xdr:row>197</xdr:row>
      <xdr:rowOff>22849</xdr:rowOff>
    </xdr:to>
    <xdr:grpSp>
      <xdr:nvGrpSpPr>
        <xdr:cNvPr id="12" name="Group 11">
          <a:extLst>
            <a:ext uri="{FF2B5EF4-FFF2-40B4-BE49-F238E27FC236}">
              <a16:creationId xmlns:a16="http://schemas.microsoft.com/office/drawing/2014/main" xmlns="" id="{00000000-0008-0000-0400-00000C000000}"/>
            </a:ext>
          </a:extLst>
        </xdr:cNvPr>
        <xdr:cNvGrpSpPr/>
      </xdr:nvGrpSpPr>
      <xdr:grpSpPr>
        <a:xfrm>
          <a:off x="36024687" y="36487602"/>
          <a:ext cx="1192386" cy="1115294"/>
          <a:chOff x="28403556" y="38545002"/>
          <a:chExt cx="1138840" cy="1101847"/>
        </a:xfrm>
      </xdr:grpSpPr>
      <xdr:grpSp>
        <xdr:nvGrpSpPr>
          <xdr:cNvPr id="368" name="Group 367">
            <a:extLst>
              <a:ext uri="{FF2B5EF4-FFF2-40B4-BE49-F238E27FC236}">
                <a16:creationId xmlns:a16="http://schemas.microsoft.com/office/drawing/2014/main" xmlns="" id="{00000000-0008-0000-0400-000070010000}"/>
              </a:ext>
            </a:extLst>
          </xdr:cNvPr>
          <xdr:cNvGrpSpPr/>
        </xdr:nvGrpSpPr>
        <xdr:grpSpPr>
          <a:xfrm>
            <a:off x="28403556" y="38545002"/>
            <a:ext cx="1051821" cy="1101847"/>
            <a:chOff x="25261060" y="28977577"/>
            <a:chExt cx="1048864" cy="1047620"/>
          </a:xfrm>
        </xdr:grpSpPr>
        <xdr:grpSp>
          <xdr:nvGrpSpPr>
            <xdr:cNvPr id="369" name="Group 368">
              <a:extLst>
                <a:ext uri="{FF2B5EF4-FFF2-40B4-BE49-F238E27FC236}">
                  <a16:creationId xmlns:a16="http://schemas.microsoft.com/office/drawing/2014/main" xmlns="" id="{00000000-0008-0000-0400-000071010000}"/>
                </a:ext>
              </a:extLst>
            </xdr:cNvPr>
            <xdr:cNvGrpSpPr/>
          </xdr:nvGrpSpPr>
          <xdr:grpSpPr>
            <a:xfrm>
              <a:off x="25261060" y="28977577"/>
              <a:ext cx="1048864" cy="1010788"/>
              <a:chOff x="579055" y="168250"/>
              <a:chExt cx="1045881" cy="756945"/>
            </a:xfrm>
          </xdr:grpSpPr>
          <xdr:sp macro="" textlink="">
            <xdr:nvSpPr>
              <xdr:cNvPr id="375" name="Rectangle 374">
                <a:extLst>
                  <a:ext uri="{FF2B5EF4-FFF2-40B4-BE49-F238E27FC236}">
                    <a16:creationId xmlns:a16="http://schemas.microsoft.com/office/drawing/2014/main" xmlns="" id="{00000000-0008-0000-0400-00007701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LPTMR0</a:t>
                </a:r>
              </a:p>
            </xdr:txBody>
          </xdr:sp>
          <xdr:sp macro="" textlink="">
            <xdr:nvSpPr>
              <xdr:cNvPr id="376" name="TextBox 375">
                <a:extLst>
                  <a:ext uri="{FF2B5EF4-FFF2-40B4-BE49-F238E27FC236}">
                    <a16:creationId xmlns:a16="http://schemas.microsoft.com/office/drawing/2014/main" xmlns="" id="{00000000-0008-0000-0400-000078010000}"/>
                  </a:ext>
                </a:extLst>
              </xdr:cNvPr>
              <xdr:cNvSpPr txBox="1"/>
            </xdr:nvSpPr>
            <xdr:spPr>
              <a:xfrm>
                <a:off x="579055" y="168250"/>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374" name="TextBox 373">
              <a:extLst>
                <a:ext uri="{FF2B5EF4-FFF2-40B4-BE49-F238E27FC236}">
                  <a16:creationId xmlns:a16="http://schemas.microsoft.com/office/drawing/2014/main" xmlns="" id="{00000000-0008-0000-0400-000076010000}"/>
                </a:ext>
              </a:extLst>
            </xdr:cNvPr>
            <xdr:cNvSpPr txBox="1"/>
          </xdr:nvSpPr>
          <xdr:spPr>
            <a:xfrm>
              <a:off x="25261060" y="29783532"/>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Pulse Counter</a:t>
              </a:r>
            </a:p>
          </xdr:txBody>
        </xdr:sp>
      </xdr:grpSp>
      <xdr:sp macro="" textlink="">
        <xdr:nvSpPr>
          <xdr:cNvPr id="377" name="TextBox 376">
            <a:extLst>
              <a:ext uri="{FF2B5EF4-FFF2-40B4-BE49-F238E27FC236}">
                <a16:creationId xmlns:a16="http://schemas.microsoft.com/office/drawing/2014/main" xmlns="" id="{00000000-0008-0000-0400-000079010000}"/>
              </a:ext>
            </a:extLst>
          </xdr:cNvPr>
          <xdr:cNvSpPr txBox="1"/>
        </xdr:nvSpPr>
        <xdr:spPr>
          <a:xfrm>
            <a:off x="28403556" y="38738173"/>
            <a:ext cx="1138840" cy="273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Prescaler/Glitch Filter Clock</a:t>
            </a:r>
          </a:p>
        </xdr:txBody>
      </xdr:sp>
    </xdr:grpSp>
    <xdr:clientData/>
  </xdr:twoCellAnchor>
  <xdr:twoCellAnchor>
    <xdr:from>
      <xdr:col>10</xdr:col>
      <xdr:colOff>314325</xdr:colOff>
      <xdr:row>192</xdr:row>
      <xdr:rowOff>10251</xdr:rowOff>
    </xdr:from>
    <xdr:to>
      <xdr:col>43</xdr:col>
      <xdr:colOff>405848</xdr:colOff>
      <xdr:row>192</xdr:row>
      <xdr:rowOff>10251</xdr:rowOff>
    </xdr:to>
    <xdr:cxnSp macro="">
      <xdr:nvCxnSpPr>
        <xdr:cNvPr id="388" name="Straight Arrow Connector 387">
          <a:extLst>
            <a:ext uri="{FF2B5EF4-FFF2-40B4-BE49-F238E27FC236}">
              <a16:creationId xmlns:a16="http://schemas.microsoft.com/office/drawing/2014/main" xmlns="" id="{00000000-0008-0000-0400-000084010000}"/>
            </a:ext>
          </a:extLst>
        </xdr:cNvPr>
        <xdr:cNvCxnSpPr/>
      </xdr:nvCxnSpPr>
      <xdr:spPr>
        <a:xfrm>
          <a:off x="6443455" y="38665186"/>
          <a:ext cx="20317654"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31</xdr:col>
      <xdr:colOff>571500</xdr:colOff>
      <xdr:row>198</xdr:row>
      <xdr:rowOff>200025</xdr:rowOff>
    </xdr:from>
    <xdr:ext cx="1152526" cy="1116726"/>
    <xdr:sp macro="" textlink="">
      <xdr:nvSpPr>
        <xdr:cNvPr id="395" name="TextBox 394">
          <a:extLst>
            <a:ext uri="{FF2B5EF4-FFF2-40B4-BE49-F238E27FC236}">
              <a16:creationId xmlns:a16="http://schemas.microsoft.com/office/drawing/2014/main" xmlns="" id="{00000000-0008-0000-0400-00008B010000}"/>
            </a:ext>
          </a:extLst>
        </xdr:cNvPr>
        <xdr:cNvSpPr txBox="1"/>
      </xdr:nvSpPr>
      <xdr:spPr>
        <a:xfrm>
          <a:off x="19469100" y="40024050"/>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28</xdr:col>
      <xdr:colOff>320493</xdr:colOff>
      <xdr:row>194</xdr:row>
      <xdr:rowOff>38100</xdr:rowOff>
    </xdr:from>
    <xdr:to>
      <xdr:col>31</xdr:col>
      <xdr:colOff>381000</xdr:colOff>
      <xdr:row>194</xdr:row>
      <xdr:rowOff>38100</xdr:rowOff>
    </xdr:to>
    <xdr:cxnSp macro="">
      <xdr:nvCxnSpPr>
        <xdr:cNvPr id="396" name="Straight Arrow Connector 395">
          <a:extLst>
            <a:ext uri="{FF2B5EF4-FFF2-40B4-BE49-F238E27FC236}">
              <a16:creationId xmlns:a16="http://schemas.microsoft.com/office/drawing/2014/main" xmlns="" id="{00000000-0008-0000-0400-00008C010000}"/>
            </a:ext>
          </a:extLst>
        </xdr:cNvPr>
        <xdr:cNvCxnSpPr/>
      </xdr:nvCxnSpPr>
      <xdr:spPr>
        <a:xfrm>
          <a:off x="17389293" y="39090600"/>
          <a:ext cx="1889307"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324535</xdr:colOff>
      <xdr:row>195</xdr:row>
      <xdr:rowOff>18317</xdr:rowOff>
    </xdr:from>
    <xdr:to>
      <xdr:col>31</xdr:col>
      <xdr:colOff>371475</xdr:colOff>
      <xdr:row>195</xdr:row>
      <xdr:rowOff>18317</xdr:rowOff>
    </xdr:to>
    <xdr:cxnSp macro="">
      <xdr:nvCxnSpPr>
        <xdr:cNvPr id="398" name="Straight Arrow Connector 397">
          <a:extLst>
            <a:ext uri="{FF2B5EF4-FFF2-40B4-BE49-F238E27FC236}">
              <a16:creationId xmlns:a16="http://schemas.microsoft.com/office/drawing/2014/main" xmlns="" id="{00000000-0008-0000-0400-00008E010000}"/>
            </a:ext>
          </a:extLst>
        </xdr:cNvPr>
        <xdr:cNvCxnSpPr/>
      </xdr:nvCxnSpPr>
      <xdr:spPr>
        <a:xfrm>
          <a:off x="14954935" y="39261317"/>
          <a:ext cx="4314140"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303312</xdr:colOff>
      <xdr:row>196</xdr:row>
      <xdr:rowOff>8060</xdr:rowOff>
    </xdr:from>
    <xdr:to>
      <xdr:col>31</xdr:col>
      <xdr:colOff>371475</xdr:colOff>
      <xdr:row>196</xdr:row>
      <xdr:rowOff>8060</xdr:rowOff>
    </xdr:to>
    <xdr:cxnSp macro="">
      <xdr:nvCxnSpPr>
        <xdr:cNvPr id="400" name="Straight Arrow Connector 399">
          <a:extLst>
            <a:ext uri="{FF2B5EF4-FFF2-40B4-BE49-F238E27FC236}">
              <a16:creationId xmlns:a16="http://schemas.microsoft.com/office/drawing/2014/main" xmlns="" id="{00000000-0008-0000-0400-000090010000}"/>
            </a:ext>
          </a:extLst>
        </xdr:cNvPr>
        <xdr:cNvCxnSpPr/>
      </xdr:nvCxnSpPr>
      <xdr:spPr>
        <a:xfrm>
          <a:off x="12495312" y="39441560"/>
          <a:ext cx="6773763"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333375</xdr:colOff>
      <xdr:row>197</xdr:row>
      <xdr:rowOff>12455</xdr:rowOff>
    </xdr:from>
    <xdr:to>
      <xdr:col>31</xdr:col>
      <xdr:colOff>361950</xdr:colOff>
      <xdr:row>197</xdr:row>
      <xdr:rowOff>12455</xdr:rowOff>
    </xdr:to>
    <xdr:cxnSp macro="">
      <xdr:nvCxnSpPr>
        <xdr:cNvPr id="406" name="Straight Arrow Connector 405">
          <a:extLst>
            <a:ext uri="{FF2B5EF4-FFF2-40B4-BE49-F238E27FC236}">
              <a16:creationId xmlns:a16="http://schemas.microsoft.com/office/drawing/2014/main" xmlns="" id="{00000000-0008-0000-0400-000096010000}"/>
            </a:ext>
          </a:extLst>
        </xdr:cNvPr>
        <xdr:cNvCxnSpPr/>
      </xdr:nvCxnSpPr>
      <xdr:spPr>
        <a:xfrm>
          <a:off x="10086975" y="39636455"/>
          <a:ext cx="9172575"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219075</xdr:colOff>
      <xdr:row>196</xdr:row>
      <xdr:rowOff>28575</xdr:rowOff>
    </xdr:from>
    <xdr:to>
      <xdr:col>35</xdr:col>
      <xdr:colOff>361950</xdr:colOff>
      <xdr:row>196</xdr:row>
      <xdr:rowOff>28575</xdr:rowOff>
    </xdr:to>
    <xdr:cxnSp macro="">
      <xdr:nvCxnSpPr>
        <xdr:cNvPr id="409" name="Straight Arrow Connector 408">
          <a:extLst>
            <a:ext uri="{FF2B5EF4-FFF2-40B4-BE49-F238E27FC236}">
              <a16:creationId xmlns:a16="http://schemas.microsoft.com/office/drawing/2014/main" xmlns="" id="{00000000-0008-0000-0400-000099010000}"/>
            </a:ext>
          </a:extLst>
        </xdr:cNvPr>
        <xdr:cNvCxnSpPr/>
      </xdr:nvCxnSpPr>
      <xdr:spPr>
        <a:xfrm>
          <a:off x="20335875" y="39462075"/>
          <a:ext cx="13620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390525</xdr:colOff>
      <xdr:row>193</xdr:row>
      <xdr:rowOff>85725</xdr:rowOff>
    </xdr:from>
    <xdr:to>
      <xdr:col>37</xdr:col>
      <xdr:colOff>191714</xdr:colOff>
      <xdr:row>197</xdr:row>
      <xdr:rowOff>176644</xdr:rowOff>
    </xdr:to>
    <xdr:sp macro="" textlink="">
      <xdr:nvSpPr>
        <xdr:cNvPr id="419" name="Rectangle 418">
          <a:extLst>
            <a:ext uri="{FF2B5EF4-FFF2-40B4-BE49-F238E27FC236}">
              <a16:creationId xmlns:a16="http://schemas.microsoft.com/office/drawing/2014/main" xmlns="" id="{00000000-0008-0000-0400-0000A3010000}"/>
            </a:ext>
          </a:extLst>
        </xdr:cNvPr>
        <xdr:cNvSpPr/>
      </xdr:nvSpPr>
      <xdr:spPr>
        <a:xfrm>
          <a:off x="21726525" y="38947725"/>
          <a:ext cx="1020389" cy="8910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Per.</a:t>
          </a:r>
          <a:r>
            <a:rPr lang="en-US" sz="1100" baseline="0"/>
            <a:t> Frac. Numerator</a:t>
          </a:r>
        </a:p>
        <a:p>
          <a:pPr algn="ctr"/>
          <a:r>
            <a:rPr lang="en-US" sz="900"/>
            <a:t>PCC_LPTMR0[FRAC]</a:t>
          </a:r>
        </a:p>
      </xdr:txBody>
    </xdr:sp>
    <xdr:clientData/>
  </xdr:twoCellAnchor>
  <xdr:oneCellAnchor>
    <xdr:from>
      <xdr:col>35</xdr:col>
      <xdr:colOff>581024</xdr:colOff>
      <xdr:row>199</xdr:row>
      <xdr:rowOff>9525</xdr:rowOff>
    </xdr:from>
    <xdr:ext cx="1095375" cy="367862"/>
    <xdr:sp macro="" textlink="">
      <xdr:nvSpPr>
        <xdr:cNvPr id="423" name="TextBox 422">
          <a:extLst>
            <a:ext uri="{FF2B5EF4-FFF2-40B4-BE49-F238E27FC236}">
              <a16:creationId xmlns:a16="http://schemas.microsoft.com/office/drawing/2014/main" xmlns="" id="{00000000-0008-0000-0400-0000A7010000}"/>
            </a:ext>
          </a:extLst>
        </xdr:cNvPr>
        <xdr:cNvSpPr txBox="1"/>
      </xdr:nvSpPr>
      <xdr:spPr>
        <a:xfrm>
          <a:off x="21917024" y="40081200"/>
          <a:ext cx="1095375"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Numerator is 1</a:t>
          </a:r>
        </a:p>
        <a:p>
          <a:r>
            <a:rPr lang="en-US" sz="800"/>
            <a:t>1 - Numerator is 2</a:t>
          </a:r>
        </a:p>
      </xdr:txBody>
    </xdr:sp>
    <xdr:clientData/>
  </xdr:oneCellAnchor>
  <xdr:twoCellAnchor>
    <xdr:from>
      <xdr:col>38</xdr:col>
      <xdr:colOff>390525</xdr:colOff>
      <xdr:row>193</xdr:row>
      <xdr:rowOff>85725</xdr:rowOff>
    </xdr:from>
    <xdr:to>
      <xdr:col>40</xdr:col>
      <xdr:colOff>191714</xdr:colOff>
      <xdr:row>197</xdr:row>
      <xdr:rowOff>176644</xdr:rowOff>
    </xdr:to>
    <xdr:sp macro="" textlink="">
      <xdr:nvSpPr>
        <xdr:cNvPr id="427" name="Rectangle 426">
          <a:extLst>
            <a:ext uri="{FF2B5EF4-FFF2-40B4-BE49-F238E27FC236}">
              <a16:creationId xmlns:a16="http://schemas.microsoft.com/office/drawing/2014/main" xmlns="" id="{00000000-0008-0000-0400-0000AB010000}"/>
            </a:ext>
          </a:extLst>
        </xdr:cNvPr>
        <xdr:cNvSpPr/>
      </xdr:nvSpPr>
      <xdr:spPr>
        <a:xfrm>
          <a:off x="23555325" y="38947725"/>
          <a:ext cx="1020389" cy="8910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Per.</a:t>
          </a:r>
          <a:r>
            <a:rPr lang="en-US" sz="1100" baseline="0"/>
            <a:t> Frac. Denominator</a:t>
          </a:r>
        </a:p>
        <a:p>
          <a:pPr algn="ctr"/>
          <a:r>
            <a:rPr lang="en-US" sz="900"/>
            <a:t>PCC_LPTMR0[PCD]</a:t>
          </a:r>
        </a:p>
      </xdr:txBody>
    </xdr:sp>
    <xdr:clientData/>
  </xdr:twoCellAnchor>
  <xdr:oneCellAnchor>
    <xdr:from>
      <xdr:col>38</xdr:col>
      <xdr:colOff>581025</xdr:colOff>
      <xdr:row>198</xdr:row>
      <xdr:rowOff>200025</xdr:rowOff>
    </xdr:from>
    <xdr:ext cx="1295400" cy="1116726"/>
    <xdr:sp macro="" textlink="">
      <xdr:nvSpPr>
        <xdr:cNvPr id="428" name="TextBox 427">
          <a:extLst>
            <a:ext uri="{FF2B5EF4-FFF2-40B4-BE49-F238E27FC236}">
              <a16:creationId xmlns:a16="http://schemas.microsoft.com/office/drawing/2014/main" xmlns="" id="{00000000-0008-0000-0400-0000AC010000}"/>
            </a:ext>
          </a:extLst>
        </xdr:cNvPr>
        <xdr:cNvSpPr txBox="1"/>
      </xdr:nvSpPr>
      <xdr:spPr>
        <a:xfrm>
          <a:off x="23745825" y="40062150"/>
          <a:ext cx="1295400"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Denominator</a:t>
          </a:r>
          <a:r>
            <a:rPr lang="en-US" sz="800" baseline="0"/>
            <a:t> is 1</a:t>
          </a:r>
          <a:endParaRPr lang="en-US" sz="800"/>
        </a:p>
        <a:p>
          <a:r>
            <a:rPr lang="en-US" sz="800"/>
            <a:t>1 - Denominator is 2</a:t>
          </a:r>
        </a:p>
        <a:p>
          <a:r>
            <a:rPr lang="en-US" sz="800"/>
            <a:t>2 - Denominator</a:t>
          </a:r>
          <a:r>
            <a:rPr lang="en-US" sz="800" baseline="0"/>
            <a:t> is 3</a:t>
          </a:r>
          <a:endParaRPr lang="en-US" sz="800"/>
        </a:p>
        <a:p>
          <a:r>
            <a:rPr lang="en-US" sz="800"/>
            <a:t>3</a:t>
          </a:r>
          <a:r>
            <a:rPr lang="en-US" sz="800" baseline="0"/>
            <a:t> - Denominator is 4</a:t>
          </a:r>
        </a:p>
        <a:p>
          <a:r>
            <a:rPr lang="en-US" sz="800" baseline="0"/>
            <a:t>4 - Denominator is 5</a:t>
          </a:r>
        </a:p>
        <a:p>
          <a:r>
            <a:rPr lang="en-US" sz="800" baseline="0"/>
            <a:t>5 - Denominator is 6</a:t>
          </a:r>
          <a:r>
            <a:rPr lang="en-US" sz="800"/>
            <a:t/>
          </a:r>
          <a:br>
            <a:rPr lang="en-US" sz="800"/>
          </a:br>
          <a:r>
            <a:rPr lang="en-US" sz="800"/>
            <a:t>6</a:t>
          </a:r>
          <a:r>
            <a:rPr lang="en-US" sz="800" baseline="0"/>
            <a:t> - Denominator is 7</a:t>
          </a:r>
        </a:p>
        <a:p>
          <a:r>
            <a:rPr lang="en-US" sz="800" baseline="0"/>
            <a:t>7 - Denominator is 8</a:t>
          </a:r>
          <a:endParaRPr lang="en-US" sz="800"/>
        </a:p>
      </xdr:txBody>
    </xdr:sp>
    <xdr:clientData/>
  </xdr:oneCellAnchor>
  <xdr:twoCellAnchor>
    <xdr:from>
      <xdr:col>37</xdr:col>
      <xdr:colOff>200025</xdr:colOff>
      <xdr:row>196</xdr:row>
      <xdr:rowOff>9525</xdr:rowOff>
    </xdr:from>
    <xdr:to>
      <xdr:col>38</xdr:col>
      <xdr:colOff>390525</xdr:colOff>
      <xdr:row>196</xdr:row>
      <xdr:rowOff>9525</xdr:rowOff>
    </xdr:to>
    <xdr:cxnSp macro="">
      <xdr:nvCxnSpPr>
        <xdr:cNvPr id="429" name="Straight Arrow Connector 428">
          <a:extLst>
            <a:ext uri="{FF2B5EF4-FFF2-40B4-BE49-F238E27FC236}">
              <a16:creationId xmlns:a16="http://schemas.microsoft.com/office/drawing/2014/main" xmlns="" id="{00000000-0008-0000-0400-0000AD010000}"/>
            </a:ext>
          </a:extLst>
        </xdr:cNvPr>
        <xdr:cNvCxnSpPr/>
      </xdr:nvCxnSpPr>
      <xdr:spPr>
        <a:xfrm>
          <a:off x="22755225" y="39471600"/>
          <a:ext cx="8001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200025</xdr:colOff>
      <xdr:row>196</xdr:row>
      <xdr:rowOff>9525</xdr:rowOff>
    </xdr:from>
    <xdr:to>
      <xdr:col>42</xdr:col>
      <xdr:colOff>304800</xdr:colOff>
      <xdr:row>196</xdr:row>
      <xdr:rowOff>9525</xdr:rowOff>
    </xdr:to>
    <xdr:cxnSp macro="">
      <xdr:nvCxnSpPr>
        <xdr:cNvPr id="431" name="Straight Arrow Connector 430">
          <a:extLst>
            <a:ext uri="{FF2B5EF4-FFF2-40B4-BE49-F238E27FC236}">
              <a16:creationId xmlns:a16="http://schemas.microsoft.com/office/drawing/2014/main" xmlns="" id="{00000000-0008-0000-0400-0000AF010000}"/>
            </a:ext>
          </a:extLst>
        </xdr:cNvPr>
        <xdr:cNvCxnSpPr/>
      </xdr:nvCxnSpPr>
      <xdr:spPr>
        <a:xfrm>
          <a:off x="24584025" y="39471600"/>
          <a:ext cx="132397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414704</xdr:colOff>
      <xdr:row>205</xdr:row>
      <xdr:rowOff>38100</xdr:rowOff>
    </xdr:from>
    <xdr:to>
      <xdr:col>45</xdr:col>
      <xdr:colOff>215893</xdr:colOff>
      <xdr:row>209</xdr:row>
      <xdr:rowOff>167119</xdr:rowOff>
    </xdr:to>
    <xdr:sp macro="" textlink="">
      <xdr:nvSpPr>
        <xdr:cNvPr id="446" name="Rectangle 445">
          <a:extLst>
            <a:ext uri="{FF2B5EF4-FFF2-40B4-BE49-F238E27FC236}">
              <a16:creationId xmlns:a16="http://schemas.microsoft.com/office/drawing/2014/main" xmlns="" id="{00000000-0008-0000-0400-0000BE010000}"/>
            </a:ext>
          </a:extLst>
        </xdr:cNvPr>
        <xdr:cNvSpPr/>
      </xdr:nvSpPr>
      <xdr:spPr>
        <a:xfrm>
          <a:off x="26564492" y="41398581"/>
          <a:ext cx="1017459" cy="9423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Counter/Glitch Fil. Clk. Sel.</a:t>
          </a:r>
          <a:endParaRPr lang="en-US" sz="1100" baseline="0"/>
        </a:p>
        <a:p>
          <a:pPr algn="ctr"/>
          <a:r>
            <a:rPr lang="en-US" sz="900"/>
            <a:t>LPTMR0_PSR[PCS]</a:t>
          </a:r>
        </a:p>
      </xdr:txBody>
    </xdr:sp>
    <xdr:clientData/>
  </xdr:twoCellAnchor>
  <xdr:twoCellAnchor>
    <xdr:from>
      <xdr:col>42</xdr:col>
      <xdr:colOff>302173</xdr:colOff>
      <xdr:row>205</xdr:row>
      <xdr:rowOff>171450</xdr:rowOff>
    </xdr:from>
    <xdr:to>
      <xdr:col>43</xdr:col>
      <xdr:colOff>400050</xdr:colOff>
      <xdr:row>205</xdr:row>
      <xdr:rowOff>171450</xdr:rowOff>
    </xdr:to>
    <xdr:cxnSp macro="">
      <xdr:nvCxnSpPr>
        <xdr:cNvPr id="447" name="Straight Arrow Connector 446">
          <a:extLst>
            <a:ext uri="{FF2B5EF4-FFF2-40B4-BE49-F238E27FC236}">
              <a16:creationId xmlns:a16="http://schemas.microsoft.com/office/drawing/2014/main" xmlns="" id="{00000000-0008-0000-0400-0000BF010000}"/>
            </a:ext>
          </a:extLst>
        </xdr:cNvPr>
        <xdr:cNvCxnSpPr/>
      </xdr:nvCxnSpPr>
      <xdr:spPr>
        <a:xfrm>
          <a:off x="25960552" y="41293174"/>
          <a:ext cx="70879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304800</xdr:colOff>
      <xdr:row>196</xdr:row>
      <xdr:rowOff>0</xdr:rowOff>
    </xdr:from>
    <xdr:to>
      <xdr:col>42</xdr:col>
      <xdr:colOff>304800</xdr:colOff>
      <xdr:row>205</xdr:row>
      <xdr:rowOff>180975</xdr:rowOff>
    </xdr:to>
    <xdr:cxnSp macro="">
      <xdr:nvCxnSpPr>
        <xdr:cNvPr id="448" name="Straight Arrow Connector 447">
          <a:extLst>
            <a:ext uri="{FF2B5EF4-FFF2-40B4-BE49-F238E27FC236}">
              <a16:creationId xmlns:a16="http://schemas.microsoft.com/office/drawing/2014/main" xmlns="" id="{00000000-0008-0000-0400-0000C0010000}"/>
            </a:ext>
          </a:extLst>
        </xdr:cNvPr>
        <xdr:cNvCxnSpPr/>
      </xdr:nvCxnSpPr>
      <xdr:spPr>
        <a:xfrm>
          <a:off x="25908000" y="39462075"/>
          <a:ext cx="0" cy="194310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336176</xdr:colOff>
      <xdr:row>206</xdr:row>
      <xdr:rowOff>100853</xdr:rowOff>
    </xdr:from>
    <xdr:to>
      <xdr:col>43</xdr:col>
      <xdr:colOff>388327</xdr:colOff>
      <xdr:row>206</xdr:row>
      <xdr:rowOff>100853</xdr:rowOff>
    </xdr:to>
    <xdr:cxnSp macro="">
      <xdr:nvCxnSpPr>
        <xdr:cNvPr id="455" name="Straight Arrow Connector 454">
          <a:extLst>
            <a:ext uri="{FF2B5EF4-FFF2-40B4-BE49-F238E27FC236}">
              <a16:creationId xmlns:a16="http://schemas.microsoft.com/office/drawing/2014/main" xmlns="" id="{00000000-0008-0000-0400-0000C7010000}"/>
            </a:ext>
          </a:extLst>
        </xdr:cNvPr>
        <xdr:cNvCxnSpPr/>
      </xdr:nvCxnSpPr>
      <xdr:spPr>
        <a:xfrm>
          <a:off x="14931407" y="41651834"/>
          <a:ext cx="11606708"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40</xdr:col>
      <xdr:colOff>534864</xdr:colOff>
      <xdr:row>193</xdr:row>
      <xdr:rowOff>153865</xdr:rowOff>
    </xdr:from>
    <xdr:ext cx="783981" cy="266700"/>
    <xdr:sp macro="" textlink="">
      <xdr:nvSpPr>
        <xdr:cNvPr id="456" name="TextBox 455">
          <a:extLst>
            <a:ext uri="{FF2B5EF4-FFF2-40B4-BE49-F238E27FC236}">
              <a16:creationId xmlns:a16="http://schemas.microsoft.com/office/drawing/2014/main" xmlns="" id="{00000000-0008-0000-0400-0000C8010000}"/>
            </a:ext>
          </a:extLst>
        </xdr:cNvPr>
        <xdr:cNvSpPr txBox="1"/>
      </xdr:nvSpPr>
      <xdr:spPr>
        <a:xfrm>
          <a:off x="24860249" y="39155077"/>
          <a:ext cx="78398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PCC Clock</a:t>
          </a:r>
        </a:p>
      </xdr:txBody>
    </xdr:sp>
    <xdr:clientData/>
  </xdr:oneCellAnchor>
  <xdr:twoCellAnchor>
    <xdr:from>
      <xdr:col>34</xdr:col>
      <xdr:colOff>600808</xdr:colOff>
      <xdr:row>207</xdr:row>
      <xdr:rowOff>102577</xdr:rowOff>
    </xdr:from>
    <xdr:to>
      <xdr:col>43</xdr:col>
      <xdr:colOff>411231</xdr:colOff>
      <xdr:row>207</xdr:row>
      <xdr:rowOff>102577</xdr:rowOff>
    </xdr:to>
    <xdr:cxnSp macro="">
      <xdr:nvCxnSpPr>
        <xdr:cNvPr id="458" name="Straight Arrow Connector 457">
          <a:extLst>
            <a:ext uri="{FF2B5EF4-FFF2-40B4-BE49-F238E27FC236}">
              <a16:creationId xmlns:a16="http://schemas.microsoft.com/office/drawing/2014/main" xmlns="" id="{00000000-0008-0000-0400-0000CA010000}"/>
            </a:ext>
          </a:extLst>
        </xdr:cNvPr>
        <xdr:cNvCxnSpPr/>
      </xdr:nvCxnSpPr>
      <xdr:spPr>
        <a:xfrm>
          <a:off x="21277385" y="41844058"/>
          <a:ext cx="5283634" cy="0"/>
        </a:xfrm>
        <a:prstGeom prst="straightConnector1">
          <a:avLst/>
        </a:prstGeom>
        <a:ln w="38100">
          <a:solidFill>
            <a:schemeClr val="bg1">
              <a:lumMod val="6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32</xdr:col>
      <xdr:colOff>227135</xdr:colOff>
      <xdr:row>206</xdr:row>
      <xdr:rowOff>161192</xdr:rowOff>
    </xdr:from>
    <xdr:ext cx="990600" cy="266700"/>
    <xdr:sp macro="" textlink="">
      <xdr:nvSpPr>
        <xdr:cNvPr id="459" name="TextBox 458">
          <a:hlinkClick xmlns:r="http://schemas.openxmlformats.org/officeDocument/2006/relationships" r:id="rId18"/>
          <a:extLst>
            <a:ext uri="{FF2B5EF4-FFF2-40B4-BE49-F238E27FC236}">
              <a16:creationId xmlns:a16="http://schemas.microsoft.com/office/drawing/2014/main" xmlns="" id="{00000000-0008-0000-0400-0000CB010000}"/>
            </a:ext>
          </a:extLst>
        </xdr:cNvPr>
        <xdr:cNvSpPr txBox="1"/>
      </xdr:nvSpPr>
      <xdr:spPr>
        <a:xfrm>
          <a:off x="19687443" y="4171217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LPO1K_CLK</a:t>
          </a:r>
        </a:p>
      </xdr:txBody>
    </xdr:sp>
    <xdr:clientData/>
  </xdr:oneCellAnchor>
  <xdr:oneCellAnchor>
    <xdr:from>
      <xdr:col>32</xdr:col>
      <xdr:colOff>219808</xdr:colOff>
      <xdr:row>207</xdr:row>
      <xdr:rowOff>175845</xdr:rowOff>
    </xdr:from>
    <xdr:ext cx="990600" cy="266700"/>
    <xdr:sp macro="" textlink="">
      <xdr:nvSpPr>
        <xdr:cNvPr id="468" name="TextBox 467">
          <a:hlinkClick xmlns:r="http://schemas.openxmlformats.org/officeDocument/2006/relationships" r:id="rId17"/>
          <a:extLst>
            <a:ext uri="{FF2B5EF4-FFF2-40B4-BE49-F238E27FC236}">
              <a16:creationId xmlns:a16="http://schemas.microsoft.com/office/drawing/2014/main" xmlns="" id="{00000000-0008-0000-0400-0000D4010000}"/>
            </a:ext>
          </a:extLst>
        </xdr:cNvPr>
        <xdr:cNvSpPr txBox="1"/>
      </xdr:nvSpPr>
      <xdr:spPr>
        <a:xfrm>
          <a:off x="19680116" y="4192465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35</xdr:col>
      <xdr:colOff>14653</xdr:colOff>
      <xdr:row>208</xdr:row>
      <xdr:rowOff>87923</xdr:rowOff>
    </xdr:from>
    <xdr:to>
      <xdr:col>43</xdr:col>
      <xdr:colOff>417635</xdr:colOff>
      <xdr:row>208</xdr:row>
      <xdr:rowOff>87923</xdr:rowOff>
    </xdr:to>
    <xdr:cxnSp macro="">
      <xdr:nvCxnSpPr>
        <xdr:cNvPr id="469" name="Straight Arrow Connector 468">
          <a:extLst>
            <a:ext uri="{FF2B5EF4-FFF2-40B4-BE49-F238E27FC236}">
              <a16:creationId xmlns:a16="http://schemas.microsoft.com/office/drawing/2014/main" xmlns="" id="{00000000-0008-0000-0400-0000D5010000}"/>
            </a:ext>
          </a:extLst>
        </xdr:cNvPr>
        <xdr:cNvCxnSpPr/>
      </xdr:nvCxnSpPr>
      <xdr:spPr>
        <a:xfrm>
          <a:off x="21299365" y="42049211"/>
          <a:ext cx="5268058"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549519</xdr:colOff>
      <xdr:row>211</xdr:row>
      <xdr:rowOff>14654</xdr:rowOff>
    </xdr:from>
    <xdr:ext cx="1095375" cy="608134"/>
    <xdr:sp macro="" textlink="">
      <xdr:nvSpPr>
        <xdr:cNvPr id="472" name="TextBox 471">
          <a:extLst>
            <a:ext uri="{FF2B5EF4-FFF2-40B4-BE49-F238E27FC236}">
              <a16:creationId xmlns:a16="http://schemas.microsoft.com/office/drawing/2014/main" xmlns="" id="{00000000-0008-0000-0400-0000D8010000}"/>
            </a:ext>
          </a:extLst>
        </xdr:cNvPr>
        <xdr:cNvSpPr txBox="1"/>
      </xdr:nvSpPr>
      <xdr:spPr>
        <a:xfrm>
          <a:off x="26699307" y="42613385"/>
          <a:ext cx="1095375" cy="608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SIRCDIV2_CLK</a:t>
          </a:r>
        </a:p>
        <a:p>
          <a:r>
            <a:rPr lang="en-US" sz="800"/>
            <a:t>1 - LPO1K_CLK</a:t>
          </a:r>
        </a:p>
        <a:p>
          <a:r>
            <a:rPr lang="en-US" sz="800"/>
            <a:t>2</a:t>
          </a:r>
          <a:r>
            <a:rPr lang="en-US" sz="800" baseline="0"/>
            <a:t> - RTC_CLK</a:t>
          </a:r>
        </a:p>
        <a:p>
          <a:r>
            <a:rPr lang="en-US" sz="800" baseline="0"/>
            <a:t>3 - PCC Clock</a:t>
          </a:r>
          <a:endParaRPr lang="en-US" sz="800"/>
        </a:p>
      </xdr:txBody>
    </xdr:sp>
    <xdr:clientData/>
  </xdr:oneCellAnchor>
  <xdr:twoCellAnchor>
    <xdr:from>
      <xdr:col>45</xdr:col>
      <xdr:colOff>227134</xdr:colOff>
      <xdr:row>207</xdr:row>
      <xdr:rowOff>7327</xdr:rowOff>
    </xdr:from>
    <xdr:to>
      <xdr:col>47</xdr:col>
      <xdr:colOff>395654</xdr:colOff>
      <xdr:row>207</xdr:row>
      <xdr:rowOff>7327</xdr:rowOff>
    </xdr:to>
    <xdr:cxnSp macro="">
      <xdr:nvCxnSpPr>
        <xdr:cNvPr id="481" name="Straight Arrow Connector 480">
          <a:extLst>
            <a:ext uri="{FF2B5EF4-FFF2-40B4-BE49-F238E27FC236}">
              <a16:creationId xmlns:a16="http://schemas.microsoft.com/office/drawing/2014/main" xmlns="" id="{00000000-0008-0000-0400-0000E1010000}"/>
            </a:ext>
          </a:extLst>
        </xdr:cNvPr>
        <xdr:cNvCxnSpPr/>
      </xdr:nvCxnSpPr>
      <xdr:spPr>
        <a:xfrm>
          <a:off x="27593192" y="41778115"/>
          <a:ext cx="13847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402981</xdr:colOff>
      <xdr:row>205</xdr:row>
      <xdr:rowOff>58615</xdr:rowOff>
    </xdr:from>
    <xdr:to>
      <xdr:col>49</xdr:col>
      <xdr:colOff>204171</xdr:colOff>
      <xdr:row>209</xdr:row>
      <xdr:rowOff>187634</xdr:rowOff>
    </xdr:to>
    <xdr:sp macro="" textlink="">
      <xdr:nvSpPr>
        <xdr:cNvPr id="482" name="Rectangle 481">
          <a:extLst>
            <a:ext uri="{FF2B5EF4-FFF2-40B4-BE49-F238E27FC236}">
              <a16:creationId xmlns:a16="http://schemas.microsoft.com/office/drawing/2014/main" xmlns="" id="{00000000-0008-0000-0400-0000E2010000}"/>
            </a:ext>
          </a:extLst>
        </xdr:cNvPr>
        <xdr:cNvSpPr/>
      </xdr:nvSpPr>
      <xdr:spPr>
        <a:xfrm>
          <a:off x="28985308" y="41419096"/>
          <a:ext cx="1017459" cy="9642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Glitch Cntr./Gtch.</a:t>
          </a:r>
          <a:r>
            <a:rPr lang="en-US" sz="1100" baseline="0"/>
            <a:t> Fil. Divider</a:t>
          </a:r>
        </a:p>
        <a:p>
          <a:pPr algn="ctr"/>
          <a:r>
            <a:rPr lang="en-US" sz="900"/>
            <a:t>LPTMR0_PSR[PRESCALE]</a:t>
          </a:r>
        </a:p>
      </xdr:txBody>
    </xdr:sp>
    <xdr:clientData/>
  </xdr:twoCellAnchor>
  <xdr:oneCellAnchor>
    <xdr:from>
      <xdr:col>47</xdr:col>
      <xdr:colOff>556846</xdr:colOff>
      <xdr:row>210</xdr:row>
      <xdr:rowOff>197827</xdr:rowOff>
    </xdr:from>
    <xdr:ext cx="1905000" cy="4000500"/>
    <xdr:sp macro="" textlink="">
      <xdr:nvSpPr>
        <xdr:cNvPr id="488" name="TextBox 487">
          <a:extLst>
            <a:ext uri="{FF2B5EF4-FFF2-40B4-BE49-F238E27FC236}">
              <a16:creationId xmlns:a16="http://schemas.microsoft.com/office/drawing/2014/main" xmlns="" id="{00000000-0008-0000-0400-0000E8010000}"/>
            </a:ext>
          </a:extLst>
        </xdr:cNvPr>
        <xdr:cNvSpPr txBox="1"/>
      </xdr:nvSpPr>
      <xdr:spPr>
        <a:xfrm>
          <a:off x="29139173" y="42606058"/>
          <a:ext cx="1905000" cy="400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 by 2; GF not supported</a:t>
          </a:r>
        </a:p>
        <a:p>
          <a:r>
            <a:rPr lang="en-US" sz="800"/>
            <a:t>1 - </a:t>
          </a:r>
          <a:r>
            <a:rPr lang="en-US" sz="800">
              <a:solidFill>
                <a:schemeClr val="tx1"/>
              </a:solidFill>
              <a:effectLst/>
              <a:latin typeface="+mn-lt"/>
              <a:ea typeface="+mn-ea"/>
              <a:cs typeface="+mn-cs"/>
            </a:rPr>
            <a:t>Divide by 4; GF recognizes change after 2 rising clock edges</a:t>
          </a:r>
        </a:p>
        <a:p>
          <a:r>
            <a:rPr lang="en-US" sz="800"/>
            <a:t>2 - </a:t>
          </a:r>
          <a:r>
            <a:rPr lang="en-US" sz="800">
              <a:solidFill>
                <a:schemeClr val="tx1"/>
              </a:solidFill>
              <a:effectLst/>
              <a:latin typeface="+mn-lt"/>
              <a:ea typeface="+mn-ea"/>
              <a:cs typeface="+mn-cs"/>
            </a:rPr>
            <a:t>Divide by 8; GF recognizes change after 4 rising clock edges</a:t>
          </a:r>
          <a:endParaRPr lang="en-US" sz="800">
            <a:effectLst/>
          </a:endParaRPr>
        </a:p>
        <a:p>
          <a:r>
            <a:rPr lang="en-US" sz="800"/>
            <a:t>3</a:t>
          </a:r>
          <a:r>
            <a:rPr lang="en-US" sz="800" baseline="0"/>
            <a:t> - </a:t>
          </a:r>
          <a:r>
            <a:rPr lang="en-US" sz="800">
              <a:solidFill>
                <a:schemeClr val="tx1"/>
              </a:solidFill>
              <a:effectLst/>
              <a:latin typeface="+mn-lt"/>
              <a:ea typeface="+mn-ea"/>
              <a:cs typeface="+mn-cs"/>
            </a:rPr>
            <a:t>Divide by 16; GF recognizes change after 8 rising clock edges</a:t>
          </a:r>
          <a:endParaRPr lang="en-US" sz="800">
            <a:effectLst/>
          </a:endParaRPr>
        </a:p>
        <a:p>
          <a:r>
            <a:rPr lang="en-US" sz="800" baseline="0"/>
            <a:t>4 - </a:t>
          </a:r>
          <a:r>
            <a:rPr lang="en-US" sz="800">
              <a:solidFill>
                <a:schemeClr val="tx1"/>
              </a:solidFill>
              <a:effectLst/>
              <a:latin typeface="+mn-lt"/>
              <a:ea typeface="+mn-ea"/>
              <a:cs typeface="+mn-cs"/>
            </a:rPr>
            <a:t>Divide by 32; GF recognizes change after 16 rising clock edges</a:t>
          </a:r>
          <a:endParaRPr lang="en-US" sz="8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800" baseline="0"/>
            <a:t>5 - </a:t>
          </a:r>
          <a:r>
            <a:rPr lang="en-US" sz="800">
              <a:solidFill>
                <a:schemeClr val="tx1"/>
              </a:solidFill>
              <a:effectLst/>
              <a:latin typeface="+mn-lt"/>
              <a:ea typeface="+mn-ea"/>
              <a:cs typeface="+mn-cs"/>
            </a:rPr>
            <a:t>Divide by 64; GF recognizes change after 32 rising clock edges</a:t>
          </a:r>
          <a:r>
            <a:rPr lang="en-US" sz="800"/>
            <a:t/>
          </a:r>
          <a:br>
            <a:rPr lang="en-US" sz="800"/>
          </a:br>
          <a:r>
            <a:rPr lang="en-US" sz="800"/>
            <a:t>6</a:t>
          </a:r>
          <a:r>
            <a:rPr lang="en-US" sz="800" baseline="0"/>
            <a:t> - </a:t>
          </a:r>
          <a:r>
            <a:rPr lang="en-US" sz="800">
              <a:solidFill>
                <a:schemeClr val="tx1"/>
              </a:solidFill>
              <a:effectLst/>
              <a:latin typeface="+mn-lt"/>
              <a:ea typeface="+mn-ea"/>
              <a:cs typeface="+mn-cs"/>
            </a:rPr>
            <a:t>Divide by 128; GF recognizes change after 64 rising clock edges</a:t>
          </a:r>
        </a:p>
        <a:p>
          <a:pPr eaLnBrk="1" fontAlgn="auto" latinLnBrk="0" hangingPunct="1"/>
          <a:r>
            <a:rPr lang="en-US" sz="800" baseline="0"/>
            <a:t>7 - </a:t>
          </a:r>
          <a:r>
            <a:rPr lang="en-US" sz="800">
              <a:solidFill>
                <a:schemeClr val="tx1"/>
              </a:solidFill>
              <a:effectLst/>
              <a:latin typeface="+mn-lt"/>
              <a:ea typeface="+mn-ea"/>
              <a:cs typeface="+mn-cs"/>
            </a:rPr>
            <a:t>Divide by 256; GF recognizes change after 128 rising clock edges</a:t>
          </a:r>
          <a:endParaRPr lang="en-US" sz="8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800" baseline="0"/>
            <a:t>8 - </a:t>
          </a:r>
          <a:r>
            <a:rPr lang="en-US" sz="800">
              <a:solidFill>
                <a:schemeClr val="tx1"/>
              </a:solidFill>
              <a:effectLst/>
              <a:latin typeface="+mn-lt"/>
              <a:ea typeface="+mn-ea"/>
              <a:cs typeface="+mn-cs"/>
            </a:rPr>
            <a:t>Divide by 512; GF recognizes change after 256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9 -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1024</a:t>
          </a:r>
          <a:r>
            <a:rPr lang="en-US" sz="800">
              <a:solidFill>
                <a:schemeClr val="tx1"/>
              </a:solidFill>
              <a:effectLst/>
              <a:latin typeface="+mn-lt"/>
              <a:ea typeface="+mn-ea"/>
              <a:cs typeface="+mn-cs"/>
            </a:rPr>
            <a:t>; GF recognizes change after 512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10 -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2048</a:t>
          </a:r>
          <a:r>
            <a:rPr lang="en-US" sz="800">
              <a:solidFill>
                <a:schemeClr val="tx1"/>
              </a:solidFill>
              <a:effectLst/>
              <a:latin typeface="+mn-lt"/>
              <a:ea typeface="+mn-ea"/>
              <a:cs typeface="+mn-cs"/>
            </a:rPr>
            <a:t>; GF recognizes change after 1024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11 -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4096</a:t>
          </a:r>
          <a:r>
            <a:rPr lang="en-US" sz="800">
              <a:solidFill>
                <a:schemeClr val="tx1"/>
              </a:solidFill>
              <a:effectLst/>
              <a:latin typeface="+mn-lt"/>
              <a:ea typeface="+mn-ea"/>
              <a:cs typeface="+mn-cs"/>
            </a:rPr>
            <a:t>; GF recognizes change after 2048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12 -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8192</a:t>
          </a:r>
          <a:r>
            <a:rPr lang="en-US" sz="800">
              <a:solidFill>
                <a:schemeClr val="tx1"/>
              </a:solidFill>
              <a:effectLst/>
              <a:latin typeface="+mn-lt"/>
              <a:ea typeface="+mn-ea"/>
              <a:cs typeface="+mn-cs"/>
            </a:rPr>
            <a:t>; GF recognizes change after 4096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13 -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16384</a:t>
          </a:r>
          <a:r>
            <a:rPr lang="en-US" sz="800">
              <a:solidFill>
                <a:schemeClr val="tx1"/>
              </a:solidFill>
              <a:effectLst/>
              <a:latin typeface="+mn-lt"/>
              <a:ea typeface="+mn-ea"/>
              <a:cs typeface="+mn-cs"/>
            </a:rPr>
            <a:t>; GF recognizes change after 8192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14 -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32768</a:t>
          </a:r>
          <a:r>
            <a:rPr lang="en-US" sz="800">
              <a:solidFill>
                <a:schemeClr val="tx1"/>
              </a:solidFill>
              <a:effectLst/>
              <a:latin typeface="+mn-lt"/>
              <a:ea typeface="+mn-ea"/>
              <a:cs typeface="+mn-cs"/>
            </a:rPr>
            <a:t>; GF recognizes change after 16384 rising clock edges</a:t>
          </a:r>
          <a:endParaRPr lang="en-US" sz="800" baseline="0"/>
        </a:p>
        <a:p>
          <a:pPr marL="0" marR="0" indent="0" defTabSz="914400" eaLnBrk="1" fontAlgn="auto" latinLnBrk="0" hangingPunct="1">
            <a:lnSpc>
              <a:spcPct val="100000"/>
            </a:lnSpc>
            <a:spcBef>
              <a:spcPts val="0"/>
            </a:spcBef>
            <a:spcAft>
              <a:spcPts val="0"/>
            </a:spcAft>
            <a:buClrTx/>
            <a:buSzTx/>
            <a:buFontTx/>
            <a:buNone/>
            <a:tabLst/>
            <a:defRPr/>
          </a:pPr>
          <a:r>
            <a:rPr lang="en-US" sz="800" baseline="0"/>
            <a:t>15 - </a:t>
          </a:r>
          <a:r>
            <a:rPr lang="en-US" sz="800">
              <a:solidFill>
                <a:schemeClr val="tx1"/>
              </a:solidFill>
              <a:effectLst/>
              <a:latin typeface="+mn-lt"/>
              <a:ea typeface="+mn-ea"/>
              <a:cs typeface="+mn-cs"/>
            </a:rPr>
            <a:t>Divide by</a:t>
          </a:r>
          <a:r>
            <a:rPr lang="en-US" sz="800" baseline="0">
              <a:solidFill>
                <a:schemeClr val="tx1"/>
              </a:solidFill>
              <a:effectLst/>
              <a:latin typeface="+mn-lt"/>
              <a:ea typeface="+mn-ea"/>
              <a:cs typeface="+mn-cs"/>
            </a:rPr>
            <a:t> 65536</a:t>
          </a:r>
          <a:r>
            <a:rPr lang="en-US" sz="800">
              <a:solidFill>
                <a:schemeClr val="tx1"/>
              </a:solidFill>
              <a:effectLst/>
              <a:latin typeface="+mn-lt"/>
              <a:ea typeface="+mn-ea"/>
              <a:cs typeface="+mn-cs"/>
            </a:rPr>
            <a:t>; GF recognizes change after 32768 rising clock edges</a:t>
          </a:r>
          <a:endParaRPr lang="en-US" sz="800">
            <a:effectLst/>
          </a:endParaRPr>
        </a:p>
        <a:p>
          <a:endParaRPr lang="en-US" sz="800"/>
        </a:p>
      </xdr:txBody>
    </xdr:sp>
    <xdr:clientData/>
  </xdr:oneCellAnchor>
  <xdr:twoCellAnchor>
    <xdr:from>
      <xdr:col>49</xdr:col>
      <xdr:colOff>212481</xdr:colOff>
      <xdr:row>207</xdr:row>
      <xdr:rowOff>21982</xdr:rowOff>
    </xdr:from>
    <xdr:to>
      <xdr:col>51</xdr:col>
      <xdr:colOff>168520</xdr:colOff>
      <xdr:row>207</xdr:row>
      <xdr:rowOff>21982</xdr:rowOff>
    </xdr:to>
    <xdr:cxnSp macro="">
      <xdr:nvCxnSpPr>
        <xdr:cNvPr id="489" name="Straight Arrow Connector 488">
          <a:extLst>
            <a:ext uri="{FF2B5EF4-FFF2-40B4-BE49-F238E27FC236}">
              <a16:creationId xmlns:a16="http://schemas.microsoft.com/office/drawing/2014/main" xmlns="" id="{00000000-0008-0000-0400-0000E9010000}"/>
            </a:ext>
          </a:extLst>
        </xdr:cNvPr>
        <xdr:cNvCxnSpPr/>
      </xdr:nvCxnSpPr>
      <xdr:spPr>
        <a:xfrm>
          <a:off x="30011077" y="41792770"/>
          <a:ext cx="1172308"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131884</xdr:colOff>
      <xdr:row>193</xdr:row>
      <xdr:rowOff>73269</xdr:rowOff>
    </xdr:from>
    <xdr:to>
      <xdr:col>47</xdr:col>
      <xdr:colOff>131884</xdr:colOff>
      <xdr:row>207</xdr:row>
      <xdr:rowOff>5130</xdr:rowOff>
    </xdr:to>
    <xdr:cxnSp macro="">
      <xdr:nvCxnSpPr>
        <xdr:cNvPr id="490" name="Straight Arrow Connector 489">
          <a:extLst>
            <a:ext uri="{FF2B5EF4-FFF2-40B4-BE49-F238E27FC236}">
              <a16:creationId xmlns:a16="http://schemas.microsoft.com/office/drawing/2014/main" xmlns="" id="{00000000-0008-0000-0400-0000EA010000}"/>
            </a:ext>
          </a:extLst>
        </xdr:cNvPr>
        <xdr:cNvCxnSpPr/>
      </xdr:nvCxnSpPr>
      <xdr:spPr>
        <a:xfrm>
          <a:off x="28714211" y="39074481"/>
          <a:ext cx="0" cy="270143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168517</xdr:colOff>
      <xdr:row>195</xdr:row>
      <xdr:rowOff>124558</xdr:rowOff>
    </xdr:from>
    <xdr:to>
      <xdr:col>51</xdr:col>
      <xdr:colOff>168517</xdr:colOff>
      <xdr:row>207</xdr:row>
      <xdr:rowOff>27111</xdr:rowOff>
    </xdr:to>
    <xdr:cxnSp macro="">
      <xdr:nvCxnSpPr>
        <xdr:cNvPr id="492" name="Straight Arrow Connector 491">
          <a:extLst>
            <a:ext uri="{FF2B5EF4-FFF2-40B4-BE49-F238E27FC236}">
              <a16:creationId xmlns:a16="http://schemas.microsoft.com/office/drawing/2014/main" xmlns="" id="{00000000-0008-0000-0400-0000EC010000}"/>
            </a:ext>
          </a:extLst>
        </xdr:cNvPr>
        <xdr:cNvCxnSpPr/>
      </xdr:nvCxnSpPr>
      <xdr:spPr>
        <a:xfrm>
          <a:off x="31183382" y="39514096"/>
          <a:ext cx="0" cy="228380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139211</xdr:colOff>
      <xdr:row>193</xdr:row>
      <xdr:rowOff>73269</xdr:rowOff>
    </xdr:from>
    <xdr:to>
      <xdr:col>51</xdr:col>
      <xdr:colOff>359020</xdr:colOff>
      <xdr:row>193</xdr:row>
      <xdr:rowOff>73269</xdr:rowOff>
    </xdr:to>
    <xdr:cxnSp macro="">
      <xdr:nvCxnSpPr>
        <xdr:cNvPr id="495" name="Straight Arrow Connector 494">
          <a:extLst>
            <a:ext uri="{FF2B5EF4-FFF2-40B4-BE49-F238E27FC236}">
              <a16:creationId xmlns:a16="http://schemas.microsoft.com/office/drawing/2014/main" xmlns="" id="{00000000-0008-0000-0400-0000EF010000}"/>
            </a:ext>
          </a:extLst>
        </xdr:cNvPr>
        <xdr:cNvCxnSpPr/>
      </xdr:nvCxnSpPr>
      <xdr:spPr>
        <a:xfrm>
          <a:off x="28721538" y="39074481"/>
          <a:ext cx="26523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161193</xdr:colOff>
      <xdr:row>195</xdr:row>
      <xdr:rowOff>109904</xdr:rowOff>
    </xdr:from>
    <xdr:to>
      <xdr:col>51</xdr:col>
      <xdr:colOff>388327</xdr:colOff>
      <xdr:row>195</xdr:row>
      <xdr:rowOff>109904</xdr:rowOff>
    </xdr:to>
    <xdr:cxnSp macro="">
      <xdr:nvCxnSpPr>
        <xdr:cNvPr id="496" name="Straight Arrow Connector 495">
          <a:extLst>
            <a:ext uri="{FF2B5EF4-FFF2-40B4-BE49-F238E27FC236}">
              <a16:creationId xmlns:a16="http://schemas.microsoft.com/office/drawing/2014/main" xmlns="" id="{00000000-0008-0000-0400-0000F0010000}"/>
            </a:ext>
          </a:extLst>
        </xdr:cNvPr>
        <xdr:cNvCxnSpPr/>
      </xdr:nvCxnSpPr>
      <xdr:spPr>
        <a:xfrm>
          <a:off x="31176058" y="39499442"/>
          <a:ext cx="2271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402981</xdr:colOff>
      <xdr:row>193</xdr:row>
      <xdr:rowOff>7327</xdr:rowOff>
    </xdr:from>
    <xdr:to>
      <xdr:col>53</xdr:col>
      <xdr:colOff>204170</xdr:colOff>
      <xdr:row>197</xdr:row>
      <xdr:rowOff>172981</xdr:rowOff>
    </xdr:to>
    <xdr:sp macro="" textlink="">
      <xdr:nvSpPr>
        <xdr:cNvPr id="497" name="Rectangle 496">
          <a:extLst>
            <a:ext uri="{FF2B5EF4-FFF2-40B4-BE49-F238E27FC236}">
              <a16:creationId xmlns:a16="http://schemas.microsoft.com/office/drawing/2014/main" xmlns="" id="{00000000-0008-0000-0400-0000F1010000}"/>
            </a:ext>
          </a:extLst>
        </xdr:cNvPr>
        <xdr:cNvSpPr/>
      </xdr:nvSpPr>
      <xdr:spPr>
        <a:xfrm>
          <a:off x="31417846" y="39008539"/>
          <a:ext cx="1017459" cy="9642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Glitch Cntr./Gtch.</a:t>
          </a:r>
          <a:r>
            <a:rPr lang="en-US" sz="1100" baseline="0"/>
            <a:t> Fil. Bypass</a:t>
          </a:r>
        </a:p>
        <a:p>
          <a:pPr algn="ctr"/>
          <a:r>
            <a:rPr lang="en-US" sz="900"/>
            <a:t>LPTMR0_PSR[PBYP]</a:t>
          </a:r>
        </a:p>
      </xdr:txBody>
    </xdr:sp>
    <xdr:clientData/>
  </xdr:twoCellAnchor>
  <xdr:oneCellAnchor>
    <xdr:from>
      <xdr:col>51</xdr:col>
      <xdr:colOff>564174</xdr:colOff>
      <xdr:row>199</xdr:row>
      <xdr:rowOff>0</xdr:rowOff>
    </xdr:from>
    <xdr:ext cx="1296865" cy="344365"/>
    <xdr:sp macro="" textlink="">
      <xdr:nvSpPr>
        <xdr:cNvPr id="498" name="TextBox 497">
          <a:extLst>
            <a:ext uri="{FF2B5EF4-FFF2-40B4-BE49-F238E27FC236}">
              <a16:creationId xmlns:a16="http://schemas.microsoft.com/office/drawing/2014/main" xmlns="" id="{00000000-0008-0000-0400-0000F2010000}"/>
            </a:ext>
          </a:extLst>
        </xdr:cNvPr>
        <xdr:cNvSpPr txBox="1"/>
      </xdr:nvSpPr>
      <xdr:spPr>
        <a:xfrm>
          <a:off x="31579039" y="40210154"/>
          <a:ext cx="1296865" cy="344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Go through Divider</a:t>
          </a:r>
        </a:p>
        <a:p>
          <a:r>
            <a:rPr lang="en-US" sz="800"/>
            <a:t>1 - Bypass Divider</a:t>
          </a:r>
        </a:p>
      </xdr:txBody>
    </xdr:sp>
    <xdr:clientData/>
  </xdr:oneCellAnchor>
  <xdr:twoCellAnchor>
    <xdr:from>
      <xdr:col>55</xdr:col>
      <xdr:colOff>14654</xdr:colOff>
      <xdr:row>193</xdr:row>
      <xdr:rowOff>21980</xdr:rowOff>
    </xdr:from>
    <xdr:to>
      <xdr:col>56</xdr:col>
      <xdr:colOff>402981</xdr:colOff>
      <xdr:row>193</xdr:row>
      <xdr:rowOff>21980</xdr:rowOff>
    </xdr:to>
    <xdr:cxnSp macro="">
      <xdr:nvCxnSpPr>
        <xdr:cNvPr id="503" name="Straight Arrow Connector 502">
          <a:extLst>
            <a:ext uri="{FF2B5EF4-FFF2-40B4-BE49-F238E27FC236}">
              <a16:creationId xmlns:a16="http://schemas.microsoft.com/office/drawing/2014/main" xmlns="" id="{00000000-0008-0000-0400-0000F7010000}"/>
            </a:ext>
          </a:extLst>
        </xdr:cNvPr>
        <xdr:cNvCxnSpPr/>
      </xdr:nvCxnSpPr>
      <xdr:spPr>
        <a:xfrm>
          <a:off x="33462058" y="39023192"/>
          <a:ext cx="996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14653</xdr:colOff>
      <xdr:row>193</xdr:row>
      <xdr:rowOff>14654</xdr:rowOff>
    </xdr:from>
    <xdr:to>
      <xdr:col>55</xdr:col>
      <xdr:colOff>14653</xdr:colOff>
      <xdr:row>196</xdr:row>
      <xdr:rowOff>7327</xdr:rowOff>
    </xdr:to>
    <xdr:cxnSp macro="">
      <xdr:nvCxnSpPr>
        <xdr:cNvPr id="504" name="Straight Arrow Connector 503">
          <a:extLst>
            <a:ext uri="{FF2B5EF4-FFF2-40B4-BE49-F238E27FC236}">
              <a16:creationId xmlns:a16="http://schemas.microsoft.com/office/drawing/2014/main" xmlns="" id="{00000000-0008-0000-0400-0000F8010000}"/>
            </a:ext>
          </a:extLst>
        </xdr:cNvPr>
        <xdr:cNvCxnSpPr/>
      </xdr:nvCxnSpPr>
      <xdr:spPr>
        <a:xfrm>
          <a:off x="33462057" y="39015866"/>
          <a:ext cx="0" cy="59348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212480</xdr:colOff>
      <xdr:row>196</xdr:row>
      <xdr:rowOff>14654</xdr:rowOff>
    </xdr:from>
    <xdr:to>
      <xdr:col>55</xdr:col>
      <xdr:colOff>14654</xdr:colOff>
      <xdr:row>196</xdr:row>
      <xdr:rowOff>14654</xdr:rowOff>
    </xdr:to>
    <xdr:cxnSp macro="">
      <xdr:nvCxnSpPr>
        <xdr:cNvPr id="505" name="Straight Arrow Connector 504">
          <a:extLst>
            <a:ext uri="{FF2B5EF4-FFF2-40B4-BE49-F238E27FC236}">
              <a16:creationId xmlns:a16="http://schemas.microsoft.com/office/drawing/2014/main" xmlns="" id="{00000000-0008-0000-0400-0000F9010000}"/>
            </a:ext>
          </a:extLst>
        </xdr:cNvPr>
        <xdr:cNvCxnSpPr/>
      </xdr:nvCxnSpPr>
      <xdr:spPr>
        <a:xfrm>
          <a:off x="32443615" y="39616673"/>
          <a:ext cx="101844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432289</xdr:colOff>
      <xdr:row>207</xdr:row>
      <xdr:rowOff>80597</xdr:rowOff>
    </xdr:from>
    <xdr:to>
      <xdr:col>55</xdr:col>
      <xdr:colOff>233479</xdr:colOff>
      <xdr:row>211</xdr:row>
      <xdr:rowOff>194961</xdr:rowOff>
    </xdr:to>
    <xdr:sp macro="" textlink="">
      <xdr:nvSpPr>
        <xdr:cNvPr id="509" name="Rectangle 508">
          <a:extLst>
            <a:ext uri="{FF2B5EF4-FFF2-40B4-BE49-F238E27FC236}">
              <a16:creationId xmlns:a16="http://schemas.microsoft.com/office/drawing/2014/main" xmlns="" id="{00000000-0008-0000-0400-0000FD010000}"/>
            </a:ext>
          </a:extLst>
        </xdr:cNvPr>
        <xdr:cNvSpPr/>
      </xdr:nvSpPr>
      <xdr:spPr>
        <a:xfrm>
          <a:off x="32663424" y="41851385"/>
          <a:ext cx="1017459" cy="9642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Pulse Input</a:t>
          </a:r>
          <a:endParaRPr lang="en-US" sz="1100" baseline="0"/>
        </a:p>
        <a:p>
          <a:pPr algn="ctr"/>
          <a:r>
            <a:rPr lang="en-US" sz="900"/>
            <a:t>LPTMR0_CSR[TPS]</a:t>
          </a:r>
        </a:p>
      </xdr:txBody>
    </xdr:sp>
    <xdr:clientData/>
  </xdr:twoCellAnchor>
  <xdr:oneCellAnchor>
    <xdr:from>
      <xdr:col>53</xdr:col>
      <xdr:colOff>564172</xdr:colOff>
      <xdr:row>213</xdr:row>
      <xdr:rowOff>21981</xdr:rowOff>
    </xdr:from>
    <xdr:ext cx="1230924" cy="608134"/>
    <xdr:sp macro="" textlink="">
      <xdr:nvSpPr>
        <xdr:cNvPr id="510" name="TextBox 509">
          <a:extLst>
            <a:ext uri="{FF2B5EF4-FFF2-40B4-BE49-F238E27FC236}">
              <a16:creationId xmlns:a16="http://schemas.microsoft.com/office/drawing/2014/main" xmlns="" id="{00000000-0008-0000-0400-0000FE010000}"/>
            </a:ext>
          </a:extLst>
        </xdr:cNvPr>
        <xdr:cNvSpPr txBox="1"/>
      </xdr:nvSpPr>
      <xdr:spPr>
        <a:xfrm>
          <a:off x="32795307" y="43067654"/>
          <a:ext cx="1230924" cy="608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TRGMUX_LPTMR0</a:t>
          </a:r>
        </a:p>
        <a:p>
          <a:r>
            <a:rPr lang="en-US" sz="800"/>
            <a:t>1 - LPTMR_ALT1</a:t>
          </a:r>
        </a:p>
        <a:p>
          <a:r>
            <a:rPr lang="en-US" sz="800"/>
            <a:t>2</a:t>
          </a:r>
          <a:r>
            <a:rPr lang="en-US" sz="800" baseline="0"/>
            <a:t> - LPTMR_ALT2</a:t>
          </a:r>
        </a:p>
        <a:p>
          <a:r>
            <a:rPr lang="en-US" sz="800" baseline="0"/>
            <a:t>3 - LPTMR_ALT3</a:t>
          </a:r>
          <a:endParaRPr lang="en-US" sz="800"/>
        </a:p>
      </xdr:txBody>
    </xdr:sp>
    <xdr:clientData/>
  </xdr:oneCellAnchor>
  <xdr:twoCellAnchor>
    <xdr:from>
      <xdr:col>53</xdr:col>
      <xdr:colOff>0</xdr:colOff>
      <xdr:row>208</xdr:row>
      <xdr:rowOff>109904</xdr:rowOff>
    </xdr:from>
    <xdr:to>
      <xdr:col>53</xdr:col>
      <xdr:colOff>417634</xdr:colOff>
      <xdr:row>208</xdr:row>
      <xdr:rowOff>109904</xdr:rowOff>
    </xdr:to>
    <xdr:cxnSp macro="">
      <xdr:nvCxnSpPr>
        <xdr:cNvPr id="512" name="Straight Arrow Connector 511">
          <a:extLst>
            <a:ext uri="{FF2B5EF4-FFF2-40B4-BE49-F238E27FC236}">
              <a16:creationId xmlns:a16="http://schemas.microsoft.com/office/drawing/2014/main" xmlns="" id="{00000000-0008-0000-0400-000000020000}"/>
            </a:ext>
          </a:extLst>
        </xdr:cNvPr>
        <xdr:cNvCxnSpPr/>
      </xdr:nvCxnSpPr>
      <xdr:spPr>
        <a:xfrm>
          <a:off x="32231135" y="42093173"/>
          <a:ext cx="4176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209</xdr:row>
      <xdr:rowOff>124558</xdr:rowOff>
    </xdr:from>
    <xdr:to>
      <xdr:col>53</xdr:col>
      <xdr:colOff>417634</xdr:colOff>
      <xdr:row>209</xdr:row>
      <xdr:rowOff>124558</xdr:rowOff>
    </xdr:to>
    <xdr:cxnSp macro="">
      <xdr:nvCxnSpPr>
        <xdr:cNvPr id="513" name="Straight Arrow Connector 512">
          <a:extLst>
            <a:ext uri="{FF2B5EF4-FFF2-40B4-BE49-F238E27FC236}">
              <a16:creationId xmlns:a16="http://schemas.microsoft.com/office/drawing/2014/main" xmlns="" id="{00000000-0008-0000-0400-000001020000}"/>
            </a:ext>
          </a:extLst>
        </xdr:cNvPr>
        <xdr:cNvCxnSpPr/>
      </xdr:nvCxnSpPr>
      <xdr:spPr>
        <a:xfrm>
          <a:off x="32231135" y="42320308"/>
          <a:ext cx="4176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13189</xdr:colOff>
      <xdr:row>210</xdr:row>
      <xdr:rowOff>115765</xdr:rowOff>
    </xdr:from>
    <xdr:to>
      <xdr:col>53</xdr:col>
      <xdr:colOff>430823</xdr:colOff>
      <xdr:row>210</xdr:row>
      <xdr:rowOff>115765</xdr:rowOff>
    </xdr:to>
    <xdr:cxnSp macro="">
      <xdr:nvCxnSpPr>
        <xdr:cNvPr id="514" name="Straight Arrow Connector 513">
          <a:extLst>
            <a:ext uri="{FF2B5EF4-FFF2-40B4-BE49-F238E27FC236}">
              <a16:creationId xmlns:a16="http://schemas.microsoft.com/office/drawing/2014/main" xmlns="" id="{00000000-0008-0000-0400-000002020000}"/>
            </a:ext>
          </a:extLst>
        </xdr:cNvPr>
        <xdr:cNvCxnSpPr/>
      </xdr:nvCxnSpPr>
      <xdr:spPr>
        <a:xfrm>
          <a:off x="32244324" y="42523996"/>
          <a:ext cx="4176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211</xdr:row>
      <xdr:rowOff>95250</xdr:rowOff>
    </xdr:from>
    <xdr:to>
      <xdr:col>53</xdr:col>
      <xdr:colOff>417634</xdr:colOff>
      <xdr:row>211</xdr:row>
      <xdr:rowOff>95250</xdr:rowOff>
    </xdr:to>
    <xdr:cxnSp macro="">
      <xdr:nvCxnSpPr>
        <xdr:cNvPr id="523" name="Straight Arrow Connector 522">
          <a:extLst>
            <a:ext uri="{FF2B5EF4-FFF2-40B4-BE49-F238E27FC236}">
              <a16:creationId xmlns:a16="http://schemas.microsoft.com/office/drawing/2014/main" xmlns="" id="{00000000-0008-0000-0400-00000B020000}"/>
            </a:ext>
          </a:extLst>
        </xdr:cNvPr>
        <xdr:cNvCxnSpPr/>
      </xdr:nvCxnSpPr>
      <xdr:spPr>
        <a:xfrm>
          <a:off x="32231135" y="42715962"/>
          <a:ext cx="4176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50</xdr:col>
      <xdr:colOff>87924</xdr:colOff>
      <xdr:row>207</xdr:row>
      <xdr:rowOff>183174</xdr:rowOff>
    </xdr:from>
    <xdr:ext cx="1164980" cy="266700"/>
    <xdr:sp macro="" textlink="">
      <xdr:nvSpPr>
        <xdr:cNvPr id="533" name="TextBox 532">
          <a:extLst>
            <a:ext uri="{FF2B5EF4-FFF2-40B4-BE49-F238E27FC236}">
              <a16:creationId xmlns:a16="http://schemas.microsoft.com/office/drawing/2014/main" xmlns="" id="{00000000-0008-0000-0400-000015020000}"/>
            </a:ext>
          </a:extLst>
        </xdr:cNvPr>
        <xdr:cNvSpPr txBox="1"/>
      </xdr:nvSpPr>
      <xdr:spPr>
        <a:xfrm>
          <a:off x="30494655" y="41953962"/>
          <a:ext cx="116498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TRGMUX_LPTMR0</a:t>
          </a:r>
        </a:p>
      </xdr:txBody>
    </xdr:sp>
    <xdr:clientData/>
  </xdr:oneCellAnchor>
  <xdr:oneCellAnchor>
    <xdr:from>
      <xdr:col>50</xdr:col>
      <xdr:colOff>388327</xdr:colOff>
      <xdr:row>208</xdr:row>
      <xdr:rowOff>183174</xdr:rowOff>
    </xdr:from>
    <xdr:ext cx="871902" cy="266700"/>
    <xdr:sp macro="" textlink="">
      <xdr:nvSpPr>
        <xdr:cNvPr id="539" name="TextBox 538">
          <a:extLst>
            <a:ext uri="{FF2B5EF4-FFF2-40B4-BE49-F238E27FC236}">
              <a16:creationId xmlns:a16="http://schemas.microsoft.com/office/drawing/2014/main" xmlns="" id="{00000000-0008-0000-0400-00001B020000}"/>
            </a:ext>
          </a:extLst>
        </xdr:cNvPr>
        <xdr:cNvSpPr txBox="1"/>
      </xdr:nvSpPr>
      <xdr:spPr>
        <a:xfrm>
          <a:off x="30795058" y="42166443"/>
          <a:ext cx="871902"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LPTMR_ALT1</a:t>
          </a:r>
        </a:p>
      </xdr:txBody>
    </xdr:sp>
    <xdr:clientData/>
  </xdr:oneCellAnchor>
  <xdr:oneCellAnchor>
    <xdr:from>
      <xdr:col>50</xdr:col>
      <xdr:colOff>344364</xdr:colOff>
      <xdr:row>209</xdr:row>
      <xdr:rowOff>205154</xdr:rowOff>
    </xdr:from>
    <xdr:ext cx="915865" cy="266700"/>
    <xdr:sp macro="" textlink="">
      <xdr:nvSpPr>
        <xdr:cNvPr id="547" name="TextBox 546">
          <a:extLst>
            <a:ext uri="{FF2B5EF4-FFF2-40B4-BE49-F238E27FC236}">
              <a16:creationId xmlns:a16="http://schemas.microsoft.com/office/drawing/2014/main" xmlns="" id="{00000000-0008-0000-0400-000023020000}"/>
            </a:ext>
          </a:extLst>
        </xdr:cNvPr>
        <xdr:cNvSpPr txBox="1"/>
      </xdr:nvSpPr>
      <xdr:spPr>
        <a:xfrm>
          <a:off x="30751095" y="42400904"/>
          <a:ext cx="91586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LPTMR_ALT2</a:t>
          </a:r>
        </a:p>
      </xdr:txBody>
    </xdr:sp>
    <xdr:clientData/>
  </xdr:oneCellAnchor>
  <xdr:oneCellAnchor>
    <xdr:from>
      <xdr:col>50</xdr:col>
      <xdr:colOff>351692</xdr:colOff>
      <xdr:row>210</xdr:row>
      <xdr:rowOff>197827</xdr:rowOff>
    </xdr:from>
    <xdr:ext cx="908538" cy="266700"/>
    <xdr:sp macro="" textlink="">
      <xdr:nvSpPr>
        <xdr:cNvPr id="548" name="TextBox 547">
          <a:extLst>
            <a:ext uri="{FF2B5EF4-FFF2-40B4-BE49-F238E27FC236}">
              <a16:creationId xmlns:a16="http://schemas.microsoft.com/office/drawing/2014/main" xmlns="" id="{00000000-0008-0000-0400-000024020000}"/>
            </a:ext>
          </a:extLst>
        </xdr:cNvPr>
        <xdr:cNvSpPr txBox="1"/>
      </xdr:nvSpPr>
      <xdr:spPr>
        <a:xfrm>
          <a:off x="30758423" y="42606058"/>
          <a:ext cx="908538"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LPTMR_ALT3</a:t>
          </a:r>
        </a:p>
      </xdr:txBody>
    </xdr:sp>
    <xdr:clientData/>
  </xdr:oneCellAnchor>
  <xdr:twoCellAnchor>
    <xdr:from>
      <xdr:col>55</xdr:col>
      <xdr:colOff>234461</xdr:colOff>
      <xdr:row>208</xdr:row>
      <xdr:rowOff>205155</xdr:rowOff>
    </xdr:from>
    <xdr:to>
      <xdr:col>57</xdr:col>
      <xdr:colOff>7327</xdr:colOff>
      <xdr:row>208</xdr:row>
      <xdr:rowOff>205155</xdr:rowOff>
    </xdr:to>
    <xdr:cxnSp macro="">
      <xdr:nvCxnSpPr>
        <xdr:cNvPr id="549" name="Straight Arrow Connector 548">
          <a:extLst>
            <a:ext uri="{FF2B5EF4-FFF2-40B4-BE49-F238E27FC236}">
              <a16:creationId xmlns:a16="http://schemas.microsoft.com/office/drawing/2014/main" xmlns="" id="{00000000-0008-0000-0400-000025020000}"/>
            </a:ext>
          </a:extLst>
        </xdr:cNvPr>
        <xdr:cNvCxnSpPr/>
      </xdr:nvCxnSpPr>
      <xdr:spPr>
        <a:xfrm>
          <a:off x="33681865" y="42188424"/>
          <a:ext cx="98913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200</xdr:row>
      <xdr:rowOff>0</xdr:rowOff>
    </xdr:from>
    <xdr:to>
      <xdr:col>57</xdr:col>
      <xdr:colOff>0</xdr:colOff>
      <xdr:row>208</xdr:row>
      <xdr:rowOff>197826</xdr:rowOff>
    </xdr:to>
    <xdr:cxnSp macro="">
      <xdr:nvCxnSpPr>
        <xdr:cNvPr id="555" name="Straight Arrow Connector 554">
          <a:extLst>
            <a:ext uri="{FF2B5EF4-FFF2-40B4-BE49-F238E27FC236}">
              <a16:creationId xmlns:a16="http://schemas.microsoft.com/office/drawing/2014/main" xmlns="" id="{00000000-0008-0000-0400-00002B020000}"/>
            </a:ext>
          </a:extLst>
        </xdr:cNvPr>
        <xdr:cNvCxnSpPr/>
      </xdr:nvCxnSpPr>
      <xdr:spPr>
        <a:xfrm>
          <a:off x="34663673" y="40407981"/>
          <a:ext cx="0" cy="177311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600808</xdr:colOff>
      <xdr:row>199</xdr:row>
      <xdr:rowOff>197826</xdr:rowOff>
    </xdr:from>
    <xdr:to>
      <xdr:col>57</xdr:col>
      <xdr:colOff>0</xdr:colOff>
      <xdr:row>199</xdr:row>
      <xdr:rowOff>197826</xdr:rowOff>
    </xdr:to>
    <xdr:cxnSp macro="">
      <xdr:nvCxnSpPr>
        <xdr:cNvPr id="556" name="Straight Arrow Connector 555">
          <a:extLst>
            <a:ext uri="{FF2B5EF4-FFF2-40B4-BE49-F238E27FC236}">
              <a16:creationId xmlns:a16="http://schemas.microsoft.com/office/drawing/2014/main" xmlns="" id="{00000000-0008-0000-0400-00002C020000}"/>
            </a:ext>
          </a:extLst>
        </xdr:cNvPr>
        <xdr:cNvCxnSpPr/>
      </xdr:nvCxnSpPr>
      <xdr:spPr>
        <a:xfrm>
          <a:off x="34048212" y="40407980"/>
          <a:ext cx="61546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1</xdr:colOff>
      <xdr:row>196</xdr:row>
      <xdr:rowOff>109904</xdr:rowOff>
    </xdr:from>
    <xdr:to>
      <xdr:col>56</xdr:col>
      <xdr:colOff>1</xdr:colOff>
      <xdr:row>200</xdr:row>
      <xdr:rowOff>7326</xdr:rowOff>
    </xdr:to>
    <xdr:cxnSp macro="">
      <xdr:nvCxnSpPr>
        <xdr:cNvPr id="557" name="Straight Arrow Connector 556">
          <a:extLst>
            <a:ext uri="{FF2B5EF4-FFF2-40B4-BE49-F238E27FC236}">
              <a16:creationId xmlns:a16="http://schemas.microsoft.com/office/drawing/2014/main" xmlns="" id="{00000000-0008-0000-0400-00002D020000}"/>
            </a:ext>
          </a:extLst>
        </xdr:cNvPr>
        <xdr:cNvCxnSpPr/>
      </xdr:nvCxnSpPr>
      <xdr:spPr>
        <a:xfrm>
          <a:off x="34055539" y="39711923"/>
          <a:ext cx="0" cy="70338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600808</xdr:colOff>
      <xdr:row>196</xdr:row>
      <xdr:rowOff>87923</xdr:rowOff>
    </xdr:from>
    <xdr:to>
      <xdr:col>56</xdr:col>
      <xdr:colOff>402980</xdr:colOff>
      <xdr:row>196</xdr:row>
      <xdr:rowOff>87923</xdr:rowOff>
    </xdr:to>
    <xdr:cxnSp macro="">
      <xdr:nvCxnSpPr>
        <xdr:cNvPr id="561" name="Straight Arrow Connector 560">
          <a:extLst>
            <a:ext uri="{FF2B5EF4-FFF2-40B4-BE49-F238E27FC236}">
              <a16:creationId xmlns:a16="http://schemas.microsoft.com/office/drawing/2014/main" xmlns="" id="{00000000-0008-0000-0400-000031020000}"/>
            </a:ext>
          </a:extLst>
        </xdr:cNvPr>
        <xdr:cNvCxnSpPr/>
      </xdr:nvCxnSpPr>
      <xdr:spPr>
        <a:xfrm>
          <a:off x="34048212" y="39689942"/>
          <a:ext cx="41030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521804</xdr:colOff>
      <xdr:row>535</xdr:row>
      <xdr:rowOff>167484</xdr:rowOff>
    </xdr:from>
    <xdr:ext cx="847725" cy="266700"/>
    <xdr:sp macro="" textlink="">
      <xdr:nvSpPr>
        <xdr:cNvPr id="508" name="TextBox 507">
          <a:hlinkClick xmlns:r="http://schemas.openxmlformats.org/officeDocument/2006/relationships" r:id="rId1"/>
          <a:extLst>
            <a:ext uri="{FF2B5EF4-FFF2-40B4-BE49-F238E27FC236}">
              <a16:creationId xmlns:a16="http://schemas.microsoft.com/office/drawing/2014/main" xmlns="" id="{00000000-0008-0000-0400-0000FC010000}"/>
            </a:ext>
          </a:extLst>
        </xdr:cNvPr>
        <xdr:cNvSpPr txBox="1"/>
      </xdr:nvSpPr>
      <xdr:spPr>
        <a:xfrm>
          <a:off x="5995016" y="10895031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BUS_CLK</a:t>
          </a:r>
        </a:p>
      </xdr:txBody>
    </xdr:sp>
    <xdr:clientData/>
  </xdr:oneCellAnchor>
  <xdr:oneCellAnchor>
    <xdr:from>
      <xdr:col>11</xdr:col>
      <xdr:colOff>504952</xdr:colOff>
      <xdr:row>535</xdr:row>
      <xdr:rowOff>162355</xdr:rowOff>
    </xdr:from>
    <xdr:ext cx="847725" cy="266700"/>
    <xdr:sp macro="" textlink="">
      <xdr:nvSpPr>
        <xdr:cNvPr id="565" name="TextBox 564">
          <a:hlinkClick xmlns:r="http://schemas.openxmlformats.org/officeDocument/2006/relationships" r:id="rId2"/>
          <a:extLst>
            <a:ext uri="{FF2B5EF4-FFF2-40B4-BE49-F238E27FC236}">
              <a16:creationId xmlns:a16="http://schemas.microsoft.com/office/drawing/2014/main" xmlns="" id="{00000000-0008-0000-0400-000035020000}"/>
            </a:ext>
          </a:extLst>
        </xdr:cNvPr>
        <xdr:cNvSpPr txBox="1"/>
      </xdr:nvSpPr>
      <xdr:spPr>
        <a:xfrm>
          <a:off x="7194433" y="108945182"/>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SYS_CLK</a:t>
          </a:r>
        </a:p>
      </xdr:txBody>
    </xdr:sp>
    <xdr:clientData/>
  </xdr:oneCellAnchor>
  <xdr:oneCellAnchor>
    <xdr:from>
      <xdr:col>13</xdr:col>
      <xdr:colOff>455129</xdr:colOff>
      <xdr:row>535</xdr:row>
      <xdr:rowOff>155315</xdr:rowOff>
    </xdr:from>
    <xdr:ext cx="990600" cy="266700"/>
    <xdr:sp macro="" textlink="">
      <xdr:nvSpPr>
        <xdr:cNvPr id="568" name="TextBox 567">
          <a:hlinkClick xmlns:r="http://schemas.openxmlformats.org/officeDocument/2006/relationships" r:id="rId3"/>
          <a:extLst>
            <a:ext uri="{FF2B5EF4-FFF2-40B4-BE49-F238E27FC236}">
              <a16:creationId xmlns:a16="http://schemas.microsoft.com/office/drawing/2014/main" xmlns="" id="{00000000-0008-0000-0400-000038020000}"/>
            </a:ext>
          </a:extLst>
        </xdr:cNvPr>
        <xdr:cNvSpPr txBox="1"/>
      </xdr:nvSpPr>
      <xdr:spPr>
        <a:xfrm>
          <a:off x="8422999" y="1073902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SPLLDIV1_CLK</a:t>
          </a:r>
        </a:p>
      </xdr:txBody>
    </xdr:sp>
    <xdr:clientData/>
  </xdr:oneCellAnchor>
  <xdr:oneCellAnchor>
    <xdr:from>
      <xdr:col>15</xdr:col>
      <xdr:colOff>455688</xdr:colOff>
      <xdr:row>535</xdr:row>
      <xdr:rowOff>181491</xdr:rowOff>
    </xdr:from>
    <xdr:ext cx="990600" cy="266700"/>
    <xdr:sp macro="" textlink="">
      <xdr:nvSpPr>
        <xdr:cNvPr id="577" name="TextBox 576">
          <a:hlinkClick xmlns:r="http://schemas.openxmlformats.org/officeDocument/2006/relationships" r:id="rId4"/>
          <a:extLst>
            <a:ext uri="{FF2B5EF4-FFF2-40B4-BE49-F238E27FC236}">
              <a16:creationId xmlns:a16="http://schemas.microsoft.com/office/drawing/2014/main" xmlns="" id="{00000000-0008-0000-0400-000041020000}"/>
            </a:ext>
          </a:extLst>
        </xdr:cNvPr>
        <xdr:cNvSpPr txBox="1"/>
      </xdr:nvSpPr>
      <xdr:spPr>
        <a:xfrm>
          <a:off x="9577707" y="108964318"/>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SPLLDIV2_CLK</a:t>
          </a:r>
        </a:p>
      </xdr:txBody>
    </xdr:sp>
    <xdr:clientData/>
  </xdr:oneCellAnchor>
  <xdr:oneCellAnchor>
    <xdr:from>
      <xdr:col>17</xdr:col>
      <xdr:colOff>466894</xdr:colOff>
      <xdr:row>535</xdr:row>
      <xdr:rowOff>162960</xdr:rowOff>
    </xdr:from>
    <xdr:ext cx="990600" cy="266700"/>
    <xdr:sp macro="" textlink="">
      <xdr:nvSpPr>
        <xdr:cNvPr id="578" name="TextBox 577">
          <a:hlinkClick xmlns:r="http://schemas.openxmlformats.org/officeDocument/2006/relationships" r:id="rId5"/>
          <a:extLst>
            <a:ext uri="{FF2B5EF4-FFF2-40B4-BE49-F238E27FC236}">
              <a16:creationId xmlns:a16="http://schemas.microsoft.com/office/drawing/2014/main" xmlns="" id="{00000000-0008-0000-0400-000042020000}"/>
            </a:ext>
          </a:extLst>
        </xdr:cNvPr>
        <xdr:cNvSpPr txBox="1"/>
      </xdr:nvSpPr>
      <xdr:spPr>
        <a:xfrm>
          <a:off x="10805182" y="108945787"/>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FIRCDIV1_CLK</a:t>
          </a:r>
        </a:p>
      </xdr:txBody>
    </xdr:sp>
    <xdr:clientData/>
  </xdr:oneCellAnchor>
  <xdr:oneCellAnchor>
    <xdr:from>
      <xdr:col>19</xdr:col>
      <xdr:colOff>433278</xdr:colOff>
      <xdr:row>535</xdr:row>
      <xdr:rowOff>181492</xdr:rowOff>
    </xdr:from>
    <xdr:ext cx="990600" cy="266700"/>
    <xdr:sp macro="" textlink="">
      <xdr:nvSpPr>
        <xdr:cNvPr id="579" name="TextBox 578">
          <a:hlinkClick xmlns:r="http://schemas.openxmlformats.org/officeDocument/2006/relationships" r:id="rId6"/>
          <a:extLst>
            <a:ext uri="{FF2B5EF4-FFF2-40B4-BE49-F238E27FC236}">
              <a16:creationId xmlns:a16="http://schemas.microsoft.com/office/drawing/2014/main" xmlns="" id="{00000000-0008-0000-0400-000043020000}"/>
            </a:ext>
          </a:extLst>
        </xdr:cNvPr>
        <xdr:cNvSpPr txBox="1"/>
      </xdr:nvSpPr>
      <xdr:spPr>
        <a:xfrm>
          <a:off x="11987836" y="108964319"/>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FIRCDIV2_CLK</a:t>
          </a:r>
        </a:p>
      </xdr:txBody>
    </xdr:sp>
    <xdr:clientData/>
  </xdr:oneCellAnchor>
  <xdr:oneCellAnchor>
    <xdr:from>
      <xdr:col>21</xdr:col>
      <xdr:colOff>466894</xdr:colOff>
      <xdr:row>535</xdr:row>
      <xdr:rowOff>174165</xdr:rowOff>
    </xdr:from>
    <xdr:ext cx="990600" cy="266700"/>
    <xdr:sp macro="" textlink="">
      <xdr:nvSpPr>
        <xdr:cNvPr id="580" name="TextBox 579">
          <a:hlinkClick xmlns:r="http://schemas.openxmlformats.org/officeDocument/2006/relationships" r:id="rId7"/>
          <a:extLst>
            <a:ext uri="{FF2B5EF4-FFF2-40B4-BE49-F238E27FC236}">
              <a16:creationId xmlns:a16="http://schemas.microsoft.com/office/drawing/2014/main" xmlns="" id="{00000000-0008-0000-0400-000044020000}"/>
            </a:ext>
          </a:extLst>
        </xdr:cNvPr>
        <xdr:cNvSpPr txBox="1"/>
      </xdr:nvSpPr>
      <xdr:spPr>
        <a:xfrm>
          <a:off x="13237721" y="108956992"/>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SIRCDIV1_CLK</a:t>
          </a:r>
        </a:p>
      </xdr:txBody>
    </xdr:sp>
    <xdr:clientData/>
  </xdr:oneCellAnchor>
  <xdr:oneCellAnchor>
    <xdr:from>
      <xdr:col>23</xdr:col>
      <xdr:colOff>455690</xdr:colOff>
      <xdr:row>535</xdr:row>
      <xdr:rowOff>161479</xdr:rowOff>
    </xdr:from>
    <xdr:ext cx="990600" cy="266700"/>
    <xdr:sp macro="" textlink="">
      <xdr:nvSpPr>
        <xdr:cNvPr id="581" name="TextBox 580">
          <a:hlinkClick xmlns:r="http://schemas.openxmlformats.org/officeDocument/2006/relationships" r:id="rId8"/>
          <a:extLst>
            <a:ext uri="{FF2B5EF4-FFF2-40B4-BE49-F238E27FC236}">
              <a16:creationId xmlns:a16="http://schemas.microsoft.com/office/drawing/2014/main" xmlns="" id="{00000000-0008-0000-0400-000045020000}"/>
            </a:ext>
          </a:extLst>
        </xdr:cNvPr>
        <xdr:cNvSpPr txBox="1"/>
      </xdr:nvSpPr>
      <xdr:spPr>
        <a:xfrm>
          <a:off x="14552690" y="107396414"/>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SIRCDIV2_CLK</a:t>
          </a:r>
        </a:p>
      </xdr:txBody>
    </xdr:sp>
    <xdr:clientData/>
  </xdr:oneCellAnchor>
  <xdr:oneCellAnchor>
    <xdr:from>
      <xdr:col>25</xdr:col>
      <xdr:colOff>466896</xdr:colOff>
      <xdr:row>535</xdr:row>
      <xdr:rowOff>188819</xdr:rowOff>
    </xdr:from>
    <xdr:ext cx="990600" cy="266700"/>
    <xdr:sp macro="" textlink="">
      <xdr:nvSpPr>
        <xdr:cNvPr id="582" name="TextBox 581">
          <a:hlinkClick xmlns:r="http://schemas.openxmlformats.org/officeDocument/2006/relationships" r:id="rId9"/>
          <a:extLst>
            <a:ext uri="{FF2B5EF4-FFF2-40B4-BE49-F238E27FC236}">
              <a16:creationId xmlns:a16="http://schemas.microsoft.com/office/drawing/2014/main" xmlns="" id="{00000000-0008-0000-0400-000046020000}"/>
            </a:ext>
          </a:extLst>
        </xdr:cNvPr>
        <xdr:cNvSpPr txBox="1"/>
      </xdr:nvSpPr>
      <xdr:spPr>
        <a:xfrm>
          <a:off x="15670261" y="10897164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SOSCDIV1_CLK</a:t>
          </a:r>
        </a:p>
      </xdr:txBody>
    </xdr:sp>
    <xdr:clientData/>
  </xdr:oneCellAnchor>
  <xdr:oneCellAnchor>
    <xdr:from>
      <xdr:col>27</xdr:col>
      <xdr:colOff>433278</xdr:colOff>
      <xdr:row>535</xdr:row>
      <xdr:rowOff>174166</xdr:rowOff>
    </xdr:from>
    <xdr:ext cx="990600" cy="266700"/>
    <xdr:sp macro="" textlink="">
      <xdr:nvSpPr>
        <xdr:cNvPr id="583" name="TextBox 582">
          <a:hlinkClick xmlns:r="http://schemas.openxmlformats.org/officeDocument/2006/relationships" r:id="rId10"/>
          <a:extLst>
            <a:ext uri="{FF2B5EF4-FFF2-40B4-BE49-F238E27FC236}">
              <a16:creationId xmlns:a16="http://schemas.microsoft.com/office/drawing/2014/main" xmlns="" id="{00000000-0008-0000-0400-000047020000}"/>
            </a:ext>
          </a:extLst>
        </xdr:cNvPr>
        <xdr:cNvSpPr txBox="1"/>
      </xdr:nvSpPr>
      <xdr:spPr>
        <a:xfrm>
          <a:off x="16852913" y="108956993"/>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SOSCDIV2_CLK</a:t>
          </a:r>
        </a:p>
      </xdr:txBody>
    </xdr:sp>
    <xdr:clientData/>
  </xdr:oneCellAnchor>
  <xdr:twoCellAnchor>
    <xdr:from>
      <xdr:col>0</xdr:col>
      <xdr:colOff>405847</xdr:colOff>
      <xdr:row>149</xdr:row>
      <xdr:rowOff>89399</xdr:rowOff>
    </xdr:from>
    <xdr:to>
      <xdr:col>2</xdr:col>
      <xdr:colOff>206850</xdr:colOff>
      <xdr:row>155</xdr:row>
      <xdr:rowOff>23844</xdr:rowOff>
    </xdr:to>
    <xdr:sp macro="" textlink="">
      <xdr:nvSpPr>
        <xdr:cNvPr id="585" name="Rectangle 584">
          <a:extLst>
            <a:ext uri="{FF2B5EF4-FFF2-40B4-BE49-F238E27FC236}">
              <a16:creationId xmlns:a16="http://schemas.microsoft.com/office/drawing/2014/main" xmlns="" id="{00000000-0008-0000-0400-000049020000}"/>
            </a:ext>
          </a:extLst>
        </xdr:cNvPr>
        <xdr:cNvSpPr/>
      </xdr:nvSpPr>
      <xdr:spPr>
        <a:xfrm>
          <a:off x="405847" y="30422861"/>
          <a:ext cx="1017272" cy="11653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NVIC</a:t>
          </a:r>
        </a:p>
      </xdr:txBody>
    </xdr:sp>
    <xdr:clientData/>
  </xdr:twoCellAnchor>
  <xdr:twoCellAnchor>
    <xdr:from>
      <xdr:col>2</xdr:col>
      <xdr:colOff>231913</xdr:colOff>
      <xdr:row>152</xdr:row>
      <xdr:rowOff>104052</xdr:rowOff>
    </xdr:from>
    <xdr:to>
      <xdr:col>7</xdr:col>
      <xdr:colOff>604632</xdr:colOff>
      <xdr:row>152</xdr:row>
      <xdr:rowOff>104052</xdr:rowOff>
    </xdr:to>
    <xdr:cxnSp macro="">
      <xdr:nvCxnSpPr>
        <xdr:cNvPr id="588" name="Straight Arrow Connector 587">
          <a:extLst>
            <a:ext uri="{FF2B5EF4-FFF2-40B4-BE49-F238E27FC236}">
              <a16:creationId xmlns:a16="http://schemas.microsoft.com/office/drawing/2014/main" xmlns="" id="{00000000-0008-0000-0400-00004C020000}"/>
            </a:ext>
          </a:extLst>
        </xdr:cNvPr>
        <xdr:cNvCxnSpPr/>
      </xdr:nvCxnSpPr>
      <xdr:spPr>
        <a:xfrm flipH="1">
          <a:off x="1448182" y="31045648"/>
          <a:ext cx="3413392"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588065</xdr:colOff>
      <xdr:row>151</xdr:row>
      <xdr:rowOff>179552</xdr:rowOff>
    </xdr:from>
    <xdr:ext cx="847725" cy="266700"/>
    <xdr:sp macro="" textlink="">
      <xdr:nvSpPr>
        <xdr:cNvPr id="595" name="TextBox 594">
          <a:hlinkClick xmlns:r="http://schemas.openxmlformats.org/officeDocument/2006/relationships" r:id="rId20"/>
          <a:extLst>
            <a:ext uri="{FF2B5EF4-FFF2-40B4-BE49-F238E27FC236}">
              <a16:creationId xmlns:a16="http://schemas.microsoft.com/office/drawing/2014/main" xmlns="" id="{00000000-0008-0000-0400-000053020000}"/>
            </a:ext>
          </a:extLst>
        </xdr:cNvPr>
        <xdr:cNvSpPr txBox="1"/>
      </xdr:nvSpPr>
      <xdr:spPr>
        <a:xfrm>
          <a:off x="5453142" y="3092332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CORE_CLK</a:t>
          </a:r>
        </a:p>
      </xdr:txBody>
    </xdr:sp>
    <xdr:clientData/>
  </xdr:oneCellAnchor>
  <xdr:twoCellAnchor>
    <xdr:from>
      <xdr:col>4</xdr:col>
      <xdr:colOff>240196</xdr:colOff>
      <xdr:row>121</xdr:row>
      <xdr:rowOff>57978</xdr:rowOff>
    </xdr:from>
    <xdr:to>
      <xdr:col>4</xdr:col>
      <xdr:colOff>379088</xdr:colOff>
      <xdr:row>121</xdr:row>
      <xdr:rowOff>57978</xdr:rowOff>
    </xdr:to>
    <xdr:cxnSp macro="">
      <xdr:nvCxnSpPr>
        <xdr:cNvPr id="599" name="Straight Arrow Connector 598">
          <a:extLst>
            <a:ext uri="{FF2B5EF4-FFF2-40B4-BE49-F238E27FC236}">
              <a16:creationId xmlns:a16="http://schemas.microsoft.com/office/drawing/2014/main" xmlns="" id="{00000000-0008-0000-0400-000057020000}"/>
            </a:ext>
          </a:extLst>
        </xdr:cNvPr>
        <xdr:cNvCxnSpPr/>
      </xdr:nvCxnSpPr>
      <xdr:spPr>
        <a:xfrm flipH="1">
          <a:off x="2691848" y="24326021"/>
          <a:ext cx="13889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231915</xdr:colOff>
      <xdr:row>121</xdr:row>
      <xdr:rowOff>49696</xdr:rowOff>
    </xdr:from>
    <xdr:to>
      <xdr:col>4</xdr:col>
      <xdr:colOff>231915</xdr:colOff>
      <xdr:row>127</xdr:row>
      <xdr:rowOff>8282</xdr:rowOff>
    </xdr:to>
    <xdr:cxnSp macro="">
      <xdr:nvCxnSpPr>
        <xdr:cNvPr id="604" name="Straight Arrow Connector 603">
          <a:extLst>
            <a:ext uri="{FF2B5EF4-FFF2-40B4-BE49-F238E27FC236}">
              <a16:creationId xmlns:a16="http://schemas.microsoft.com/office/drawing/2014/main" xmlns="" id="{00000000-0008-0000-0400-00005C020000}"/>
            </a:ext>
          </a:extLst>
        </xdr:cNvPr>
        <xdr:cNvCxnSpPr/>
      </xdr:nvCxnSpPr>
      <xdr:spPr>
        <a:xfrm>
          <a:off x="2683567" y="24317739"/>
          <a:ext cx="0" cy="1184413"/>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215349</xdr:colOff>
      <xdr:row>127</xdr:row>
      <xdr:rowOff>1</xdr:rowOff>
    </xdr:from>
    <xdr:to>
      <xdr:col>4</xdr:col>
      <xdr:colOff>231913</xdr:colOff>
      <xdr:row>127</xdr:row>
      <xdr:rowOff>1</xdr:rowOff>
    </xdr:to>
    <xdr:cxnSp macro="">
      <xdr:nvCxnSpPr>
        <xdr:cNvPr id="606" name="Straight Arrow Connector 605">
          <a:extLst>
            <a:ext uri="{FF2B5EF4-FFF2-40B4-BE49-F238E27FC236}">
              <a16:creationId xmlns:a16="http://schemas.microsoft.com/office/drawing/2014/main" xmlns="" id="{00000000-0008-0000-0400-00005E020000}"/>
            </a:ext>
          </a:extLst>
        </xdr:cNvPr>
        <xdr:cNvCxnSpPr/>
      </xdr:nvCxnSpPr>
      <xdr:spPr>
        <a:xfrm flipH="1">
          <a:off x="1441175" y="25493871"/>
          <a:ext cx="124239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455543</xdr:colOff>
      <xdr:row>123</xdr:row>
      <xdr:rowOff>107674</xdr:rowOff>
    </xdr:from>
    <xdr:to>
      <xdr:col>2</xdr:col>
      <xdr:colOff>256732</xdr:colOff>
      <xdr:row>127</xdr:row>
      <xdr:rowOff>182678</xdr:rowOff>
    </xdr:to>
    <xdr:sp macro="" textlink="">
      <xdr:nvSpPr>
        <xdr:cNvPr id="607" name="Rectangle 606">
          <a:extLst>
            <a:ext uri="{FF2B5EF4-FFF2-40B4-BE49-F238E27FC236}">
              <a16:creationId xmlns:a16="http://schemas.microsoft.com/office/drawing/2014/main" xmlns="" id="{00000000-0008-0000-0400-00005F020000}"/>
            </a:ext>
          </a:extLst>
        </xdr:cNvPr>
        <xdr:cNvSpPr/>
      </xdr:nvSpPr>
      <xdr:spPr>
        <a:xfrm>
          <a:off x="455543" y="24789848"/>
          <a:ext cx="1027015" cy="88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WDOG STOP1 Enable</a:t>
          </a:r>
          <a:endParaRPr lang="en-US" sz="1100" baseline="0"/>
        </a:p>
        <a:p>
          <a:pPr algn="ctr"/>
          <a:r>
            <a:rPr lang="en-US" sz="900"/>
            <a:t>WDOG_CS[STOP]</a:t>
          </a:r>
        </a:p>
      </xdr:txBody>
    </xdr:sp>
    <xdr:clientData/>
  </xdr:twoCellAnchor>
  <xdr:oneCellAnchor>
    <xdr:from>
      <xdr:col>0</xdr:col>
      <xdr:colOff>554935</xdr:colOff>
      <xdr:row>128</xdr:row>
      <xdr:rowOff>165652</xdr:rowOff>
    </xdr:from>
    <xdr:ext cx="1242391" cy="364435"/>
    <xdr:sp macro="" textlink="">
      <xdr:nvSpPr>
        <xdr:cNvPr id="608" name="TextBox 607">
          <a:extLst>
            <a:ext uri="{FF2B5EF4-FFF2-40B4-BE49-F238E27FC236}">
              <a16:creationId xmlns:a16="http://schemas.microsoft.com/office/drawing/2014/main" xmlns="" id="{00000000-0008-0000-0400-000060020000}"/>
            </a:ext>
          </a:extLst>
        </xdr:cNvPr>
        <xdr:cNvSpPr txBox="1"/>
      </xdr:nvSpPr>
      <xdr:spPr>
        <a:xfrm>
          <a:off x="554935" y="25866587"/>
          <a:ext cx="1242391" cy="364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 in STOP1</a:t>
          </a:r>
        </a:p>
        <a:p>
          <a:r>
            <a:rPr lang="en-US" sz="800"/>
            <a:t>1 - Enabled in STOP1</a:t>
          </a:r>
        </a:p>
      </xdr:txBody>
    </xdr:sp>
    <xdr:clientData/>
  </xdr:oneCellAnchor>
  <xdr:twoCellAnchor>
    <xdr:from>
      <xdr:col>0</xdr:col>
      <xdr:colOff>298174</xdr:colOff>
      <xdr:row>125</xdr:row>
      <xdr:rowOff>140803</xdr:rowOff>
    </xdr:from>
    <xdr:to>
      <xdr:col>0</xdr:col>
      <xdr:colOff>453631</xdr:colOff>
      <xdr:row>125</xdr:row>
      <xdr:rowOff>140803</xdr:rowOff>
    </xdr:to>
    <xdr:cxnSp macro="">
      <xdr:nvCxnSpPr>
        <xdr:cNvPr id="613" name="Straight Arrow Connector 612">
          <a:extLst>
            <a:ext uri="{FF2B5EF4-FFF2-40B4-BE49-F238E27FC236}">
              <a16:creationId xmlns:a16="http://schemas.microsoft.com/office/drawing/2014/main" xmlns="" id="{00000000-0008-0000-0400-000065020000}"/>
            </a:ext>
          </a:extLst>
        </xdr:cNvPr>
        <xdr:cNvCxnSpPr/>
      </xdr:nvCxnSpPr>
      <xdr:spPr>
        <a:xfrm flipH="1">
          <a:off x="298174" y="25228825"/>
          <a:ext cx="15545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306457</xdr:colOff>
      <xdr:row>122</xdr:row>
      <xdr:rowOff>198782</xdr:rowOff>
    </xdr:from>
    <xdr:to>
      <xdr:col>0</xdr:col>
      <xdr:colOff>306457</xdr:colOff>
      <xdr:row>125</xdr:row>
      <xdr:rowOff>149087</xdr:rowOff>
    </xdr:to>
    <xdr:cxnSp macro="">
      <xdr:nvCxnSpPr>
        <xdr:cNvPr id="621" name="Straight Arrow Connector 620">
          <a:extLst>
            <a:ext uri="{FF2B5EF4-FFF2-40B4-BE49-F238E27FC236}">
              <a16:creationId xmlns:a16="http://schemas.microsoft.com/office/drawing/2014/main" xmlns="" id="{00000000-0008-0000-0400-00006D020000}"/>
            </a:ext>
          </a:extLst>
        </xdr:cNvPr>
        <xdr:cNvCxnSpPr/>
      </xdr:nvCxnSpPr>
      <xdr:spPr>
        <a:xfrm>
          <a:off x="306457" y="24673891"/>
          <a:ext cx="0" cy="563218"/>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314740</xdr:colOff>
      <xdr:row>123</xdr:row>
      <xdr:rowOff>8282</xdr:rowOff>
    </xdr:from>
    <xdr:to>
      <xdr:col>4</xdr:col>
      <xdr:colOff>16565</xdr:colOff>
      <xdr:row>123</xdr:row>
      <xdr:rowOff>8282</xdr:rowOff>
    </xdr:to>
    <xdr:cxnSp macro="">
      <xdr:nvCxnSpPr>
        <xdr:cNvPr id="622" name="Straight Arrow Connector 621">
          <a:extLst>
            <a:ext uri="{FF2B5EF4-FFF2-40B4-BE49-F238E27FC236}">
              <a16:creationId xmlns:a16="http://schemas.microsoft.com/office/drawing/2014/main" xmlns="" id="{00000000-0008-0000-0400-00006E020000}"/>
            </a:ext>
          </a:extLst>
        </xdr:cNvPr>
        <xdr:cNvCxnSpPr/>
      </xdr:nvCxnSpPr>
      <xdr:spPr>
        <a:xfrm flipH="1">
          <a:off x="314740" y="24690456"/>
          <a:ext cx="215347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11598</xdr:colOff>
      <xdr:row>121</xdr:row>
      <xdr:rowOff>57979</xdr:rowOff>
    </xdr:from>
    <xdr:to>
      <xdr:col>4</xdr:col>
      <xdr:colOff>11598</xdr:colOff>
      <xdr:row>123</xdr:row>
      <xdr:rowOff>28160</xdr:rowOff>
    </xdr:to>
    <xdr:cxnSp macro="">
      <xdr:nvCxnSpPr>
        <xdr:cNvPr id="625" name="Straight Arrow Connector 624">
          <a:extLst>
            <a:ext uri="{FF2B5EF4-FFF2-40B4-BE49-F238E27FC236}">
              <a16:creationId xmlns:a16="http://schemas.microsoft.com/office/drawing/2014/main" xmlns="" id="{00000000-0008-0000-0400-000071020000}"/>
            </a:ext>
          </a:extLst>
        </xdr:cNvPr>
        <xdr:cNvCxnSpPr/>
      </xdr:nvCxnSpPr>
      <xdr:spPr>
        <a:xfrm>
          <a:off x="2463250" y="24326022"/>
          <a:ext cx="0" cy="384312"/>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339587</xdr:colOff>
      <xdr:row>61</xdr:row>
      <xdr:rowOff>57977</xdr:rowOff>
    </xdr:from>
    <xdr:to>
      <xdr:col>44</xdr:col>
      <xdr:colOff>273326</xdr:colOff>
      <xdr:row>64</xdr:row>
      <xdr:rowOff>139213</xdr:rowOff>
    </xdr:to>
    <xdr:sp macro="" textlink="">
      <xdr:nvSpPr>
        <xdr:cNvPr id="21" name="TextBox 20">
          <a:extLst>
            <a:ext uri="{FF2B5EF4-FFF2-40B4-BE49-F238E27FC236}">
              <a16:creationId xmlns:a16="http://schemas.microsoft.com/office/drawing/2014/main" xmlns="" id="{00000000-0008-0000-0400-000015000000}"/>
            </a:ext>
          </a:extLst>
        </xdr:cNvPr>
        <xdr:cNvSpPr txBox="1"/>
      </xdr:nvSpPr>
      <xdr:spPr>
        <a:xfrm>
          <a:off x="25273106" y="12491765"/>
          <a:ext cx="1758143" cy="682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Pretended</a:t>
          </a:r>
          <a:r>
            <a:rPr lang="en-US" sz="900" baseline="0"/>
            <a:t> networking supported in STOPx mode for FlexCAN0 only. Other CANs frozen in STOPx.</a:t>
          </a:r>
          <a:endParaRPr lang="en-US" sz="900"/>
        </a:p>
      </xdr:txBody>
    </xdr:sp>
    <xdr:clientData/>
  </xdr:twoCellAnchor>
  <xdr:twoCellAnchor>
    <xdr:from>
      <xdr:col>0</xdr:col>
      <xdr:colOff>400101</xdr:colOff>
      <xdr:row>156</xdr:row>
      <xdr:rowOff>97624</xdr:rowOff>
    </xdr:from>
    <xdr:to>
      <xdr:col>2</xdr:col>
      <xdr:colOff>220553</xdr:colOff>
      <xdr:row>160</xdr:row>
      <xdr:rowOff>172919</xdr:rowOff>
    </xdr:to>
    <xdr:grpSp>
      <xdr:nvGrpSpPr>
        <xdr:cNvPr id="584" name="Group 583">
          <a:extLst>
            <a:ext uri="{FF2B5EF4-FFF2-40B4-BE49-F238E27FC236}">
              <a16:creationId xmlns:a16="http://schemas.microsoft.com/office/drawing/2014/main" xmlns="" id="{00000000-0008-0000-0400-000048020000}"/>
            </a:ext>
          </a:extLst>
        </xdr:cNvPr>
        <xdr:cNvGrpSpPr/>
      </xdr:nvGrpSpPr>
      <xdr:grpSpPr>
        <a:xfrm>
          <a:off x="400101" y="29860448"/>
          <a:ext cx="1093440" cy="792471"/>
          <a:chOff x="610115" y="190500"/>
          <a:chExt cx="1033780" cy="734695"/>
        </a:xfrm>
      </xdr:grpSpPr>
      <xdr:sp macro="" textlink="">
        <xdr:nvSpPr>
          <xdr:cNvPr id="586" name="Rectangle 585">
            <a:extLst>
              <a:ext uri="{FF2B5EF4-FFF2-40B4-BE49-F238E27FC236}">
                <a16:creationId xmlns:a16="http://schemas.microsoft.com/office/drawing/2014/main" xmlns="" id="{00000000-0008-0000-0400-00004A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SMC</a:t>
            </a:r>
          </a:p>
        </xdr:txBody>
      </xdr:sp>
      <xdr:sp macro="" textlink="">
        <xdr:nvSpPr>
          <xdr:cNvPr id="587" name="TextBox 586">
            <a:extLst>
              <a:ext uri="{FF2B5EF4-FFF2-40B4-BE49-F238E27FC236}">
                <a16:creationId xmlns:a16="http://schemas.microsoft.com/office/drawing/2014/main" xmlns="" id="{00000000-0008-0000-0400-00004B020000}"/>
              </a:ext>
            </a:extLst>
          </xdr:cNvPr>
          <xdr:cNvSpPr txBox="1"/>
        </xdr:nvSpPr>
        <xdr:spPr>
          <a:xfrm>
            <a:off x="1014730"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2</xdr:col>
      <xdr:colOff>206941</xdr:colOff>
      <xdr:row>157</xdr:row>
      <xdr:rowOff>36129</xdr:rowOff>
    </xdr:from>
    <xdr:to>
      <xdr:col>10</xdr:col>
      <xdr:colOff>304800</xdr:colOff>
      <xdr:row>157</xdr:row>
      <xdr:rowOff>36129</xdr:rowOff>
    </xdr:to>
    <xdr:cxnSp macro="">
      <xdr:nvCxnSpPr>
        <xdr:cNvPr id="626" name="Straight Arrow Connector 625">
          <a:extLst>
            <a:ext uri="{FF2B5EF4-FFF2-40B4-BE49-F238E27FC236}">
              <a16:creationId xmlns:a16="http://schemas.microsoft.com/office/drawing/2014/main" xmlns="" id="{00000000-0008-0000-0400-000072020000}"/>
            </a:ext>
          </a:extLst>
        </xdr:cNvPr>
        <xdr:cNvCxnSpPr/>
      </xdr:nvCxnSpPr>
      <xdr:spPr>
        <a:xfrm flipH="1">
          <a:off x="1423210" y="31996167"/>
          <a:ext cx="4962936"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400050</xdr:colOff>
      <xdr:row>162</xdr:row>
      <xdr:rowOff>120268</xdr:rowOff>
    </xdr:from>
    <xdr:to>
      <xdr:col>2</xdr:col>
      <xdr:colOff>220502</xdr:colOff>
      <xdr:row>166</xdr:row>
      <xdr:rowOff>178336</xdr:rowOff>
    </xdr:to>
    <xdr:grpSp>
      <xdr:nvGrpSpPr>
        <xdr:cNvPr id="628" name="Group 627">
          <a:extLst>
            <a:ext uri="{FF2B5EF4-FFF2-40B4-BE49-F238E27FC236}">
              <a16:creationId xmlns:a16="http://schemas.microsoft.com/office/drawing/2014/main" xmlns="" id="{00000000-0008-0000-0400-000074020000}"/>
            </a:ext>
          </a:extLst>
        </xdr:cNvPr>
        <xdr:cNvGrpSpPr/>
      </xdr:nvGrpSpPr>
      <xdr:grpSpPr>
        <a:xfrm>
          <a:off x="400050" y="30985750"/>
          <a:ext cx="1093440" cy="811104"/>
          <a:chOff x="610115" y="190500"/>
          <a:chExt cx="1033780" cy="734695"/>
        </a:xfrm>
      </xdr:grpSpPr>
      <xdr:sp macro="" textlink="">
        <xdr:nvSpPr>
          <xdr:cNvPr id="629" name="Rectangle 628">
            <a:extLst>
              <a:ext uri="{FF2B5EF4-FFF2-40B4-BE49-F238E27FC236}">
                <a16:creationId xmlns:a16="http://schemas.microsoft.com/office/drawing/2014/main" xmlns="" id="{00000000-0008-0000-0400-000075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Cache</a:t>
            </a:r>
          </a:p>
        </xdr:txBody>
      </xdr:sp>
      <xdr:sp macro="" textlink="">
        <xdr:nvSpPr>
          <xdr:cNvPr id="632" name="TextBox 631">
            <a:extLst>
              <a:ext uri="{FF2B5EF4-FFF2-40B4-BE49-F238E27FC236}">
                <a16:creationId xmlns:a16="http://schemas.microsoft.com/office/drawing/2014/main" xmlns="" id="{00000000-0008-0000-0400-000078020000}"/>
              </a:ext>
            </a:extLst>
          </xdr:cNvPr>
          <xdr:cNvSpPr txBox="1"/>
        </xdr:nvSpPr>
        <xdr:spPr>
          <a:xfrm>
            <a:off x="1014730"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2</xdr:col>
      <xdr:colOff>257175</xdr:colOff>
      <xdr:row>163</xdr:row>
      <xdr:rowOff>30146</xdr:rowOff>
    </xdr:from>
    <xdr:to>
      <xdr:col>12</xdr:col>
      <xdr:colOff>314326</xdr:colOff>
      <xdr:row>163</xdr:row>
      <xdr:rowOff>30146</xdr:rowOff>
    </xdr:to>
    <xdr:cxnSp macro="">
      <xdr:nvCxnSpPr>
        <xdr:cNvPr id="635" name="Straight Arrow Connector 634">
          <a:extLst>
            <a:ext uri="{FF2B5EF4-FFF2-40B4-BE49-F238E27FC236}">
              <a16:creationId xmlns:a16="http://schemas.microsoft.com/office/drawing/2014/main" xmlns="" id="{00000000-0008-0000-0400-00007B020000}"/>
            </a:ext>
          </a:extLst>
        </xdr:cNvPr>
        <xdr:cNvCxnSpPr/>
      </xdr:nvCxnSpPr>
      <xdr:spPr>
        <a:xfrm flipH="1">
          <a:off x="1473444" y="33169819"/>
          <a:ext cx="6138497"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301870</xdr:colOff>
      <xdr:row>215</xdr:row>
      <xdr:rowOff>8273</xdr:rowOff>
    </xdr:from>
    <xdr:to>
      <xdr:col>7</xdr:col>
      <xdr:colOff>301870</xdr:colOff>
      <xdr:row>222</xdr:row>
      <xdr:rowOff>85301</xdr:rowOff>
    </xdr:to>
    <xdr:cxnSp macro="">
      <xdr:nvCxnSpPr>
        <xdr:cNvPr id="636" name="Straight Arrow Connector 635">
          <a:extLst>
            <a:ext uri="{FF2B5EF4-FFF2-40B4-BE49-F238E27FC236}">
              <a16:creationId xmlns:a16="http://schemas.microsoft.com/office/drawing/2014/main" xmlns="" id="{00000000-0008-0000-0400-00007C020000}"/>
            </a:ext>
          </a:extLst>
        </xdr:cNvPr>
        <xdr:cNvCxnSpPr/>
      </xdr:nvCxnSpPr>
      <xdr:spPr>
        <a:xfrm>
          <a:off x="4592261" y="43293186"/>
          <a:ext cx="0" cy="1435376"/>
        </a:xfrm>
        <a:prstGeom prst="straightConnector1">
          <a:avLst/>
        </a:prstGeom>
        <a:ln w="19050">
          <a:solidFill>
            <a:srgbClr val="7030A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504825</xdr:colOff>
      <xdr:row>212</xdr:row>
      <xdr:rowOff>172683</xdr:rowOff>
    </xdr:from>
    <xdr:ext cx="847725" cy="266700"/>
    <xdr:sp macro="" textlink="">
      <xdr:nvSpPr>
        <xdr:cNvPr id="638" name="TextBox 637">
          <a:hlinkClick xmlns:r="http://schemas.openxmlformats.org/officeDocument/2006/relationships" r:id="rId16"/>
          <a:extLst>
            <a:ext uri="{FF2B5EF4-FFF2-40B4-BE49-F238E27FC236}">
              <a16:creationId xmlns:a16="http://schemas.microsoft.com/office/drawing/2014/main" xmlns="" id="{00000000-0008-0000-0400-00007E020000}"/>
            </a:ext>
          </a:extLst>
        </xdr:cNvPr>
        <xdr:cNvSpPr txBox="1"/>
      </xdr:nvSpPr>
      <xdr:spPr>
        <a:xfrm>
          <a:off x="4182303" y="4285296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FLASH_CLK</a:t>
          </a:r>
        </a:p>
      </xdr:txBody>
    </xdr:sp>
    <xdr:clientData/>
  </xdr:oneCellAnchor>
  <xdr:twoCellAnchor>
    <xdr:from>
      <xdr:col>2</xdr:col>
      <xdr:colOff>228600</xdr:colOff>
      <xdr:row>216</xdr:row>
      <xdr:rowOff>36848</xdr:rowOff>
    </xdr:from>
    <xdr:to>
      <xdr:col>7</xdr:col>
      <xdr:colOff>301870</xdr:colOff>
      <xdr:row>216</xdr:row>
      <xdr:rowOff>36848</xdr:rowOff>
    </xdr:to>
    <xdr:cxnSp macro="">
      <xdr:nvCxnSpPr>
        <xdr:cNvPr id="639" name="Straight Arrow Connector 638">
          <a:extLst>
            <a:ext uri="{FF2B5EF4-FFF2-40B4-BE49-F238E27FC236}">
              <a16:creationId xmlns:a16="http://schemas.microsoft.com/office/drawing/2014/main" xmlns="" id="{00000000-0008-0000-0400-00007F020000}"/>
            </a:ext>
          </a:extLst>
        </xdr:cNvPr>
        <xdr:cNvCxnSpPr/>
      </xdr:nvCxnSpPr>
      <xdr:spPr>
        <a:xfrm flipH="1">
          <a:off x="1454426" y="43528826"/>
          <a:ext cx="3137835" cy="0"/>
        </a:xfrm>
        <a:prstGeom prst="straightConnector1">
          <a:avLst/>
        </a:prstGeom>
        <a:ln w="19050">
          <a:solidFill>
            <a:srgbClr val="7030A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390525</xdr:colOff>
      <xdr:row>215</xdr:row>
      <xdr:rowOff>141623</xdr:rowOff>
    </xdr:from>
    <xdr:to>
      <xdr:col>2</xdr:col>
      <xdr:colOff>210977</xdr:colOff>
      <xdr:row>220</xdr:row>
      <xdr:rowOff>7318</xdr:rowOff>
    </xdr:to>
    <xdr:grpSp>
      <xdr:nvGrpSpPr>
        <xdr:cNvPr id="641" name="Group 640">
          <a:extLst>
            <a:ext uri="{FF2B5EF4-FFF2-40B4-BE49-F238E27FC236}">
              <a16:creationId xmlns:a16="http://schemas.microsoft.com/office/drawing/2014/main" xmlns="" id="{00000000-0008-0000-0400-000081020000}"/>
            </a:ext>
          </a:extLst>
        </xdr:cNvPr>
        <xdr:cNvGrpSpPr/>
      </xdr:nvGrpSpPr>
      <xdr:grpSpPr>
        <a:xfrm>
          <a:off x="390525" y="41226870"/>
          <a:ext cx="1093440" cy="851813"/>
          <a:chOff x="610115" y="190500"/>
          <a:chExt cx="1033780" cy="734695"/>
        </a:xfrm>
      </xdr:grpSpPr>
      <xdr:sp macro="" textlink="">
        <xdr:nvSpPr>
          <xdr:cNvPr id="642" name="Rectangle 641">
            <a:extLst>
              <a:ext uri="{FF2B5EF4-FFF2-40B4-BE49-F238E27FC236}">
                <a16:creationId xmlns:a16="http://schemas.microsoft.com/office/drawing/2014/main" xmlns="" id="{00000000-0008-0000-0400-000082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Flash Memory</a:t>
            </a:r>
          </a:p>
        </xdr:txBody>
      </xdr:sp>
      <xdr:sp macro="" textlink="">
        <xdr:nvSpPr>
          <xdr:cNvPr id="643" name="TextBox 642">
            <a:extLst>
              <a:ext uri="{FF2B5EF4-FFF2-40B4-BE49-F238E27FC236}">
                <a16:creationId xmlns:a16="http://schemas.microsoft.com/office/drawing/2014/main" xmlns="" id="{00000000-0008-0000-0400-000083020000}"/>
              </a:ext>
            </a:extLst>
          </xdr:cNvPr>
          <xdr:cNvSpPr txBox="1"/>
        </xdr:nvSpPr>
        <xdr:spPr>
          <a:xfrm>
            <a:off x="1014730"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0</xdr:col>
      <xdr:colOff>409575</xdr:colOff>
      <xdr:row>221</xdr:row>
      <xdr:rowOff>69468</xdr:rowOff>
    </xdr:from>
    <xdr:to>
      <xdr:col>2</xdr:col>
      <xdr:colOff>230027</xdr:colOff>
      <xdr:row>225</xdr:row>
      <xdr:rowOff>187655</xdr:rowOff>
    </xdr:to>
    <xdr:grpSp>
      <xdr:nvGrpSpPr>
        <xdr:cNvPr id="644" name="Group 643">
          <a:extLst>
            <a:ext uri="{FF2B5EF4-FFF2-40B4-BE49-F238E27FC236}">
              <a16:creationId xmlns:a16="http://schemas.microsoft.com/office/drawing/2014/main" xmlns="" id="{00000000-0008-0000-0400-000084020000}"/>
            </a:ext>
          </a:extLst>
        </xdr:cNvPr>
        <xdr:cNvGrpSpPr/>
      </xdr:nvGrpSpPr>
      <xdr:grpSpPr>
        <a:xfrm>
          <a:off x="409575" y="42338056"/>
          <a:ext cx="1093440" cy="907081"/>
          <a:chOff x="610115" y="190500"/>
          <a:chExt cx="1033780" cy="734695"/>
        </a:xfrm>
      </xdr:grpSpPr>
      <xdr:sp macro="" textlink="">
        <xdr:nvSpPr>
          <xdr:cNvPr id="645" name="Rectangle 644">
            <a:extLst>
              <a:ext uri="{FF2B5EF4-FFF2-40B4-BE49-F238E27FC236}">
                <a16:creationId xmlns:a16="http://schemas.microsoft.com/office/drawing/2014/main" xmlns="" id="{00000000-0008-0000-0400-000085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 Memory</a:t>
            </a:r>
          </a:p>
        </xdr:txBody>
      </xdr:sp>
      <xdr:sp macro="" textlink="">
        <xdr:nvSpPr>
          <xdr:cNvPr id="646" name="TextBox 645">
            <a:extLst>
              <a:ext uri="{FF2B5EF4-FFF2-40B4-BE49-F238E27FC236}">
                <a16:creationId xmlns:a16="http://schemas.microsoft.com/office/drawing/2014/main" xmlns="" id="{00000000-0008-0000-0400-000086020000}"/>
              </a:ext>
            </a:extLst>
          </xdr:cNvPr>
          <xdr:cNvSpPr txBox="1"/>
        </xdr:nvSpPr>
        <xdr:spPr>
          <a:xfrm>
            <a:off x="1014730"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2</xdr:col>
      <xdr:colOff>228600</xdr:colOff>
      <xdr:row>222</xdr:row>
      <xdr:rowOff>75776</xdr:rowOff>
    </xdr:from>
    <xdr:to>
      <xdr:col>7</xdr:col>
      <xdr:colOff>301870</xdr:colOff>
      <xdr:row>222</xdr:row>
      <xdr:rowOff>75776</xdr:rowOff>
    </xdr:to>
    <xdr:cxnSp macro="">
      <xdr:nvCxnSpPr>
        <xdr:cNvPr id="647" name="Straight Arrow Connector 646">
          <a:extLst>
            <a:ext uri="{FF2B5EF4-FFF2-40B4-BE49-F238E27FC236}">
              <a16:creationId xmlns:a16="http://schemas.microsoft.com/office/drawing/2014/main" xmlns="" id="{00000000-0008-0000-0400-000087020000}"/>
            </a:ext>
          </a:extLst>
        </xdr:cNvPr>
        <xdr:cNvCxnSpPr/>
      </xdr:nvCxnSpPr>
      <xdr:spPr>
        <a:xfrm flipH="1">
          <a:off x="1454426" y="44719037"/>
          <a:ext cx="3137835" cy="0"/>
        </a:xfrm>
        <a:prstGeom prst="straightConnector1">
          <a:avLst/>
        </a:prstGeom>
        <a:ln w="19050">
          <a:solidFill>
            <a:srgbClr val="7030A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400050</xdr:colOff>
      <xdr:row>229</xdr:row>
      <xdr:rowOff>153627</xdr:rowOff>
    </xdr:from>
    <xdr:to>
      <xdr:col>2</xdr:col>
      <xdr:colOff>201435</xdr:colOff>
      <xdr:row>234</xdr:row>
      <xdr:rowOff>42927</xdr:rowOff>
    </xdr:to>
    <xdr:sp macro="" textlink="">
      <xdr:nvSpPr>
        <xdr:cNvPr id="650" name="Rectangle 649">
          <a:extLst>
            <a:ext uri="{FF2B5EF4-FFF2-40B4-BE49-F238E27FC236}">
              <a16:creationId xmlns:a16="http://schemas.microsoft.com/office/drawing/2014/main" xmlns="" id="{00000000-0008-0000-0400-00008A020000}"/>
            </a:ext>
          </a:extLst>
        </xdr:cNvPr>
        <xdr:cNvSpPr/>
      </xdr:nvSpPr>
      <xdr:spPr>
        <a:xfrm>
          <a:off x="400050" y="46163518"/>
          <a:ext cx="1027211" cy="841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Regulator</a:t>
          </a:r>
        </a:p>
      </xdr:txBody>
    </xdr:sp>
    <xdr:clientData/>
  </xdr:twoCellAnchor>
  <xdr:twoCellAnchor>
    <xdr:from>
      <xdr:col>0</xdr:col>
      <xdr:colOff>397565</xdr:colOff>
      <xdr:row>237</xdr:row>
      <xdr:rowOff>78669</xdr:rowOff>
    </xdr:from>
    <xdr:to>
      <xdr:col>2</xdr:col>
      <xdr:colOff>198950</xdr:colOff>
      <xdr:row>241</xdr:row>
      <xdr:rowOff>172963</xdr:rowOff>
    </xdr:to>
    <xdr:sp macro="" textlink="">
      <xdr:nvSpPr>
        <xdr:cNvPr id="654" name="Rectangle 653">
          <a:extLst>
            <a:ext uri="{FF2B5EF4-FFF2-40B4-BE49-F238E27FC236}">
              <a16:creationId xmlns:a16="http://schemas.microsoft.com/office/drawing/2014/main" xmlns="" id="{00000000-0008-0000-0400-00008E020000}"/>
            </a:ext>
          </a:extLst>
        </xdr:cNvPr>
        <xdr:cNvSpPr/>
      </xdr:nvSpPr>
      <xdr:spPr>
        <a:xfrm>
          <a:off x="397565" y="47645691"/>
          <a:ext cx="1027211" cy="8562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LVD/LVR</a:t>
          </a:r>
        </a:p>
      </xdr:txBody>
    </xdr:sp>
    <xdr:clientData/>
  </xdr:twoCellAnchor>
  <xdr:twoCellAnchor>
    <xdr:from>
      <xdr:col>0</xdr:col>
      <xdr:colOff>390525</xdr:colOff>
      <xdr:row>243</xdr:row>
      <xdr:rowOff>98133</xdr:rowOff>
    </xdr:from>
    <xdr:to>
      <xdr:col>2</xdr:col>
      <xdr:colOff>191910</xdr:colOff>
      <xdr:row>247</xdr:row>
      <xdr:rowOff>174206</xdr:rowOff>
    </xdr:to>
    <xdr:sp macro="" textlink="">
      <xdr:nvSpPr>
        <xdr:cNvPr id="657" name="Rectangle 656">
          <a:extLst>
            <a:ext uri="{FF2B5EF4-FFF2-40B4-BE49-F238E27FC236}">
              <a16:creationId xmlns:a16="http://schemas.microsoft.com/office/drawing/2014/main" xmlns="" id="{00000000-0008-0000-0400-000091020000}"/>
            </a:ext>
          </a:extLst>
        </xdr:cNvPr>
        <xdr:cNvSpPr/>
      </xdr:nvSpPr>
      <xdr:spPr>
        <a:xfrm>
          <a:off x="390525" y="48833003"/>
          <a:ext cx="1027211" cy="8463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Brown-out Detection</a:t>
          </a:r>
        </a:p>
      </xdr:txBody>
    </xdr:sp>
    <xdr:clientData/>
  </xdr:twoCellAnchor>
  <xdr:oneCellAnchor>
    <xdr:from>
      <xdr:col>6</xdr:col>
      <xdr:colOff>390525</xdr:colOff>
      <xdr:row>225</xdr:row>
      <xdr:rowOff>17384</xdr:rowOff>
    </xdr:from>
    <xdr:ext cx="1076325" cy="504824"/>
    <xdr:sp macro="" textlink="">
      <xdr:nvSpPr>
        <xdr:cNvPr id="659" name="TextBox 658">
          <a:extLst>
            <a:ext uri="{FF2B5EF4-FFF2-40B4-BE49-F238E27FC236}">
              <a16:creationId xmlns:a16="http://schemas.microsoft.com/office/drawing/2014/main" xmlns="" id="{00000000-0008-0000-0400-000093020000}"/>
            </a:ext>
          </a:extLst>
        </xdr:cNvPr>
        <xdr:cNvSpPr txBox="1"/>
      </xdr:nvSpPr>
      <xdr:spPr>
        <a:xfrm>
          <a:off x="4068003" y="45232145"/>
          <a:ext cx="1076325" cy="504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No Clock Required</a:t>
          </a:r>
        </a:p>
      </xdr:txBody>
    </xdr:sp>
    <xdr:clientData/>
  </xdr:oneCellAnchor>
  <xdr:twoCellAnchor>
    <xdr:from>
      <xdr:col>7</xdr:col>
      <xdr:colOff>304800</xdr:colOff>
      <xdr:row>228</xdr:row>
      <xdr:rowOff>2469</xdr:rowOff>
    </xdr:from>
    <xdr:to>
      <xdr:col>7</xdr:col>
      <xdr:colOff>304800</xdr:colOff>
      <xdr:row>245</xdr:row>
      <xdr:rowOff>122981</xdr:rowOff>
    </xdr:to>
    <xdr:cxnSp macro="">
      <xdr:nvCxnSpPr>
        <xdr:cNvPr id="661" name="Straight Arrow Connector 660">
          <a:extLst>
            <a:ext uri="{FF2B5EF4-FFF2-40B4-BE49-F238E27FC236}">
              <a16:creationId xmlns:a16="http://schemas.microsoft.com/office/drawing/2014/main" xmlns="" id="{00000000-0008-0000-0400-000095020000}"/>
            </a:ext>
          </a:extLst>
        </xdr:cNvPr>
        <xdr:cNvCxnSpPr/>
      </xdr:nvCxnSpPr>
      <xdr:spPr>
        <a:xfrm>
          <a:off x="4595191" y="45813578"/>
          <a:ext cx="0" cy="343355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228600</xdr:colOff>
      <xdr:row>231</xdr:row>
      <xdr:rowOff>187999</xdr:rowOff>
    </xdr:from>
    <xdr:to>
      <xdr:col>7</xdr:col>
      <xdr:colOff>301870</xdr:colOff>
      <xdr:row>231</xdr:row>
      <xdr:rowOff>187999</xdr:rowOff>
    </xdr:to>
    <xdr:cxnSp macro="">
      <xdr:nvCxnSpPr>
        <xdr:cNvPr id="669" name="Straight Arrow Connector 668">
          <a:extLst>
            <a:ext uri="{FF2B5EF4-FFF2-40B4-BE49-F238E27FC236}">
              <a16:creationId xmlns:a16="http://schemas.microsoft.com/office/drawing/2014/main" xmlns="" id="{00000000-0008-0000-0400-00009D020000}"/>
            </a:ext>
          </a:extLst>
        </xdr:cNvPr>
        <xdr:cNvCxnSpPr/>
      </xdr:nvCxnSpPr>
      <xdr:spPr>
        <a:xfrm flipH="1">
          <a:off x="1454426" y="46578890"/>
          <a:ext cx="31378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219075</xdr:colOff>
      <xdr:row>239</xdr:row>
      <xdr:rowOff>26903</xdr:rowOff>
    </xdr:from>
    <xdr:to>
      <xdr:col>7</xdr:col>
      <xdr:colOff>292345</xdr:colOff>
      <xdr:row>239</xdr:row>
      <xdr:rowOff>26903</xdr:rowOff>
    </xdr:to>
    <xdr:cxnSp macro="">
      <xdr:nvCxnSpPr>
        <xdr:cNvPr id="670" name="Straight Arrow Connector 669">
          <a:extLst>
            <a:ext uri="{FF2B5EF4-FFF2-40B4-BE49-F238E27FC236}">
              <a16:creationId xmlns:a16="http://schemas.microsoft.com/office/drawing/2014/main" xmlns="" id="{00000000-0008-0000-0400-00009E020000}"/>
            </a:ext>
          </a:extLst>
        </xdr:cNvPr>
        <xdr:cNvCxnSpPr/>
      </xdr:nvCxnSpPr>
      <xdr:spPr>
        <a:xfrm flipH="1">
          <a:off x="1444901" y="47974925"/>
          <a:ext cx="31378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228600</xdr:colOff>
      <xdr:row>245</xdr:row>
      <xdr:rowOff>122981</xdr:rowOff>
    </xdr:from>
    <xdr:to>
      <xdr:col>7</xdr:col>
      <xdr:colOff>301870</xdr:colOff>
      <xdr:row>245</xdr:row>
      <xdr:rowOff>122981</xdr:rowOff>
    </xdr:to>
    <xdr:cxnSp macro="">
      <xdr:nvCxnSpPr>
        <xdr:cNvPr id="672" name="Straight Arrow Connector 671">
          <a:extLst>
            <a:ext uri="{FF2B5EF4-FFF2-40B4-BE49-F238E27FC236}">
              <a16:creationId xmlns:a16="http://schemas.microsoft.com/office/drawing/2014/main" xmlns="" id="{00000000-0008-0000-0400-0000A0020000}"/>
            </a:ext>
          </a:extLst>
        </xdr:cNvPr>
        <xdr:cNvCxnSpPr/>
      </xdr:nvCxnSpPr>
      <xdr:spPr>
        <a:xfrm flipH="1">
          <a:off x="1454426" y="49247133"/>
          <a:ext cx="31378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256443</xdr:colOff>
      <xdr:row>183</xdr:row>
      <xdr:rowOff>5580</xdr:rowOff>
    </xdr:from>
    <xdr:to>
      <xdr:col>10</xdr:col>
      <xdr:colOff>323852</xdr:colOff>
      <xdr:row>183</xdr:row>
      <xdr:rowOff>5580</xdr:rowOff>
    </xdr:to>
    <xdr:cxnSp macro="">
      <xdr:nvCxnSpPr>
        <xdr:cNvPr id="681" name="Straight Arrow Connector 680">
          <a:extLst>
            <a:ext uri="{FF2B5EF4-FFF2-40B4-BE49-F238E27FC236}">
              <a16:creationId xmlns:a16="http://schemas.microsoft.com/office/drawing/2014/main" xmlns="" id="{00000000-0008-0000-0400-0000A9020000}"/>
            </a:ext>
          </a:extLst>
        </xdr:cNvPr>
        <xdr:cNvCxnSpPr/>
      </xdr:nvCxnSpPr>
      <xdr:spPr>
        <a:xfrm flipH="1">
          <a:off x="4513385" y="37292292"/>
          <a:ext cx="1891813"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414131</xdr:colOff>
      <xdr:row>170</xdr:row>
      <xdr:rowOff>99391</xdr:rowOff>
    </xdr:from>
    <xdr:to>
      <xdr:col>47</xdr:col>
      <xdr:colOff>215321</xdr:colOff>
      <xdr:row>174</xdr:row>
      <xdr:rowOff>177060</xdr:rowOff>
    </xdr:to>
    <xdr:sp macro="" textlink="">
      <xdr:nvSpPr>
        <xdr:cNvPr id="648" name="Rectangle 647">
          <a:extLst>
            <a:ext uri="{FF2B5EF4-FFF2-40B4-BE49-F238E27FC236}">
              <a16:creationId xmlns:a16="http://schemas.microsoft.com/office/drawing/2014/main" xmlns="" id="{00000000-0008-0000-0400-000088020000}"/>
            </a:ext>
          </a:extLst>
        </xdr:cNvPr>
        <xdr:cNvSpPr/>
      </xdr:nvSpPr>
      <xdr:spPr>
        <a:xfrm>
          <a:off x="27995218" y="34290000"/>
          <a:ext cx="1027016" cy="8976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FTM0 Clock Prescaler</a:t>
          </a:r>
        </a:p>
        <a:p>
          <a:pPr algn="ctr"/>
          <a:r>
            <a:rPr lang="en-US" sz="900"/>
            <a:t>FTM0_SC[PS]</a:t>
          </a:r>
        </a:p>
      </xdr:txBody>
    </xdr:sp>
    <xdr:clientData/>
  </xdr:twoCellAnchor>
  <xdr:oneCellAnchor>
    <xdr:from>
      <xdr:col>45</xdr:col>
      <xdr:colOff>579783</xdr:colOff>
      <xdr:row>175</xdr:row>
      <xdr:rowOff>198782</xdr:rowOff>
    </xdr:from>
    <xdr:ext cx="1432891" cy="1143001"/>
    <xdr:sp macro="" textlink="">
      <xdr:nvSpPr>
        <xdr:cNvPr id="652" name="TextBox 651">
          <a:extLst>
            <a:ext uri="{FF2B5EF4-FFF2-40B4-BE49-F238E27FC236}">
              <a16:creationId xmlns:a16="http://schemas.microsoft.com/office/drawing/2014/main" xmlns="" id="{00000000-0008-0000-0400-00008C020000}"/>
            </a:ext>
          </a:extLst>
        </xdr:cNvPr>
        <xdr:cNvSpPr txBox="1"/>
      </xdr:nvSpPr>
      <xdr:spPr>
        <a:xfrm>
          <a:off x="28160870" y="35416434"/>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231913</xdr:colOff>
      <xdr:row>173</xdr:row>
      <xdr:rowOff>33130</xdr:rowOff>
    </xdr:from>
    <xdr:to>
      <xdr:col>49</xdr:col>
      <xdr:colOff>41413</xdr:colOff>
      <xdr:row>173</xdr:row>
      <xdr:rowOff>33130</xdr:rowOff>
    </xdr:to>
    <xdr:cxnSp macro="">
      <xdr:nvCxnSpPr>
        <xdr:cNvPr id="693" name="Straight Arrow Connector 692">
          <a:extLst>
            <a:ext uri="{FF2B5EF4-FFF2-40B4-BE49-F238E27FC236}">
              <a16:creationId xmlns:a16="http://schemas.microsoft.com/office/drawing/2014/main" xmlns="" id="{00000000-0008-0000-0400-0000B5020000}"/>
            </a:ext>
          </a:extLst>
        </xdr:cNvPr>
        <xdr:cNvCxnSpPr/>
      </xdr:nvCxnSpPr>
      <xdr:spPr>
        <a:xfrm>
          <a:off x="29038826" y="34836652"/>
          <a:ext cx="1035326"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405848</xdr:colOff>
      <xdr:row>190</xdr:row>
      <xdr:rowOff>115957</xdr:rowOff>
    </xdr:from>
    <xdr:to>
      <xdr:col>45</xdr:col>
      <xdr:colOff>207038</xdr:colOff>
      <xdr:row>194</xdr:row>
      <xdr:rowOff>177058</xdr:rowOff>
    </xdr:to>
    <xdr:sp macro="" textlink="">
      <xdr:nvSpPr>
        <xdr:cNvPr id="694" name="Rectangle 693">
          <a:extLst>
            <a:ext uri="{FF2B5EF4-FFF2-40B4-BE49-F238E27FC236}">
              <a16:creationId xmlns:a16="http://schemas.microsoft.com/office/drawing/2014/main" xmlns="" id="{00000000-0008-0000-0400-0000B6020000}"/>
            </a:ext>
          </a:extLst>
        </xdr:cNvPr>
        <xdr:cNvSpPr/>
      </xdr:nvSpPr>
      <xdr:spPr>
        <a:xfrm>
          <a:off x="26761109" y="38365044"/>
          <a:ext cx="1027016" cy="8727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LPTMR Clock</a:t>
          </a:r>
          <a:r>
            <a:rPr lang="en-US" sz="1100" baseline="0"/>
            <a:t> Enable</a:t>
          </a:r>
        </a:p>
        <a:p>
          <a:pPr algn="ctr"/>
          <a:r>
            <a:rPr lang="en-US" sz="900"/>
            <a:t>PCC_LPTMR0[CGC]</a:t>
          </a:r>
        </a:p>
      </xdr:txBody>
    </xdr:sp>
    <xdr:clientData/>
  </xdr:twoCellAnchor>
  <xdr:twoCellAnchor>
    <xdr:from>
      <xdr:col>45</xdr:col>
      <xdr:colOff>215348</xdr:colOff>
      <xdr:row>192</xdr:row>
      <xdr:rowOff>8283</xdr:rowOff>
    </xdr:from>
    <xdr:to>
      <xdr:col>56</xdr:col>
      <xdr:colOff>414131</xdr:colOff>
      <xdr:row>192</xdr:row>
      <xdr:rowOff>8283</xdr:rowOff>
    </xdr:to>
    <xdr:cxnSp macro="">
      <xdr:nvCxnSpPr>
        <xdr:cNvPr id="695" name="Straight Arrow Connector 694">
          <a:extLst>
            <a:ext uri="{FF2B5EF4-FFF2-40B4-BE49-F238E27FC236}">
              <a16:creationId xmlns:a16="http://schemas.microsoft.com/office/drawing/2014/main" xmlns="" id="{00000000-0008-0000-0400-0000B7020000}"/>
            </a:ext>
          </a:extLst>
        </xdr:cNvPr>
        <xdr:cNvCxnSpPr/>
      </xdr:nvCxnSpPr>
      <xdr:spPr>
        <a:xfrm>
          <a:off x="27796435" y="38663218"/>
          <a:ext cx="69408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563217</xdr:colOff>
      <xdr:row>196</xdr:row>
      <xdr:rowOff>1</xdr:rowOff>
    </xdr:from>
    <xdr:ext cx="860534" cy="367862"/>
    <xdr:sp macro="" textlink="">
      <xdr:nvSpPr>
        <xdr:cNvPr id="696" name="TextBox 695">
          <a:extLst>
            <a:ext uri="{FF2B5EF4-FFF2-40B4-BE49-F238E27FC236}">
              <a16:creationId xmlns:a16="http://schemas.microsoft.com/office/drawing/2014/main" xmlns="" id="{00000000-0008-0000-0400-0000B8020000}"/>
            </a:ext>
          </a:extLst>
        </xdr:cNvPr>
        <xdr:cNvSpPr txBox="1"/>
      </xdr:nvSpPr>
      <xdr:spPr>
        <a:xfrm>
          <a:off x="26918478" y="39466631"/>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5</xdr:col>
      <xdr:colOff>437068</xdr:colOff>
      <xdr:row>182</xdr:row>
      <xdr:rowOff>63047</xdr:rowOff>
    </xdr:from>
    <xdr:to>
      <xdr:col>7</xdr:col>
      <xdr:colOff>284100</xdr:colOff>
      <xdr:row>186</xdr:row>
      <xdr:rowOff>195906</xdr:rowOff>
    </xdr:to>
    <xdr:grpSp>
      <xdr:nvGrpSpPr>
        <xdr:cNvPr id="294" name="Group 293">
          <a:hlinkClick xmlns:r="http://schemas.openxmlformats.org/officeDocument/2006/relationships" r:id="rId21"/>
          <a:extLst>
            <a:ext uri="{FF2B5EF4-FFF2-40B4-BE49-F238E27FC236}">
              <a16:creationId xmlns:a16="http://schemas.microsoft.com/office/drawing/2014/main" xmlns="" id="{00000000-0008-0000-0400-000026010000}"/>
            </a:ext>
          </a:extLst>
        </xdr:cNvPr>
        <xdr:cNvGrpSpPr/>
      </xdr:nvGrpSpPr>
      <xdr:grpSpPr>
        <a:xfrm>
          <a:off x="3619539" y="34774388"/>
          <a:ext cx="1120020" cy="894859"/>
          <a:chOff x="3477741" y="37159259"/>
          <a:chExt cx="1063301" cy="931493"/>
        </a:xfrm>
      </xdr:grpSpPr>
      <xdr:grpSp>
        <xdr:nvGrpSpPr>
          <xdr:cNvPr id="2" name="Group 1">
            <a:extLst>
              <a:ext uri="{FF2B5EF4-FFF2-40B4-BE49-F238E27FC236}">
                <a16:creationId xmlns:a16="http://schemas.microsoft.com/office/drawing/2014/main" xmlns="" id="{00000000-0008-0000-0400-000002000000}"/>
              </a:ext>
            </a:extLst>
          </xdr:cNvPr>
          <xdr:cNvGrpSpPr/>
        </xdr:nvGrpSpPr>
        <xdr:grpSpPr>
          <a:xfrm>
            <a:off x="3477741" y="37159259"/>
            <a:ext cx="1063301" cy="911781"/>
            <a:chOff x="4903304" y="32480225"/>
            <a:chExt cx="1073060" cy="916506"/>
          </a:xfrm>
        </xdr:grpSpPr>
        <xdr:grpSp>
          <xdr:nvGrpSpPr>
            <xdr:cNvPr id="706" name="Group 705">
              <a:extLst>
                <a:ext uri="{FF2B5EF4-FFF2-40B4-BE49-F238E27FC236}">
                  <a16:creationId xmlns:a16="http://schemas.microsoft.com/office/drawing/2014/main" xmlns="" id="{00000000-0008-0000-0400-0000C2020000}"/>
                </a:ext>
              </a:extLst>
            </xdr:cNvPr>
            <xdr:cNvGrpSpPr/>
          </xdr:nvGrpSpPr>
          <xdr:grpSpPr>
            <a:xfrm>
              <a:off x="4903304" y="32480225"/>
              <a:ext cx="1048903" cy="916506"/>
              <a:chOff x="3371851" y="30934172"/>
              <a:chExt cx="1042335" cy="925850"/>
            </a:xfrm>
          </xdr:grpSpPr>
          <xdr:sp macro="" textlink="">
            <xdr:nvSpPr>
              <xdr:cNvPr id="711" name="Rectangle 710">
                <a:extLst>
                  <a:ext uri="{FF2B5EF4-FFF2-40B4-BE49-F238E27FC236}">
                    <a16:creationId xmlns:a16="http://schemas.microsoft.com/office/drawing/2014/main" xmlns="" id="{00000000-0008-0000-0400-0000C7020000}"/>
                  </a:ext>
                </a:extLst>
              </xdr:cNvPr>
              <xdr:cNvSpPr/>
            </xdr:nvSpPr>
            <xdr:spPr>
              <a:xfrm>
                <a:off x="3371851" y="30980142"/>
                <a:ext cx="1020561" cy="8798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RTC</a:t>
                </a:r>
              </a:p>
              <a:p>
                <a:pPr algn="ctr"/>
                <a:r>
                  <a:rPr lang="en-US" sz="900"/>
                  <a:t>Click me for more info</a:t>
                </a:r>
              </a:p>
            </xdr:txBody>
          </xdr:sp>
          <xdr:sp macro="" textlink="">
            <xdr:nvSpPr>
              <xdr:cNvPr id="708" name="TextBox 707">
                <a:extLst>
                  <a:ext uri="{FF2B5EF4-FFF2-40B4-BE49-F238E27FC236}">
                    <a16:creationId xmlns:a16="http://schemas.microsoft.com/office/drawing/2014/main" xmlns="" id="{00000000-0008-0000-0400-0000C4020000}"/>
                  </a:ext>
                </a:extLst>
              </xdr:cNvPr>
              <xdr:cNvSpPr txBox="1"/>
            </xdr:nvSpPr>
            <xdr:spPr>
              <a:xfrm>
                <a:off x="3781426" y="30934172"/>
                <a:ext cx="632760" cy="283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sp macro="" textlink="">
          <xdr:nvSpPr>
            <xdr:cNvPr id="713" name="TextBox 712">
              <a:extLst>
                <a:ext uri="{FF2B5EF4-FFF2-40B4-BE49-F238E27FC236}">
                  <a16:creationId xmlns:a16="http://schemas.microsoft.com/office/drawing/2014/main" xmlns="" id="{00000000-0008-0000-0400-0000C9020000}"/>
                </a:ext>
              </a:extLst>
            </xdr:cNvPr>
            <xdr:cNvSpPr txBox="1"/>
          </xdr:nvSpPr>
          <xdr:spPr>
            <a:xfrm>
              <a:off x="5416071" y="32743296"/>
              <a:ext cx="560293" cy="280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1 kHz Clock</a:t>
              </a:r>
            </a:p>
          </xdr:txBody>
        </xdr:sp>
      </xdr:grpSp>
      <xdr:sp macro="" textlink="">
        <xdr:nvSpPr>
          <xdr:cNvPr id="772" name="TextBox 771">
            <a:extLst>
              <a:ext uri="{FF2B5EF4-FFF2-40B4-BE49-F238E27FC236}">
                <a16:creationId xmlns:a16="http://schemas.microsoft.com/office/drawing/2014/main" xmlns="" id="{00000000-0008-0000-0400-000004030000}"/>
              </a:ext>
            </a:extLst>
          </xdr:cNvPr>
          <xdr:cNvSpPr txBox="1"/>
        </xdr:nvSpPr>
        <xdr:spPr>
          <a:xfrm>
            <a:off x="3690223" y="37811355"/>
            <a:ext cx="844346" cy="279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32 kHz Clock</a:t>
            </a:r>
          </a:p>
        </xdr:txBody>
      </xdr:sp>
    </xdr:grpSp>
    <xdr:clientData/>
  </xdr:twoCellAnchor>
  <xdr:twoCellAnchor>
    <xdr:from>
      <xdr:col>4</xdr:col>
      <xdr:colOff>21981</xdr:colOff>
      <xdr:row>184</xdr:row>
      <xdr:rowOff>117231</xdr:rowOff>
    </xdr:from>
    <xdr:to>
      <xdr:col>5</xdr:col>
      <xdr:colOff>443278</xdr:colOff>
      <xdr:row>184</xdr:row>
      <xdr:rowOff>117231</xdr:rowOff>
    </xdr:to>
    <xdr:cxnSp macro="">
      <xdr:nvCxnSpPr>
        <xdr:cNvPr id="773" name="Straight Arrow Connector 772">
          <a:extLst>
            <a:ext uri="{FF2B5EF4-FFF2-40B4-BE49-F238E27FC236}">
              <a16:creationId xmlns:a16="http://schemas.microsoft.com/office/drawing/2014/main" xmlns="" id="{00000000-0008-0000-0400-000005030000}"/>
            </a:ext>
          </a:extLst>
        </xdr:cNvPr>
        <xdr:cNvCxnSpPr/>
      </xdr:nvCxnSpPr>
      <xdr:spPr>
        <a:xfrm flipH="1">
          <a:off x="2454519" y="37601769"/>
          <a:ext cx="102943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373672</xdr:colOff>
      <xdr:row>193</xdr:row>
      <xdr:rowOff>29298</xdr:rowOff>
    </xdr:from>
    <xdr:to>
      <xdr:col>2</xdr:col>
      <xdr:colOff>224599</xdr:colOff>
      <xdr:row>197</xdr:row>
      <xdr:rowOff>32059</xdr:rowOff>
    </xdr:to>
    <xdr:grpSp>
      <xdr:nvGrpSpPr>
        <xdr:cNvPr id="662" name="Group 661">
          <a:extLst>
            <a:ext uri="{FF2B5EF4-FFF2-40B4-BE49-F238E27FC236}">
              <a16:creationId xmlns:a16="http://schemas.microsoft.com/office/drawing/2014/main" xmlns="" id="{00000000-0008-0000-0400-000096020000}"/>
            </a:ext>
          </a:extLst>
        </xdr:cNvPr>
        <xdr:cNvGrpSpPr/>
      </xdr:nvGrpSpPr>
      <xdr:grpSpPr>
        <a:xfrm>
          <a:off x="373672" y="36838380"/>
          <a:ext cx="1123915" cy="773726"/>
          <a:chOff x="610115" y="190500"/>
          <a:chExt cx="1064161" cy="734695"/>
        </a:xfrm>
      </xdr:grpSpPr>
      <xdr:sp macro="" textlink="">
        <xdr:nvSpPr>
          <xdr:cNvPr id="663" name="Rectangle 662">
            <a:extLst>
              <a:ext uri="{FF2B5EF4-FFF2-40B4-BE49-F238E27FC236}">
                <a16:creationId xmlns:a16="http://schemas.microsoft.com/office/drawing/2014/main" xmlns="" id="{00000000-0008-0000-0400-000097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LPSPI1</a:t>
            </a:r>
          </a:p>
        </xdr:txBody>
      </xdr:sp>
      <xdr:sp macro="" textlink="">
        <xdr:nvSpPr>
          <xdr:cNvPr id="664" name="TextBox 663">
            <a:extLst>
              <a:ext uri="{FF2B5EF4-FFF2-40B4-BE49-F238E27FC236}">
                <a16:creationId xmlns:a16="http://schemas.microsoft.com/office/drawing/2014/main" xmlns="" id="{00000000-0008-0000-0400-00009802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665" name="TextBox 664">
            <a:extLst>
              <a:ext uri="{FF2B5EF4-FFF2-40B4-BE49-F238E27FC236}">
                <a16:creationId xmlns:a16="http://schemas.microsoft.com/office/drawing/2014/main" xmlns="" id="{00000000-0008-0000-0400-000099020000}"/>
              </a:ext>
            </a:extLst>
          </xdr:cNvPr>
          <xdr:cNvSpPr txBox="1"/>
        </xdr:nvSpPr>
        <xdr:spPr>
          <a:xfrm>
            <a:off x="961997" y="709226"/>
            <a:ext cx="712279"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393379</xdr:colOff>
      <xdr:row>191</xdr:row>
      <xdr:rowOff>36625</xdr:rowOff>
    </xdr:from>
    <xdr:to>
      <xdr:col>6</xdr:col>
      <xdr:colOff>194568</xdr:colOff>
      <xdr:row>194</xdr:row>
      <xdr:rowOff>180871</xdr:rowOff>
    </xdr:to>
    <xdr:sp macro="" textlink="">
      <xdr:nvSpPr>
        <xdr:cNvPr id="666" name="Rectangle 665">
          <a:extLst>
            <a:ext uri="{FF2B5EF4-FFF2-40B4-BE49-F238E27FC236}">
              <a16:creationId xmlns:a16="http://schemas.microsoft.com/office/drawing/2014/main" xmlns="" id="{00000000-0008-0000-0400-00009A020000}"/>
            </a:ext>
          </a:extLst>
        </xdr:cNvPr>
        <xdr:cNvSpPr/>
      </xdr:nvSpPr>
      <xdr:spPr>
        <a:xfrm>
          <a:off x="2825917" y="38905952"/>
          <a:ext cx="1017459" cy="7450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LPSPI1 Clock</a:t>
          </a:r>
          <a:r>
            <a:rPr lang="en-US" sz="1100" baseline="0"/>
            <a:t> Enable</a:t>
          </a:r>
        </a:p>
        <a:p>
          <a:pPr algn="ctr"/>
          <a:r>
            <a:rPr lang="en-US" sz="900"/>
            <a:t>PCC_LPSPI1[CGC]</a:t>
          </a:r>
        </a:p>
      </xdr:txBody>
    </xdr:sp>
    <xdr:clientData/>
  </xdr:twoCellAnchor>
  <xdr:oneCellAnchor>
    <xdr:from>
      <xdr:col>4</xdr:col>
      <xdr:colOff>537897</xdr:colOff>
      <xdr:row>195</xdr:row>
      <xdr:rowOff>195037</xdr:rowOff>
    </xdr:from>
    <xdr:ext cx="860534" cy="367862"/>
    <xdr:sp macro="" textlink="">
      <xdr:nvSpPr>
        <xdr:cNvPr id="673" name="TextBox 672">
          <a:extLst>
            <a:ext uri="{FF2B5EF4-FFF2-40B4-BE49-F238E27FC236}">
              <a16:creationId xmlns:a16="http://schemas.microsoft.com/office/drawing/2014/main" xmlns="" id="{00000000-0008-0000-0400-0000A1020000}"/>
            </a:ext>
          </a:extLst>
        </xdr:cNvPr>
        <xdr:cNvSpPr txBox="1"/>
      </xdr:nvSpPr>
      <xdr:spPr>
        <a:xfrm>
          <a:off x="2970435" y="3986299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2</xdr:col>
      <xdr:colOff>184137</xdr:colOff>
      <xdr:row>193</xdr:row>
      <xdr:rowOff>149175</xdr:rowOff>
    </xdr:from>
    <xdr:to>
      <xdr:col>4</xdr:col>
      <xdr:colOff>393379</xdr:colOff>
      <xdr:row>193</xdr:row>
      <xdr:rowOff>149175</xdr:rowOff>
    </xdr:to>
    <xdr:cxnSp macro="">
      <xdr:nvCxnSpPr>
        <xdr:cNvPr id="674" name="Straight Arrow Connector 673">
          <a:extLst>
            <a:ext uri="{FF2B5EF4-FFF2-40B4-BE49-F238E27FC236}">
              <a16:creationId xmlns:a16="http://schemas.microsoft.com/office/drawing/2014/main" xmlns="" id="{00000000-0008-0000-0400-0000A2020000}"/>
            </a:ext>
          </a:extLst>
        </xdr:cNvPr>
        <xdr:cNvCxnSpPr/>
      </xdr:nvCxnSpPr>
      <xdr:spPr>
        <a:xfrm flipH="1">
          <a:off x="1400406" y="39428810"/>
          <a:ext cx="142551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380241</xdr:colOff>
      <xdr:row>198</xdr:row>
      <xdr:rowOff>179626</xdr:rowOff>
    </xdr:from>
    <xdr:to>
      <xdr:col>6</xdr:col>
      <xdr:colOff>181430</xdr:colOff>
      <xdr:row>202</xdr:row>
      <xdr:rowOff>180870</xdr:rowOff>
    </xdr:to>
    <xdr:sp macro="" textlink="">
      <xdr:nvSpPr>
        <xdr:cNvPr id="676" name="Rectangle 675">
          <a:extLst>
            <a:ext uri="{FF2B5EF4-FFF2-40B4-BE49-F238E27FC236}">
              <a16:creationId xmlns:a16="http://schemas.microsoft.com/office/drawing/2014/main" xmlns="" id="{00000000-0008-0000-0400-0000A4020000}"/>
            </a:ext>
          </a:extLst>
        </xdr:cNvPr>
        <xdr:cNvSpPr/>
      </xdr:nvSpPr>
      <xdr:spPr>
        <a:xfrm>
          <a:off x="2812779" y="40477703"/>
          <a:ext cx="1017459" cy="7925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LPSPI1 Per.</a:t>
          </a:r>
          <a:r>
            <a:rPr lang="en-US" sz="1100" baseline="0"/>
            <a:t> </a:t>
          </a:r>
          <a:r>
            <a:rPr lang="en-US" sz="1100"/>
            <a:t>Clk.</a:t>
          </a:r>
          <a:r>
            <a:rPr lang="en-US" sz="1100" baseline="0"/>
            <a:t> Select</a:t>
          </a:r>
        </a:p>
        <a:p>
          <a:pPr algn="ctr"/>
          <a:r>
            <a:rPr lang="en-US" sz="900"/>
            <a:t>PCC_LPSPI1[PCS]</a:t>
          </a:r>
        </a:p>
      </xdr:txBody>
    </xdr:sp>
    <xdr:clientData/>
  </xdr:twoCellAnchor>
  <xdr:twoCellAnchor>
    <xdr:from>
      <xdr:col>6</xdr:col>
      <xdr:colOff>216017</xdr:colOff>
      <xdr:row>199</xdr:row>
      <xdr:rowOff>34854</xdr:rowOff>
    </xdr:from>
    <xdr:to>
      <xdr:col>28</xdr:col>
      <xdr:colOff>321121</xdr:colOff>
      <xdr:row>199</xdr:row>
      <xdr:rowOff>34854</xdr:rowOff>
    </xdr:to>
    <xdr:cxnSp macro="">
      <xdr:nvCxnSpPr>
        <xdr:cNvPr id="677" name="Straight Arrow Connector 676">
          <a:extLst>
            <a:ext uri="{FF2B5EF4-FFF2-40B4-BE49-F238E27FC236}">
              <a16:creationId xmlns:a16="http://schemas.microsoft.com/office/drawing/2014/main" xmlns="" id="{00000000-0008-0000-0400-0000A5020000}"/>
            </a:ext>
          </a:extLst>
        </xdr:cNvPr>
        <xdr:cNvCxnSpPr/>
      </xdr:nvCxnSpPr>
      <xdr:spPr>
        <a:xfrm flipH="1">
          <a:off x="3864825" y="40523431"/>
          <a:ext cx="13484065"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196310</xdr:colOff>
      <xdr:row>200</xdr:row>
      <xdr:rowOff>25838</xdr:rowOff>
    </xdr:from>
    <xdr:to>
      <xdr:col>24</xdr:col>
      <xdr:colOff>288275</xdr:colOff>
      <xdr:row>200</xdr:row>
      <xdr:rowOff>25839</xdr:rowOff>
    </xdr:to>
    <xdr:cxnSp macro="">
      <xdr:nvCxnSpPr>
        <xdr:cNvPr id="678" name="Straight Arrow Connector 677">
          <a:extLst>
            <a:ext uri="{FF2B5EF4-FFF2-40B4-BE49-F238E27FC236}">
              <a16:creationId xmlns:a16="http://schemas.microsoft.com/office/drawing/2014/main" xmlns="" id="{00000000-0008-0000-0400-0000A6020000}"/>
            </a:ext>
          </a:extLst>
        </xdr:cNvPr>
        <xdr:cNvCxnSpPr/>
      </xdr:nvCxnSpPr>
      <xdr:spPr>
        <a:xfrm flipH="1">
          <a:off x="3845118" y="40712242"/>
          <a:ext cx="11038388" cy="1"/>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209448</xdr:colOff>
      <xdr:row>201</xdr:row>
      <xdr:rowOff>41423</xdr:rowOff>
    </xdr:from>
    <xdr:to>
      <xdr:col>20</xdr:col>
      <xdr:colOff>314552</xdr:colOff>
      <xdr:row>201</xdr:row>
      <xdr:rowOff>41423</xdr:rowOff>
    </xdr:to>
    <xdr:cxnSp macro="">
      <xdr:nvCxnSpPr>
        <xdr:cNvPr id="680" name="Straight Arrow Connector 679">
          <a:extLst>
            <a:ext uri="{FF2B5EF4-FFF2-40B4-BE49-F238E27FC236}">
              <a16:creationId xmlns:a16="http://schemas.microsoft.com/office/drawing/2014/main" xmlns="" id="{00000000-0008-0000-0400-0000A8020000}"/>
            </a:ext>
          </a:extLst>
        </xdr:cNvPr>
        <xdr:cNvCxnSpPr/>
      </xdr:nvCxnSpPr>
      <xdr:spPr>
        <a:xfrm flipH="1">
          <a:off x="3858256" y="40918327"/>
          <a:ext cx="8618988"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216017</xdr:colOff>
      <xdr:row>202</xdr:row>
      <xdr:rowOff>64162</xdr:rowOff>
    </xdr:from>
    <xdr:to>
      <xdr:col>16</xdr:col>
      <xdr:colOff>288277</xdr:colOff>
      <xdr:row>202</xdr:row>
      <xdr:rowOff>64162</xdr:rowOff>
    </xdr:to>
    <xdr:cxnSp macro="">
      <xdr:nvCxnSpPr>
        <xdr:cNvPr id="682" name="Straight Arrow Connector 681">
          <a:extLst>
            <a:ext uri="{FF2B5EF4-FFF2-40B4-BE49-F238E27FC236}">
              <a16:creationId xmlns:a16="http://schemas.microsoft.com/office/drawing/2014/main" xmlns="" id="{00000000-0008-0000-0400-0000AA020000}"/>
            </a:ext>
          </a:extLst>
        </xdr:cNvPr>
        <xdr:cNvCxnSpPr/>
      </xdr:nvCxnSpPr>
      <xdr:spPr>
        <a:xfrm flipH="1">
          <a:off x="3864825" y="41131566"/>
          <a:ext cx="6153606"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224599</xdr:colOff>
      <xdr:row>196</xdr:row>
      <xdr:rowOff>81139</xdr:rowOff>
    </xdr:from>
    <xdr:to>
      <xdr:col>2</xdr:col>
      <xdr:colOff>531327</xdr:colOff>
      <xdr:row>196</xdr:row>
      <xdr:rowOff>81139</xdr:rowOff>
    </xdr:to>
    <xdr:cxnSp macro="">
      <xdr:nvCxnSpPr>
        <xdr:cNvPr id="683" name="Straight Arrow Connector 682">
          <a:extLst>
            <a:ext uri="{FF2B5EF4-FFF2-40B4-BE49-F238E27FC236}">
              <a16:creationId xmlns:a16="http://schemas.microsoft.com/office/drawing/2014/main" xmlns="" id="{00000000-0008-0000-0400-0000AB020000}"/>
            </a:ext>
          </a:extLst>
        </xdr:cNvPr>
        <xdr:cNvCxnSpPr>
          <a:endCxn id="665" idx="3"/>
        </xdr:cNvCxnSpPr>
      </xdr:nvCxnSpPr>
      <xdr:spPr>
        <a:xfrm flipH="1">
          <a:off x="1440868" y="39961581"/>
          <a:ext cx="3067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531327</xdr:colOff>
      <xdr:row>201</xdr:row>
      <xdr:rowOff>24243</xdr:rowOff>
    </xdr:from>
    <xdr:to>
      <xdr:col>4</xdr:col>
      <xdr:colOff>351952</xdr:colOff>
      <xdr:row>201</xdr:row>
      <xdr:rowOff>24243</xdr:rowOff>
    </xdr:to>
    <xdr:cxnSp macro="">
      <xdr:nvCxnSpPr>
        <xdr:cNvPr id="684" name="Straight Arrow Connector 683">
          <a:extLst>
            <a:ext uri="{FF2B5EF4-FFF2-40B4-BE49-F238E27FC236}">
              <a16:creationId xmlns:a16="http://schemas.microsoft.com/office/drawing/2014/main" xmlns="" id="{00000000-0008-0000-0400-0000AC020000}"/>
            </a:ext>
          </a:extLst>
        </xdr:cNvPr>
        <xdr:cNvCxnSpPr/>
      </xdr:nvCxnSpPr>
      <xdr:spPr>
        <a:xfrm flipH="1">
          <a:off x="1747596" y="40923128"/>
          <a:ext cx="103689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531328</xdr:colOff>
      <xdr:row>196</xdr:row>
      <xdr:rowOff>77553</xdr:rowOff>
    </xdr:from>
    <xdr:to>
      <xdr:col>2</xdr:col>
      <xdr:colOff>531329</xdr:colOff>
      <xdr:row>201</xdr:row>
      <xdr:rowOff>21980</xdr:rowOff>
    </xdr:to>
    <xdr:cxnSp macro="">
      <xdr:nvCxnSpPr>
        <xdr:cNvPr id="685" name="Straight Arrow Connector 684">
          <a:extLst>
            <a:ext uri="{FF2B5EF4-FFF2-40B4-BE49-F238E27FC236}">
              <a16:creationId xmlns:a16="http://schemas.microsoft.com/office/drawing/2014/main" xmlns="" id="{00000000-0008-0000-0400-0000AD020000}"/>
            </a:ext>
          </a:extLst>
        </xdr:cNvPr>
        <xdr:cNvCxnSpPr/>
      </xdr:nvCxnSpPr>
      <xdr:spPr>
        <a:xfrm flipH="1">
          <a:off x="1747597" y="39979976"/>
          <a:ext cx="1" cy="94088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556846</xdr:colOff>
      <xdr:row>203</xdr:row>
      <xdr:rowOff>180383</xdr:rowOff>
    </xdr:from>
    <xdr:ext cx="1152526" cy="1116726"/>
    <xdr:sp macro="" textlink="">
      <xdr:nvSpPr>
        <xdr:cNvPr id="686" name="TextBox 685">
          <a:extLst>
            <a:ext uri="{FF2B5EF4-FFF2-40B4-BE49-F238E27FC236}">
              <a16:creationId xmlns:a16="http://schemas.microsoft.com/office/drawing/2014/main" xmlns="" id="{00000000-0008-0000-0400-0000AE020000}"/>
            </a:ext>
          </a:extLst>
        </xdr:cNvPr>
        <xdr:cNvSpPr txBox="1"/>
      </xdr:nvSpPr>
      <xdr:spPr>
        <a:xfrm>
          <a:off x="2989384" y="41438287"/>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6</xdr:col>
      <xdr:colOff>197826</xdr:colOff>
      <xdr:row>193</xdr:row>
      <xdr:rowOff>14655</xdr:rowOff>
    </xdr:from>
    <xdr:to>
      <xdr:col>10</xdr:col>
      <xdr:colOff>311240</xdr:colOff>
      <xdr:row>193</xdr:row>
      <xdr:rowOff>14655</xdr:rowOff>
    </xdr:to>
    <xdr:cxnSp macro="">
      <xdr:nvCxnSpPr>
        <xdr:cNvPr id="687" name="Straight Arrow Connector 686">
          <a:extLst>
            <a:ext uri="{FF2B5EF4-FFF2-40B4-BE49-F238E27FC236}">
              <a16:creationId xmlns:a16="http://schemas.microsoft.com/office/drawing/2014/main" xmlns="" id="{00000000-0008-0000-0400-0000AF020000}"/>
            </a:ext>
          </a:extLst>
        </xdr:cNvPr>
        <xdr:cNvCxnSpPr/>
      </xdr:nvCxnSpPr>
      <xdr:spPr>
        <a:xfrm flipH="1">
          <a:off x="3846634" y="39294290"/>
          <a:ext cx="2545952"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381009</xdr:colOff>
      <xdr:row>251</xdr:row>
      <xdr:rowOff>51286</xdr:rowOff>
    </xdr:from>
    <xdr:to>
      <xdr:col>2</xdr:col>
      <xdr:colOff>231936</xdr:colOff>
      <xdr:row>255</xdr:row>
      <xdr:rowOff>112662</xdr:rowOff>
    </xdr:to>
    <xdr:grpSp>
      <xdr:nvGrpSpPr>
        <xdr:cNvPr id="688" name="Group 687">
          <a:extLst>
            <a:ext uri="{FF2B5EF4-FFF2-40B4-BE49-F238E27FC236}">
              <a16:creationId xmlns:a16="http://schemas.microsoft.com/office/drawing/2014/main" xmlns="" id="{00000000-0008-0000-0400-0000B0020000}"/>
            </a:ext>
          </a:extLst>
        </xdr:cNvPr>
        <xdr:cNvGrpSpPr/>
      </xdr:nvGrpSpPr>
      <xdr:grpSpPr>
        <a:xfrm>
          <a:off x="381009" y="48146933"/>
          <a:ext cx="1123915" cy="850270"/>
          <a:chOff x="610115" y="190500"/>
          <a:chExt cx="1064161" cy="734695"/>
        </a:xfrm>
      </xdr:grpSpPr>
      <xdr:sp macro="" textlink="">
        <xdr:nvSpPr>
          <xdr:cNvPr id="689" name="Rectangle 688">
            <a:extLst>
              <a:ext uri="{FF2B5EF4-FFF2-40B4-BE49-F238E27FC236}">
                <a16:creationId xmlns:a16="http://schemas.microsoft.com/office/drawing/2014/main" xmlns="" id="{00000000-0008-0000-0400-0000B102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LPSPI2</a:t>
            </a:r>
          </a:p>
        </xdr:txBody>
      </xdr:sp>
      <xdr:sp macro="" textlink="">
        <xdr:nvSpPr>
          <xdr:cNvPr id="690" name="TextBox 689">
            <a:extLst>
              <a:ext uri="{FF2B5EF4-FFF2-40B4-BE49-F238E27FC236}">
                <a16:creationId xmlns:a16="http://schemas.microsoft.com/office/drawing/2014/main" xmlns="" id="{00000000-0008-0000-0400-0000B202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691" name="TextBox 690">
            <a:extLst>
              <a:ext uri="{FF2B5EF4-FFF2-40B4-BE49-F238E27FC236}">
                <a16:creationId xmlns:a16="http://schemas.microsoft.com/office/drawing/2014/main" xmlns="" id="{00000000-0008-0000-0400-0000B3020000}"/>
              </a:ext>
            </a:extLst>
          </xdr:cNvPr>
          <xdr:cNvSpPr txBox="1"/>
        </xdr:nvSpPr>
        <xdr:spPr>
          <a:xfrm>
            <a:off x="961997" y="709226"/>
            <a:ext cx="712279"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400716</xdr:colOff>
      <xdr:row>249</xdr:row>
      <xdr:rowOff>14651</xdr:rowOff>
    </xdr:from>
    <xdr:to>
      <xdr:col>6</xdr:col>
      <xdr:colOff>201905</xdr:colOff>
      <xdr:row>252</xdr:row>
      <xdr:rowOff>188205</xdr:rowOff>
    </xdr:to>
    <xdr:sp macro="" textlink="">
      <xdr:nvSpPr>
        <xdr:cNvPr id="692" name="Rectangle 691">
          <a:extLst>
            <a:ext uri="{FF2B5EF4-FFF2-40B4-BE49-F238E27FC236}">
              <a16:creationId xmlns:a16="http://schemas.microsoft.com/office/drawing/2014/main" xmlns="" id="{00000000-0008-0000-0400-0000B4020000}"/>
            </a:ext>
          </a:extLst>
        </xdr:cNvPr>
        <xdr:cNvSpPr/>
      </xdr:nvSpPr>
      <xdr:spPr>
        <a:xfrm>
          <a:off x="2833254" y="50592401"/>
          <a:ext cx="1017459" cy="7597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LPSPI2 Clock</a:t>
          </a:r>
          <a:r>
            <a:rPr lang="en-US" sz="1100" baseline="0"/>
            <a:t> Enable</a:t>
          </a:r>
        </a:p>
        <a:p>
          <a:pPr algn="ctr"/>
          <a:r>
            <a:rPr lang="en-US" sz="900"/>
            <a:t>PCC_LPSPI2[CGC]</a:t>
          </a:r>
        </a:p>
      </xdr:txBody>
    </xdr:sp>
    <xdr:clientData/>
  </xdr:twoCellAnchor>
  <xdr:oneCellAnchor>
    <xdr:from>
      <xdr:col>4</xdr:col>
      <xdr:colOff>545234</xdr:colOff>
      <xdr:row>254</xdr:row>
      <xdr:rowOff>4543</xdr:rowOff>
    </xdr:from>
    <xdr:ext cx="860534" cy="367862"/>
    <xdr:sp macro="" textlink="">
      <xdr:nvSpPr>
        <xdr:cNvPr id="697" name="TextBox 696">
          <a:extLst>
            <a:ext uri="{FF2B5EF4-FFF2-40B4-BE49-F238E27FC236}">
              <a16:creationId xmlns:a16="http://schemas.microsoft.com/office/drawing/2014/main" xmlns="" id="{00000000-0008-0000-0400-0000B9020000}"/>
            </a:ext>
          </a:extLst>
        </xdr:cNvPr>
        <xdr:cNvSpPr txBox="1"/>
      </xdr:nvSpPr>
      <xdr:spPr>
        <a:xfrm>
          <a:off x="2977772" y="51542120"/>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2</xdr:col>
      <xdr:colOff>191474</xdr:colOff>
      <xdr:row>251</xdr:row>
      <xdr:rowOff>171163</xdr:rowOff>
    </xdr:from>
    <xdr:to>
      <xdr:col>4</xdr:col>
      <xdr:colOff>400716</xdr:colOff>
      <xdr:row>251</xdr:row>
      <xdr:rowOff>171163</xdr:rowOff>
    </xdr:to>
    <xdr:cxnSp macro="">
      <xdr:nvCxnSpPr>
        <xdr:cNvPr id="698" name="Straight Arrow Connector 697">
          <a:extLst>
            <a:ext uri="{FF2B5EF4-FFF2-40B4-BE49-F238E27FC236}">
              <a16:creationId xmlns:a16="http://schemas.microsoft.com/office/drawing/2014/main" xmlns="" id="{00000000-0008-0000-0400-0000BA020000}"/>
            </a:ext>
          </a:extLst>
        </xdr:cNvPr>
        <xdr:cNvCxnSpPr/>
      </xdr:nvCxnSpPr>
      <xdr:spPr>
        <a:xfrm flipH="1">
          <a:off x="1407743" y="51137240"/>
          <a:ext cx="142551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387578</xdr:colOff>
      <xdr:row>257</xdr:row>
      <xdr:rowOff>84383</xdr:rowOff>
    </xdr:from>
    <xdr:to>
      <xdr:col>6</xdr:col>
      <xdr:colOff>188767</xdr:colOff>
      <xdr:row>261</xdr:row>
      <xdr:rowOff>158896</xdr:rowOff>
    </xdr:to>
    <xdr:sp macro="" textlink="">
      <xdr:nvSpPr>
        <xdr:cNvPr id="699" name="Rectangle 698">
          <a:extLst>
            <a:ext uri="{FF2B5EF4-FFF2-40B4-BE49-F238E27FC236}">
              <a16:creationId xmlns:a16="http://schemas.microsoft.com/office/drawing/2014/main" xmlns="" id="{00000000-0008-0000-0400-0000BB020000}"/>
            </a:ext>
          </a:extLst>
        </xdr:cNvPr>
        <xdr:cNvSpPr/>
      </xdr:nvSpPr>
      <xdr:spPr>
        <a:xfrm>
          <a:off x="2820116" y="52193460"/>
          <a:ext cx="1017459" cy="8365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LPSPI2 Per.</a:t>
          </a:r>
          <a:r>
            <a:rPr lang="en-US" sz="1100" baseline="0"/>
            <a:t> </a:t>
          </a:r>
          <a:r>
            <a:rPr lang="en-US" sz="1100"/>
            <a:t>Clk.</a:t>
          </a:r>
          <a:r>
            <a:rPr lang="en-US" sz="1100" baseline="0"/>
            <a:t> Select</a:t>
          </a:r>
        </a:p>
        <a:p>
          <a:pPr algn="ctr"/>
          <a:r>
            <a:rPr lang="en-US" sz="900"/>
            <a:t>PCC_LPSPI2[PCS]</a:t>
          </a:r>
        </a:p>
      </xdr:txBody>
    </xdr:sp>
    <xdr:clientData/>
  </xdr:twoCellAnchor>
  <xdr:twoCellAnchor>
    <xdr:from>
      <xdr:col>6</xdr:col>
      <xdr:colOff>223354</xdr:colOff>
      <xdr:row>257</xdr:row>
      <xdr:rowOff>93476</xdr:rowOff>
    </xdr:from>
    <xdr:to>
      <xdr:col>28</xdr:col>
      <xdr:colOff>328458</xdr:colOff>
      <xdr:row>257</xdr:row>
      <xdr:rowOff>93476</xdr:rowOff>
    </xdr:to>
    <xdr:cxnSp macro="">
      <xdr:nvCxnSpPr>
        <xdr:cNvPr id="700" name="Straight Arrow Connector 699">
          <a:extLst>
            <a:ext uri="{FF2B5EF4-FFF2-40B4-BE49-F238E27FC236}">
              <a16:creationId xmlns:a16="http://schemas.microsoft.com/office/drawing/2014/main" xmlns="" id="{00000000-0008-0000-0400-0000BC020000}"/>
            </a:ext>
          </a:extLst>
        </xdr:cNvPr>
        <xdr:cNvCxnSpPr/>
      </xdr:nvCxnSpPr>
      <xdr:spPr>
        <a:xfrm flipH="1">
          <a:off x="3872162" y="52202553"/>
          <a:ext cx="13484065"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203647</xdr:colOff>
      <xdr:row>258</xdr:row>
      <xdr:rowOff>106440</xdr:rowOff>
    </xdr:from>
    <xdr:to>
      <xdr:col>24</xdr:col>
      <xdr:colOff>295612</xdr:colOff>
      <xdr:row>258</xdr:row>
      <xdr:rowOff>106441</xdr:rowOff>
    </xdr:to>
    <xdr:cxnSp macro="">
      <xdr:nvCxnSpPr>
        <xdr:cNvPr id="701" name="Straight Arrow Connector 700">
          <a:extLst>
            <a:ext uri="{FF2B5EF4-FFF2-40B4-BE49-F238E27FC236}">
              <a16:creationId xmlns:a16="http://schemas.microsoft.com/office/drawing/2014/main" xmlns="" id="{00000000-0008-0000-0400-0000BD020000}"/>
            </a:ext>
          </a:extLst>
        </xdr:cNvPr>
        <xdr:cNvCxnSpPr/>
      </xdr:nvCxnSpPr>
      <xdr:spPr>
        <a:xfrm flipH="1">
          <a:off x="3852455" y="52406017"/>
          <a:ext cx="11038388" cy="1"/>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216785</xdr:colOff>
      <xdr:row>259</xdr:row>
      <xdr:rowOff>144006</xdr:rowOff>
    </xdr:from>
    <xdr:to>
      <xdr:col>20</xdr:col>
      <xdr:colOff>321889</xdr:colOff>
      <xdr:row>259</xdr:row>
      <xdr:rowOff>144006</xdr:rowOff>
    </xdr:to>
    <xdr:cxnSp macro="">
      <xdr:nvCxnSpPr>
        <xdr:cNvPr id="702" name="Straight Arrow Connector 701">
          <a:extLst>
            <a:ext uri="{FF2B5EF4-FFF2-40B4-BE49-F238E27FC236}">
              <a16:creationId xmlns:a16="http://schemas.microsoft.com/office/drawing/2014/main" xmlns="" id="{00000000-0008-0000-0400-0000BE020000}"/>
            </a:ext>
          </a:extLst>
        </xdr:cNvPr>
        <xdr:cNvCxnSpPr/>
      </xdr:nvCxnSpPr>
      <xdr:spPr>
        <a:xfrm flipH="1">
          <a:off x="3865593" y="52634083"/>
          <a:ext cx="8618988"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223354</xdr:colOff>
      <xdr:row>260</xdr:row>
      <xdr:rowOff>174072</xdr:rowOff>
    </xdr:from>
    <xdr:to>
      <xdr:col>16</xdr:col>
      <xdr:colOff>295614</xdr:colOff>
      <xdr:row>260</xdr:row>
      <xdr:rowOff>174072</xdr:rowOff>
    </xdr:to>
    <xdr:cxnSp macro="">
      <xdr:nvCxnSpPr>
        <xdr:cNvPr id="703" name="Straight Arrow Connector 702">
          <a:extLst>
            <a:ext uri="{FF2B5EF4-FFF2-40B4-BE49-F238E27FC236}">
              <a16:creationId xmlns:a16="http://schemas.microsoft.com/office/drawing/2014/main" xmlns="" id="{00000000-0008-0000-0400-0000BF020000}"/>
            </a:ext>
          </a:extLst>
        </xdr:cNvPr>
        <xdr:cNvCxnSpPr/>
      </xdr:nvCxnSpPr>
      <xdr:spPr>
        <a:xfrm flipH="1">
          <a:off x="3872162" y="52854649"/>
          <a:ext cx="6153606"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231936</xdr:colOff>
      <xdr:row>254</xdr:row>
      <xdr:rowOff>154415</xdr:rowOff>
    </xdr:from>
    <xdr:to>
      <xdr:col>2</xdr:col>
      <xdr:colOff>538664</xdr:colOff>
      <xdr:row>254</xdr:row>
      <xdr:rowOff>154415</xdr:rowOff>
    </xdr:to>
    <xdr:cxnSp macro="">
      <xdr:nvCxnSpPr>
        <xdr:cNvPr id="704" name="Straight Arrow Connector 703">
          <a:extLst>
            <a:ext uri="{FF2B5EF4-FFF2-40B4-BE49-F238E27FC236}">
              <a16:creationId xmlns:a16="http://schemas.microsoft.com/office/drawing/2014/main" xmlns="" id="{00000000-0008-0000-0400-0000C0020000}"/>
            </a:ext>
          </a:extLst>
        </xdr:cNvPr>
        <xdr:cNvCxnSpPr>
          <a:endCxn id="691" idx="3"/>
        </xdr:cNvCxnSpPr>
      </xdr:nvCxnSpPr>
      <xdr:spPr>
        <a:xfrm flipH="1">
          <a:off x="1448205" y="51721300"/>
          <a:ext cx="3067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538664</xdr:colOff>
      <xdr:row>260</xdr:row>
      <xdr:rowOff>24250</xdr:rowOff>
    </xdr:from>
    <xdr:to>
      <xdr:col>4</xdr:col>
      <xdr:colOff>359289</xdr:colOff>
      <xdr:row>260</xdr:row>
      <xdr:rowOff>24250</xdr:rowOff>
    </xdr:to>
    <xdr:cxnSp macro="">
      <xdr:nvCxnSpPr>
        <xdr:cNvPr id="705" name="Straight Arrow Connector 704">
          <a:extLst>
            <a:ext uri="{FF2B5EF4-FFF2-40B4-BE49-F238E27FC236}">
              <a16:creationId xmlns:a16="http://schemas.microsoft.com/office/drawing/2014/main" xmlns="" id="{00000000-0008-0000-0400-0000C1020000}"/>
            </a:ext>
          </a:extLst>
        </xdr:cNvPr>
        <xdr:cNvCxnSpPr/>
      </xdr:nvCxnSpPr>
      <xdr:spPr>
        <a:xfrm flipH="1">
          <a:off x="1754933" y="52763442"/>
          <a:ext cx="103689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538665</xdr:colOff>
      <xdr:row>254</xdr:row>
      <xdr:rowOff>153865</xdr:rowOff>
    </xdr:from>
    <xdr:to>
      <xdr:col>2</xdr:col>
      <xdr:colOff>538665</xdr:colOff>
      <xdr:row>260</xdr:row>
      <xdr:rowOff>21981</xdr:rowOff>
    </xdr:to>
    <xdr:cxnSp macro="">
      <xdr:nvCxnSpPr>
        <xdr:cNvPr id="707" name="Straight Arrow Connector 706">
          <a:extLst>
            <a:ext uri="{FF2B5EF4-FFF2-40B4-BE49-F238E27FC236}">
              <a16:creationId xmlns:a16="http://schemas.microsoft.com/office/drawing/2014/main" xmlns="" id="{00000000-0008-0000-0400-0000C3020000}"/>
            </a:ext>
          </a:extLst>
        </xdr:cNvPr>
        <xdr:cNvCxnSpPr/>
      </xdr:nvCxnSpPr>
      <xdr:spPr>
        <a:xfrm>
          <a:off x="1754934" y="51742730"/>
          <a:ext cx="0" cy="101844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564183</xdr:colOff>
      <xdr:row>262</xdr:row>
      <xdr:rowOff>195044</xdr:rowOff>
    </xdr:from>
    <xdr:ext cx="1152526" cy="1116726"/>
    <xdr:sp macro="" textlink="">
      <xdr:nvSpPr>
        <xdr:cNvPr id="709" name="TextBox 708">
          <a:extLst>
            <a:ext uri="{FF2B5EF4-FFF2-40B4-BE49-F238E27FC236}">
              <a16:creationId xmlns:a16="http://schemas.microsoft.com/office/drawing/2014/main" xmlns="" id="{00000000-0008-0000-0400-0000C5020000}"/>
            </a:ext>
          </a:extLst>
        </xdr:cNvPr>
        <xdr:cNvSpPr txBox="1"/>
      </xdr:nvSpPr>
      <xdr:spPr>
        <a:xfrm>
          <a:off x="2996721" y="53322563"/>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6</xdr:col>
      <xdr:colOff>205163</xdr:colOff>
      <xdr:row>250</xdr:row>
      <xdr:rowOff>175854</xdr:rowOff>
    </xdr:from>
    <xdr:to>
      <xdr:col>10</xdr:col>
      <xdr:colOff>318577</xdr:colOff>
      <xdr:row>250</xdr:row>
      <xdr:rowOff>175854</xdr:rowOff>
    </xdr:to>
    <xdr:cxnSp macro="">
      <xdr:nvCxnSpPr>
        <xdr:cNvPr id="710" name="Straight Arrow Connector 709">
          <a:extLst>
            <a:ext uri="{FF2B5EF4-FFF2-40B4-BE49-F238E27FC236}">
              <a16:creationId xmlns:a16="http://schemas.microsoft.com/office/drawing/2014/main" xmlns="" id="{00000000-0008-0000-0400-0000C6020000}"/>
            </a:ext>
          </a:extLst>
        </xdr:cNvPr>
        <xdr:cNvCxnSpPr/>
      </xdr:nvCxnSpPr>
      <xdr:spPr>
        <a:xfrm flipH="1">
          <a:off x="3853971" y="50951431"/>
          <a:ext cx="2545952"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402982</xdr:colOff>
      <xdr:row>270</xdr:row>
      <xdr:rowOff>4024</xdr:rowOff>
    </xdr:from>
    <xdr:to>
      <xdr:col>2</xdr:col>
      <xdr:colOff>253909</xdr:colOff>
      <xdr:row>275</xdr:row>
      <xdr:rowOff>5522</xdr:rowOff>
    </xdr:to>
    <xdr:grpSp>
      <xdr:nvGrpSpPr>
        <xdr:cNvPr id="712" name="Group 711">
          <a:extLst>
            <a:ext uri="{FF2B5EF4-FFF2-40B4-BE49-F238E27FC236}">
              <a16:creationId xmlns:a16="http://schemas.microsoft.com/office/drawing/2014/main" xmlns="" id="{00000000-0008-0000-0400-0000C8020000}"/>
            </a:ext>
          </a:extLst>
        </xdr:cNvPr>
        <xdr:cNvGrpSpPr/>
      </xdr:nvGrpSpPr>
      <xdr:grpSpPr>
        <a:xfrm>
          <a:off x="402982" y="51730377"/>
          <a:ext cx="1123915" cy="978651"/>
          <a:chOff x="610115" y="190500"/>
          <a:chExt cx="1064161" cy="734694"/>
        </a:xfrm>
      </xdr:grpSpPr>
      <xdr:sp macro="" textlink="">
        <xdr:nvSpPr>
          <xdr:cNvPr id="714" name="Rectangle 713">
            <a:extLst>
              <a:ext uri="{FF2B5EF4-FFF2-40B4-BE49-F238E27FC236}">
                <a16:creationId xmlns:a16="http://schemas.microsoft.com/office/drawing/2014/main" xmlns="" id="{00000000-0008-0000-0400-0000CA02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LPI2C1</a:t>
            </a:r>
          </a:p>
        </xdr:txBody>
      </xdr:sp>
      <xdr:sp macro="" textlink="">
        <xdr:nvSpPr>
          <xdr:cNvPr id="715" name="TextBox 714">
            <a:extLst>
              <a:ext uri="{FF2B5EF4-FFF2-40B4-BE49-F238E27FC236}">
                <a16:creationId xmlns:a16="http://schemas.microsoft.com/office/drawing/2014/main" xmlns="" id="{00000000-0008-0000-0400-0000CB02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716" name="TextBox 715">
            <a:extLst>
              <a:ext uri="{FF2B5EF4-FFF2-40B4-BE49-F238E27FC236}">
                <a16:creationId xmlns:a16="http://schemas.microsoft.com/office/drawing/2014/main" xmlns="" id="{00000000-0008-0000-0400-0000CC020000}"/>
              </a:ext>
            </a:extLst>
          </xdr:cNvPr>
          <xdr:cNvSpPr txBox="1"/>
        </xdr:nvSpPr>
        <xdr:spPr>
          <a:xfrm>
            <a:off x="988063" y="709226"/>
            <a:ext cx="68621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409551</xdr:colOff>
      <xdr:row>268</xdr:row>
      <xdr:rowOff>109887</xdr:rowOff>
    </xdr:from>
    <xdr:to>
      <xdr:col>6</xdr:col>
      <xdr:colOff>210740</xdr:colOff>
      <xdr:row>272</xdr:row>
      <xdr:rowOff>173285</xdr:rowOff>
    </xdr:to>
    <xdr:sp macro="" textlink="">
      <xdr:nvSpPr>
        <xdr:cNvPr id="717" name="Rectangle 716">
          <a:extLst>
            <a:ext uri="{FF2B5EF4-FFF2-40B4-BE49-F238E27FC236}">
              <a16:creationId xmlns:a16="http://schemas.microsoft.com/office/drawing/2014/main" xmlns="" id="{00000000-0008-0000-0400-0000CD020000}"/>
            </a:ext>
          </a:extLst>
        </xdr:cNvPr>
        <xdr:cNvSpPr/>
      </xdr:nvSpPr>
      <xdr:spPr>
        <a:xfrm>
          <a:off x="2842089" y="54446349"/>
          <a:ext cx="1017459" cy="82539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LPI2C1 Clock</a:t>
          </a:r>
          <a:r>
            <a:rPr lang="en-US" sz="1100" baseline="0"/>
            <a:t> Enable</a:t>
          </a:r>
        </a:p>
        <a:p>
          <a:pPr algn="ctr"/>
          <a:r>
            <a:rPr lang="en-US" sz="900"/>
            <a:t>PCC_LPI2C1[CGC]</a:t>
          </a:r>
        </a:p>
      </xdr:txBody>
    </xdr:sp>
    <xdr:clientData/>
  </xdr:twoCellAnchor>
  <xdr:twoCellAnchor>
    <xdr:from>
      <xdr:col>6</xdr:col>
      <xdr:colOff>232189</xdr:colOff>
      <xdr:row>270</xdr:row>
      <xdr:rowOff>130352</xdr:rowOff>
    </xdr:from>
    <xdr:to>
      <xdr:col>10</xdr:col>
      <xdr:colOff>317585</xdr:colOff>
      <xdr:row>270</xdr:row>
      <xdr:rowOff>130352</xdr:rowOff>
    </xdr:to>
    <xdr:cxnSp macro="">
      <xdr:nvCxnSpPr>
        <xdr:cNvPr id="718" name="Straight Arrow Connector 717">
          <a:extLst>
            <a:ext uri="{FF2B5EF4-FFF2-40B4-BE49-F238E27FC236}">
              <a16:creationId xmlns:a16="http://schemas.microsoft.com/office/drawing/2014/main" xmlns="" id="{00000000-0008-0000-0400-0000CE020000}"/>
            </a:ext>
          </a:extLst>
        </xdr:cNvPr>
        <xdr:cNvCxnSpPr/>
      </xdr:nvCxnSpPr>
      <xdr:spPr>
        <a:xfrm flipH="1">
          <a:off x="3880997" y="54847814"/>
          <a:ext cx="2517934"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554068</xdr:colOff>
      <xdr:row>274</xdr:row>
      <xdr:rowOff>12363</xdr:rowOff>
    </xdr:from>
    <xdr:ext cx="860534" cy="367862"/>
    <xdr:sp macro="" textlink="">
      <xdr:nvSpPr>
        <xdr:cNvPr id="719" name="TextBox 718">
          <a:extLst>
            <a:ext uri="{FF2B5EF4-FFF2-40B4-BE49-F238E27FC236}">
              <a16:creationId xmlns:a16="http://schemas.microsoft.com/office/drawing/2014/main" xmlns="" id="{00000000-0008-0000-0400-0000CF020000}"/>
            </a:ext>
          </a:extLst>
        </xdr:cNvPr>
        <xdr:cNvSpPr txBox="1"/>
      </xdr:nvSpPr>
      <xdr:spPr>
        <a:xfrm>
          <a:off x="2986606" y="5549182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2</xdr:col>
      <xdr:colOff>213447</xdr:colOff>
      <xdr:row>270</xdr:row>
      <xdr:rowOff>167613</xdr:rowOff>
    </xdr:from>
    <xdr:to>
      <xdr:col>4</xdr:col>
      <xdr:colOff>402982</xdr:colOff>
      <xdr:row>270</xdr:row>
      <xdr:rowOff>167613</xdr:rowOff>
    </xdr:to>
    <xdr:cxnSp macro="">
      <xdr:nvCxnSpPr>
        <xdr:cNvPr id="720" name="Straight Arrow Connector 719">
          <a:extLst>
            <a:ext uri="{FF2B5EF4-FFF2-40B4-BE49-F238E27FC236}">
              <a16:creationId xmlns:a16="http://schemas.microsoft.com/office/drawing/2014/main" xmlns="" id="{00000000-0008-0000-0400-0000D0020000}"/>
            </a:ext>
          </a:extLst>
        </xdr:cNvPr>
        <xdr:cNvCxnSpPr>
          <a:endCxn id="715" idx="3"/>
        </xdr:cNvCxnSpPr>
      </xdr:nvCxnSpPr>
      <xdr:spPr>
        <a:xfrm flipH="1">
          <a:off x="1429716" y="54885075"/>
          <a:ext cx="140580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409551</xdr:colOff>
      <xdr:row>276</xdr:row>
      <xdr:rowOff>42682</xdr:rowOff>
    </xdr:from>
    <xdr:to>
      <xdr:col>6</xdr:col>
      <xdr:colOff>210740</xdr:colOff>
      <xdr:row>280</xdr:row>
      <xdr:rowOff>165957</xdr:rowOff>
    </xdr:to>
    <xdr:sp macro="" textlink="">
      <xdr:nvSpPr>
        <xdr:cNvPr id="721" name="Rectangle 720">
          <a:extLst>
            <a:ext uri="{FF2B5EF4-FFF2-40B4-BE49-F238E27FC236}">
              <a16:creationId xmlns:a16="http://schemas.microsoft.com/office/drawing/2014/main" xmlns="" id="{00000000-0008-0000-0400-0000D1020000}"/>
            </a:ext>
          </a:extLst>
        </xdr:cNvPr>
        <xdr:cNvSpPr/>
      </xdr:nvSpPr>
      <xdr:spPr>
        <a:xfrm>
          <a:off x="2842089" y="55983740"/>
          <a:ext cx="1017459" cy="885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LPI2C1 Per.</a:t>
          </a:r>
          <a:r>
            <a:rPr lang="en-US" sz="1100" baseline="0"/>
            <a:t> </a:t>
          </a:r>
          <a:r>
            <a:rPr lang="en-US" sz="1100"/>
            <a:t>Clk.</a:t>
          </a:r>
          <a:r>
            <a:rPr lang="en-US" sz="1100" baseline="0"/>
            <a:t> Select</a:t>
          </a:r>
        </a:p>
        <a:p>
          <a:pPr algn="ctr"/>
          <a:r>
            <a:rPr lang="en-US" sz="900"/>
            <a:t>PCC_LPI2C1[PCS]</a:t>
          </a:r>
        </a:p>
      </xdr:txBody>
    </xdr:sp>
    <xdr:clientData/>
  </xdr:twoCellAnchor>
  <xdr:twoCellAnchor>
    <xdr:from>
      <xdr:col>6</xdr:col>
      <xdr:colOff>251897</xdr:colOff>
      <xdr:row>276</xdr:row>
      <xdr:rowOff>145512</xdr:rowOff>
    </xdr:from>
    <xdr:to>
      <xdr:col>28</xdr:col>
      <xdr:colOff>324155</xdr:colOff>
      <xdr:row>276</xdr:row>
      <xdr:rowOff>145512</xdr:rowOff>
    </xdr:to>
    <xdr:cxnSp macro="">
      <xdr:nvCxnSpPr>
        <xdr:cNvPr id="722" name="Straight Arrow Connector 721">
          <a:extLst>
            <a:ext uri="{FF2B5EF4-FFF2-40B4-BE49-F238E27FC236}">
              <a16:creationId xmlns:a16="http://schemas.microsoft.com/office/drawing/2014/main" xmlns="" id="{00000000-0008-0000-0400-0000D2020000}"/>
            </a:ext>
          </a:extLst>
        </xdr:cNvPr>
        <xdr:cNvCxnSpPr/>
      </xdr:nvCxnSpPr>
      <xdr:spPr>
        <a:xfrm flipH="1">
          <a:off x="3900705" y="56086570"/>
          <a:ext cx="13451219"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258467</xdr:colOff>
      <xdr:row>277</xdr:row>
      <xdr:rowOff>178943</xdr:rowOff>
    </xdr:from>
    <xdr:to>
      <xdr:col>24</xdr:col>
      <xdr:colOff>337038</xdr:colOff>
      <xdr:row>277</xdr:row>
      <xdr:rowOff>178943</xdr:rowOff>
    </xdr:to>
    <xdr:cxnSp macro="">
      <xdr:nvCxnSpPr>
        <xdr:cNvPr id="723" name="Straight Arrow Connector 722">
          <a:extLst>
            <a:ext uri="{FF2B5EF4-FFF2-40B4-BE49-F238E27FC236}">
              <a16:creationId xmlns:a16="http://schemas.microsoft.com/office/drawing/2014/main" xmlns="" id="{00000000-0008-0000-0400-0000D3020000}"/>
            </a:ext>
          </a:extLst>
        </xdr:cNvPr>
        <xdr:cNvCxnSpPr/>
      </xdr:nvCxnSpPr>
      <xdr:spPr>
        <a:xfrm flipH="1">
          <a:off x="3907275" y="56317828"/>
          <a:ext cx="11024994"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258466</xdr:colOff>
      <xdr:row>279</xdr:row>
      <xdr:rowOff>37630</xdr:rowOff>
    </xdr:from>
    <xdr:to>
      <xdr:col>20</xdr:col>
      <xdr:colOff>343861</xdr:colOff>
      <xdr:row>279</xdr:row>
      <xdr:rowOff>37630</xdr:rowOff>
    </xdr:to>
    <xdr:cxnSp macro="">
      <xdr:nvCxnSpPr>
        <xdr:cNvPr id="724" name="Straight Arrow Connector 723">
          <a:extLst>
            <a:ext uri="{FF2B5EF4-FFF2-40B4-BE49-F238E27FC236}">
              <a16:creationId xmlns:a16="http://schemas.microsoft.com/office/drawing/2014/main" xmlns="" id="{00000000-0008-0000-0400-0000D4020000}"/>
            </a:ext>
          </a:extLst>
        </xdr:cNvPr>
        <xdr:cNvCxnSpPr/>
      </xdr:nvCxnSpPr>
      <xdr:spPr>
        <a:xfrm flipH="1">
          <a:off x="3907274" y="56550188"/>
          <a:ext cx="8599279"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265035</xdr:colOff>
      <xdr:row>280</xdr:row>
      <xdr:rowOff>64663</xdr:rowOff>
    </xdr:from>
    <xdr:to>
      <xdr:col>16</xdr:col>
      <xdr:colOff>343861</xdr:colOff>
      <xdr:row>280</xdr:row>
      <xdr:rowOff>64663</xdr:rowOff>
    </xdr:to>
    <xdr:cxnSp macro="">
      <xdr:nvCxnSpPr>
        <xdr:cNvPr id="725" name="Straight Arrow Connector 724">
          <a:extLst>
            <a:ext uri="{FF2B5EF4-FFF2-40B4-BE49-F238E27FC236}">
              <a16:creationId xmlns:a16="http://schemas.microsoft.com/office/drawing/2014/main" xmlns="" id="{00000000-0008-0000-0400-0000D5020000}"/>
            </a:ext>
          </a:extLst>
        </xdr:cNvPr>
        <xdr:cNvCxnSpPr/>
      </xdr:nvCxnSpPr>
      <xdr:spPr>
        <a:xfrm flipH="1">
          <a:off x="3913843" y="56767721"/>
          <a:ext cx="6160172"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514402</xdr:colOff>
      <xdr:row>278</xdr:row>
      <xdr:rowOff>15139</xdr:rowOff>
    </xdr:from>
    <xdr:to>
      <xdr:col>4</xdr:col>
      <xdr:colOff>396414</xdr:colOff>
      <xdr:row>278</xdr:row>
      <xdr:rowOff>15139</xdr:rowOff>
    </xdr:to>
    <xdr:cxnSp macro="">
      <xdr:nvCxnSpPr>
        <xdr:cNvPr id="726" name="Straight Arrow Connector 725">
          <a:extLst>
            <a:ext uri="{FF2B5EF4-FFF2-40B4-BE49-F238E27FC236}">
              <a16:creationId xmlns:a16="http://schemas.microsoft.com/office/drawing/2014/main" xmlns="" id="{00000000-0008-0000-0400-0000D6020000}"/>
            </a:ext>
          </a:extLst>
        </xdr:cNvPr>
        <xdr:cNvCxnSpPr/>
      </xdr:nvCxnSpPr>
      <xdr:spPr>
        <a:xfrm flipH="1">
          <a:off x="1730671" y="56337197"/>
          <a:ext cx="109828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504072</xdr:colOff>
      <xdr:row>274</xdr:row>
      <xdr:rowOff>52533</xdr:rowOff>
    </xdr:from>
    <xdr:to>
      <xdr:col>2</xdr:col>
      <xdr:colOff>504073</xdr:colOff>
      <xdr:row>278</xdr:row>
      <xdr:rowOff>21980</xdr:rowOff>
    </xdr:to>
    <xdr:cxnSp macro="">
      <xdr:nvCxnSpPr>
        <xdr:cNvPr id="727" name="Straight Arrow Connector 726">
          <a:extLst>
            <a:ext uri="{FF2B5EF4-FFF2-40B4-BE49-F238E27FC236}">
              <a16:creationId xmlns:a16="http://schemas.microsoft.com/office/drawing/2014/main" xmlns="" id="{00000000-0008-0000-0400-0000D7020000}"/>
            </a:ext>
          </a:extLst>
        </xdr:cNvPr>
        <xdr:cNvCxnSpPr/>
      </xdr:nvCxnSpPr>
      <xdr:spPr>
        <a:xfrm flipH="1">
          <a:off x="1720341" y="55605264"/>
          <a:ext cx="1" cy="73877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253909</xdr:colOff>
      <xdr:row>274</xdr:row>
      <xdr:rowOff>44211</xdr:rowOff>
    </xdr:from>
    <xdr:to>
      <xdr:col>2</xdr:col>
      <xdr:colOff>508085</xdr:colOff>
      <xdr:row>274</xdr:row>
      <xdr:rowOff>44211</xdr:rowOff>
    </xdr:to>
    <xdr:cxnSp macro="">
      <xdr:nvCxnSpPr>
        <xdr:cNvPr id="728" name="Straight Arrow Connector 727">
          <a:extLst>
            <a:ext uri="{FF2B5EF4-FFF2-40B4-BE49-F238E27FC236}">
              <a16:creationId xmlns:a16="http://schemas.microsoft.com/office/drawing/2014/main" xmlns="" id="{00000000-0008-0000-0400-0000D8020000}"/>
            </a:ext>
          </a:extLst>
        </xdr:cNvPr>
        <xdr:cNvCxnSpPr>
          <a:endCxn id="716" idx="3"/>
        </xdr:cNvCxnSpPr>
      </xdr:nvCxnSpPr>
      <xdr:spPr>
        <a:xfrm flipH="1">
          <a:off x="1470178" y="55552980"/>
          <a:ext cx="25417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580345</xdr:colOff>
      <xdr:row>281</xdr:row>
      <xdr:rowOff>180125</xdr:rowOff>
    </xdr:from>
    <xdr:ext cx="1152526" cy="1116726"/>
    <xdr:sp macro="" textlink="">
      <xdr:nvSpPr>
        <xdr:cNvPr id="729" name="TextBox 728">
          <a:extLst>
            <a:ext uri="{FF2B5EF4-FFF2-40B4-BE49-F238E27FC236}">
              <a16:creationId xmlns:a16="http://schemas.microsoft.com/office/drawing/2014/main" xmlns="" id="{00000000-0008-0000-0400-0000D9020000}"/>
            </a:ext>
          </a:extLst>
        </xdr:cNvPr>
        <xdr:cNvSpPr txBox="1"/>
      </xdr:nvSpPr>
      <xdr:spPr>
        <a:xfrm>
          <a:off x="3012883" y="57081010"/>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0</xdr:col>
      <xdr:colOff>395653</xdr:colOff>
      <xdr:row>291</xdr:row>
      <xdr:rowOff>7050</xdr:rowOff>
    </xdr:from>
    <xdr:to>
      <xdr:col>2</xdr:col>
      <xdr:colOff>246580</xdr:colOff>
      <xdr:row>296</xdr:row>
      <xdr:rowOff>60569</xdr:rowOff>
    </xdr:to>
    <xdr:grpSp>
      <xdr:nvGrpSpPr>
        <xdr:cNvPr id="730" name="Group 729">
          <a:extLst>
            <a:ext uri="{FF2B5EF4-FFF2-40B4-BE49-F238E27FC236}">
              <a16:creationId xmlns:a16="http://schemas.microsoft.com/office/drawing/2014/main" xmlns="" id="{00000000-0008-0000-0400-0000DA020000}"/>
            </a:ext>
          </a:extLst>
        </xdr:cNvPr>
        <xdr:cNvGrpSpPr/>
      </xdr:nvGrpSpPr>
      <xdr:grpSpPr>
        <a:xfrm>
          <a:off x="395653" y="55731662"/>
          <a:ext cx="1123915" cy="1003778"/>
          <a:chOff x="610115" y="190500"/>
          <a:chExt cx="1064161" cy="734694"/>
        </a:xfrm>
      </xdr:grpSpPr>
      <xdr:sp macro="" textlink="">
        <xdr:nvSpPr>
          <xdr:cNvPr id="731" name="Rectangle 730">
            <a:extLst>
              <a:ext uri="{FF2B5EF4-FFF2-40B4-BE49-F238E27FC236}">
                <a16:creationId xmlns:a16="http://schemas.microsoft.com/office/drawing/2014/main" xmlns="" id="{00000000-0008-0000-0400-0000DB02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LPUART1</a:t>
            </a:r>
          </a:p>
        </xdr:txBody>
      </xdr:sp>
      <xdr:sp macro="" textlink="">
        <xdr:nvSpPr>
          <xdr:cNvPr id="732" name="TextBox 731">
            <a:extLst>
              <a:ext uri="{FF2B5EF4-FFF2-40B4-BE49-F238E27FC236}">
                <a16:creationId xmlns:a16="http://schemas.microsoft.com/office/drawing/2014/main" xmlns="" id="{00000000-0008-0000-0400-0000DC02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733" name="TextBox 732">
            <a:extLst>
              <a:ext uri="{FF2B5EF4-FFF2-40B4-BE49-F238E27FC236}">
                <a16:creationId xmlns:a16="http://schemas.microsoft.com/office/drawing/2014/main" xmlns="" id="{00000000-0008-0000-0400-0000DD020000}"/>
              </a:ext>
            </a:extLst>
          </xdr:cNvPr>
          <xdr:cNvSpPr txBox="1"/>
        </xdr:nvSpPr>
        <xdr:spPr>
          <a:xfrm>
            <a:off x="988063" y="709226"/>
            <a:ext cx="68621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403987</xdr:colOff>
      <xdr:row>288</xdr:row>
      <xdr:rowOff>51289</xdr:rowOff>
    </xdr:from>
    <xdr:to>
      <xdr:col>6</xdr:col>
      <xdr:colOff>205176</xdr:colOff>
      <xdr:row>292</xdr:row>
      <xdr:rowOff>166433</xdr:rowOff>
    </xdr:to>
    <xdr:sp macro="" textlink="">
      <xdr:nvSpPr>
        <xdr:cNvPr id="734" name="Rectangle 733">
          <a:extLst>
            <a:ext uri="{FF2B5EF4-FFF2-40B4-BE49-F238E27FC236}">
              <a16:creationId xmlns:a16="http://schemas.microsoft.com/office/drawing/2014/main" xmlns="" id="{00000000-0008-0000-0400-0000DE020000}"/>
            </a:ext>
          </a:extLst>
        </xdr:cNvPr>
        <xdr:cNvSpPr/>
      </xdr:nvSpPr>
      <xdr:spPr>
        <a:xfrm>
          <a:off x="2836525" y="58351616"/>
          <a:ext cx="1017459" cy="8771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LPUART1 Clock</a:t>
          </a:r>
          <a:r>
            <a:rPr lang="en-US" sz="1100" baseline="0"/>
            <a:t> Enable</a:t>
          </a:r>
        </a:p>
        <a:p>
          <a:pPr algn="ctr"/>
          <a:r>
            <a:rPr lang="en-US" sz="900"/>
            <a:t>PCC_LPUART1[CGC]</a:t>
          </a:r>
        </a:p>
      </xdr:txBody>
    </xdr:sp>
    <xdr:clientData/>
  </xdr:twoCellAnchor>
  <xdr:twoCellAnchor>
    <xdr:from>
      <xdr:col>6</xdr:col>
      <xdr:colOff>225393</xdr:colOff>
      <xdr:row>290</xdr:row>
      <xdr:rowOff>138297</xdr:rowOff>
    </xdr:from>
    <xdr:to>
      <xdr:col>10</xdr:col>
      <xdr:colOff>310789</xdr:colOff>
      <xdr:row>290</xdr:row>
      <xdr:rowOff>138297</xdr:rowOff>
    </xdr:to>
    <xdr:cxnSp macro="">
      <xdr:nvCxnSpPr>
        <xdr:cNvPr id="735" name="Straight Arrow Connector 734">
          <a:extLst>
            <a:ext uri="{FF2B5EF4-FFF2-40B4-BE49-F238E27FC236}">
              <a16:creationId xmlns:a16="http://schemas.microsoft.com/office/drawing/2014/main" xmlns="" id="{00000000-0008-0000-0400-0000DF020000}"/>
            </a:ext>
          </a:extLst>
        </xdr:cNvPr>
        <xdr:cNvCxnSpPr/>
      </xdr:nvCxnSpPr>
      <xdr:spPr>
        <a:xfrm flipH="1">
          <a:off x="3874201" y="58819624"/>
          <a:ext cx="2517934"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206397</xdr:colOff>
      <xdr:row>291</xdr:row>
      <xdr:rowOff>160552</xdr:rowOff>
    </xdr:from>
    <xdr:to>
      <xdr:col>4</xdr:col>
      <xdr:colOff>386128</xdr:colOff>
      <xdr:row>291</xdr:row>
      <xdr:rowOff>165156</xdr:rowOff>
    </xdr:to>
    <xdr:cxnSp macro="">
      <xdr:nvCxnSpPr>
        <xdr:cNvPr id="736" name="Straight Arrow Connector 735">
          <a:extLst>
            <a:ext uri="{FF2B5EF4-FFF2-40B4-BE49-F238E27FC236}">
              <a16:creationId xmlns:a16="http://schemas.microsoft.com/office/drawing/2014/main" xmlns="" id="{00000000-0008-0000-0400-0000E0020000}"/>
            </a:ext>
          </a:extLst>
        </xdr:cNvPr>
        <xdr:cNvCxnSpPr>
          <a:endCxn id="732" idx="3"/>
        </xdr:cNvCxnSpPr>
      </xdr:nvCxnSpPr>
      <xdr:spPr>
        <a:xfrm flipH="1" flipV="1">
          <a:off x="1422666" y="59032379"/>
          <a:ext cx="1396000" cy="460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409940</xdr:colOff>
      <xdr:row>296</xdr:row>
      <xdr:rowOff>22441</xdr:rowOff>
    </xdr:from>
    <xdr:to>
      <xdr:col>6</xdr:col>
      <xdr:colOff>211129</xdr:colOff>
      <xdr:row>300</xdr:row>
      <xdr:rowOff>168156</xdr:rowOff>
    </xdr:to>
    <xdr:sp macro="" textlink="">
      <xdr:nvSpPr>
        <xdr:cNvPr id="737" name="Rectangle 736">
          <a:extLst>
            <a:ext uri="{FF2B5EF4-FFF2-40B4-BE49-F238E27FC236}">
              <a16:creationId xmlns:a16="http://schemas.microsoft.com/office/drawing/2014/main" xmlns="" id="{00000000-0008-0000-0400-0000E1020000}"/>
            </a:ext>
          </a:extLst>
        </xdr:cNvPr>
        <xdr:cNvSpPr/>
      </xdr:nvSpPr>
      <xdr:spPr>
        <a:xfrm>
          <a:off x="2842478" y="59846768"/>
          <a:ext cx="1017459" cy="907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LPUART1 Per.</a:t>
          </a:r>
          <a:r>
            <a:rPr lang="en-US" sz="1100" baseline="0"/>
            <a:t> </a:t>
          </a:r>
          <a:r>
            <a:rPr lang="en-US" sz="1100"/>
            <a:t>Clk.</a:t>
          </a:r>
          <a:r>
            <a:rPr lang="en-US" sz="1100" baseline="0"/>
            <a:t> Select</a:t>
          </a:r>
        </a:p>
        <a:p>
          <a:pPr algn="ctr"/>
          <a:r>
            <a:rPr lang="en-US" sz="900"/>
            <a:t>PCC_LPUART1[PCS]</a:t>
          </a:r>
        </a:p>
      </xdr:txBody>
    </xdr:sp>
    <xdr:clientData/>
  </xdr:twoCellAnchor>
  <xdr:oneCellAnchor>
    <xdr:from>
      <xdr:col>4</xdr:col>
      <xdr:colOff>546862</xdr:colOff>
      <xdr:row>293</xdr:row>
      <xdr:rowOff>192332</xdr:rowOff>
    </xdr:from>
    <xdr:ext cx="860534" cy="367862"/>
    <xdr:sp macro="" textlink="">
      <xdr:nvSpPr>
        <xdr:cNvPr id="738" name="TextBox 737">
          <a:extLst>
            <a:ext uri="{FF2B5EF4-FFF2-40B4-BE49-F238E27FC236}">
              <a16:creationId xmlns:a16="http://schemas.microsoft.com/office/drawing/2014/main" xmlns="" id="{00000000-0008-0000-0400-0000E2020000}"/>
            </a:ext>
          </a:extLst>
        </xdr:cNvPr>
        <xdr:cNvSpPr txBox="1"/>
      </xdr:nvSpPr>
      <xdr:spPr>
        <a:xfrm>
          <a:off x="2979400" y="59452486"/>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237300</xdr:colOff>
      <xdr:row>296</xdr:row>
      <xdr:rowOff>124102</xdr:rowOff>
    </xdr:from>
    <xdr:to>
      <xdr:col>28</xdr:col>
      <xdr:colOff>309558</xdr:colOff>
      <xdr:row>296</xdr:row>
      <xdr:rowOff>124102</xdr:rowOff>
    </xdr:to>
    <xdr:cxnSp macro="">
      <xdr:nvCxnSpPr>
        <xdr:cNvPr id="739" name="Straight Arrow Connector 738">
          <a:extLst>
            <a:ext uri="{FF2B5EF4-FFF2-40B4-BE49-F238E27FC236}">
              <a16:creationId xmlns:a16="http://schemas.microsoft.com/office/drawing/2014/main" xmlns="" id="{00000000-0008-0000-0400-0000E3020000}"/>
            </a:ext>
          </a:extLst>
        </xdr:cNvPr>
        <xdr:cNvCxnSpPr/>
      </xdr:nvCxnSpPr>
      <xdr:spPr>
        <a:xfrm flipH="1">
          <a:off x="3886108" y="59948429"/>
          <a:ext cx="13451219"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243869</xdr:colOff>
      <xdr:row>297</xdr:row>
      <xdr:rowOff>164860</xdr:rowOff>
    </xdr:from>
    <xdr:to>
      <xdr:col>24</xdr:col>
      <xdr:colOff>335833</xdr:colOff>
      <xdr:row>297</xdr:row>
      <xdr:rowOff>164860</xdr:rowOff>
    </xdr:to>
    <xdr:cxnSp macro="">
      <xdr:nvCxnSpPr>
        <xdr:cNvPr id="740" name="Straight Arrow Connector 739">
          <a:extLst>
            <a:ext uri="{FF2B5EF4-FFF2-40B4-BE49-F238E27FC236}">
              <a16:creationId xmlns:a16="http://schemas.microsoft.com/office/drawing/2014/main" xmlns="" id="{00000000-0008-0000-0400-0000E4020000}"/>
            </a:ext>
          </a:extLst>
        </xdr:cNvPr>
        <xdr:cNvCxnSpPr/>
      </xdr:nvCxnSpPr>
      <xdr:spPr>
        <a:xfrm flipH="1">
          <a:off x="3892677" y="60179687"/>
          <a:ext cx="11038387"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243869</xdr:colOff>
      <xdr:row>299</xdr:row>
      <xdr:rowOff>20799</xdr:rowOff>
    </xdr:from>
    <xdr:to>
      <xdr:col>20</xdr:col>
      <xdr:colOff>329264</xdr:colOff>
      <xdr:row>299</xdr:row>
      <xdr:rowOff>20799</xdr:rowOff>
    </xdr:to>
    <xdr:cxnSp macro="">
      <xdr:nvCxnSpPr>
        <xdr:cNvPr id="741" name="Straight Arrow Connector 740">
          <a:extLst>
            <a:ext uri="{FF2B5EF4-FFF2-40B4-BE49-F238E27FC236}">
              <a16:creationId xmlns:a16="http://schemas.microsoft.com/office/drawing/2014/main" xmlns="" id="{00000000-0008-0000-0400-0000E5020000}"/>
            </a:ext>
          </a:extLst>
        </xdr:cNvPr>
        <xdr:cNvCxnSpPr/>
      </xdr:nvCxnSpPr>
      <xdr:spPr>
        <a:xfrm flipH="1">
          <a:off x="3892677" y="60416626"/>
          <a:ext cx="8599279"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250438</xdr:colOff>
      <xdr:row>300</xdr:row>
      <xdr:rowOff>80347</xdr:rowOff>
    </xdr:from>
    <xdr:to>
      <xdr:col>16</xdr:col>
      <xdr:colOff>329264</xdr:colOff>
      <xdr:row>300</xdr:row>
      <xdr:rowOff>80347</xdr:rowOff>
    </xdr:to>
    <xdr:cxnSp macro="">
      <xdr:nvCxnSpPr>
        <xdr:cNvPr id="742" name="Straight Arrow Connector 741">
          <a:extLst>
            <a:ext uri="{FF2B5EF4-FFF2-40B4-BE49-F238E27FC236}">
              <a16:creationId xmlns:a16="http://schemas.microsoft.com/office/drawing/2014/main" xmlns="" id="{00000000-0008-0000-0400-0000E6020000}"/>
            </a:ext>
          </a:extLst>
        </xdr:cNvPr>
        <xdr:cNvCxnSpPr/>
      </xdr:nvCxnSpPr>
      <xdr:spPr>
        <a:xfrm flipH="1">
          <a:off x="3899246" y="60666674"/>
          <a:ext cx="6160172"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459247</xdr:colOff>
      <xdr:row>299</xdr:row>
      <xdr:rowOff>20387</xdr:rowOff>
    </xdr:from>
    <xdr:to>
      <xdr:col>4</xdr:col>
      <xdr:colOff>373851</xdr:colOff>
      <xdr:row>299</xdr:row>
      <xdr:rowOff>20387</xdr:rowOff>
    </xdr:to>
    <xdr:cxnSp macro="">
      <xdr:nvCxnSpPr>
        <xdr:cNvPr id="743" name="Straight Arrow Connector 742">
          <a:extLst>
            <a:ext uri="{FF2B5EF4-FFF2-40B4-BE49-F238E27FC236}">
              <a16:creationId xmlns:a16="http://schemas.microsoft.com/office/drawing/2014/main" xmlns="" id="{00000000-0008-0000-0400-0000E7020000}"/>
            </a:ext>
          </a:extLst>
        </xdr:cNvPr>
        <xdr:cNvCxnSpPr/>
      </xdr:nvCxnSpPr>
      <xdr:spPr>
        <a:xfrm flipH="1">
          <a:off x="1675516" y="60416214"/>
          <a:ext cx="11308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469604</xdr:colOff>
      <xdr:row>295</xdr:row>
      <xdr:rowOff>86630</xdr:rowOff>
    </xdr:from>
    <xdr:to>
      <xdr:col>2</xdr:col>
      <xdr:colOff>469605</xdr:colOff>
      <xdr:row>299</xdr:row>
      <xdr:rowOff>29308</xdr:rowOff>
    </xdr:to>
    <xdr:cxnSp macro="">
      <xdr:nvCxnSpPr>
        <xdr:cNvPr id="744" name="Straight Arrow Connector 743">
          <a:extLst>
            <a:ext uri="{FF2B5EF4-FFF2-40B4-BE49-F238E27FC236}">
              <a16:creationId xmlns:a16="http://schemas.microsoft.com/office/drawing/2014/main" xmlns="" id="{00000000-0008-0000-0400-0000E8020000}"/>
            </a:ext>
          </a:extLst>
        </xdr:cNvPr>
        <xdr:cNvCxnSpPr/>
      </xdr:nvCxnSpPr>
      <xdr:spPr>
        <a:xfrm flipH="1">
          <a:off x="1685873" y="59720457"/>
          <a:ext cx="1" cy="70467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246580</xdr:colOff>
      <xdr:row>295</xdr:row>
      <xdr:rowOff>80578</xdr:rowOff>
    </xdr:from>
    <xdr:to>
      <xdr:col>2</xdr:col>
      <xdr:colOff>475424</xdr:colOff>
      <xdr:row>295</xdr:row>
      <xdr:rowOff>80578</xdr:rowOff>
    </xdr:to>
    <xdr:cxnSp macro="">
      <xdr:nvCxnSpPr>
        <xdr:cNvPr id="745" name="Straight Arrow Connector 744">
          <a:extLst>
            <a:ext uri="{FF2B5EF4-FFF2-40B4-BE49-F238E27FC236}">
              <a16:creationId xmlns:a16="http://schemas.microsoft.com/office/drawing/2014/main" xmlns="" id="{00000000-0008-0000-0400-0000E9020000}"/>
            </a:ext>
          </a:extLst>
        </xdr:cNvPr>
        <xdr:cNvCxnSpPr>
          <a:endCxn id="733" idx="3"/>
        </xdr:cNvCxnSpPr>
      </xdr:nvCxnSpPr>
      <xdr:spPr>
        <a:xfrm flipH="1">
          <a:off x="1462849" y="59714405"/>
          <a:ext cx="2288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561974</xdr:colOff>
      <xdr:row>301</xdr:row>
      <xdr:rowOff>189586</xdr:rowOff>
    </xdr:from>
    <xdr:ext cx="1152526" cy="1116726"/>
    <xdr:sp macro="" textlink="">
      <xdr:nvSpPr>
        <xdr:cNvPr id="746" name="TextBox 745">
          <a:extLst>
            <a:ext uri="{FF2B5EF4-FFF2-40B4-BE49-F238E27FC236}">
              <a16:creationId xmlns:a16="http://schemas.microsoft.com/office/drawing/2014/main" xmlns="" id="{00000000-0008-0000-0400-0000EA020000}"/>
            </a:ext>
          </a:extLst>
        </xdr:cNvPr>
        <xdr:cNvSpPr txBox="1"/>
      </xdr:nvSpPr>
      <xdr:spPr>
        <a:xfrm>
          <a:off x="2994512" y="61032355"/>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0</xdr:col>
      <xdr:colOff>410308</xdr:colOff>
      <xdr:row>312</xdr:row>
      <xdr:rowOff>190223</xdr:rowOff>
    </xdr:from>
    <xdr:to>
      <xdr:col>2</xdr:col>
      <xdr:colOff>261235</xdr:colOff>
      <xdr:row>318</xdr:row>
      <xdr:rowOff>111857</xdr:rowOff>
    </xdr:to>
    <xdr:grpSp>
      <xdr:nvGrpSpPr>
        <xdr:cNvPr id="764" name="Group 763">
          <a:extLst>
            <a:ext uri="{FF2B5EF4-FFF2-40B4-BE49-F238E27FC236}">
              <a16:creationId xmlns:a16="http://schemas.microsoft.com/office/drawing/2014/main" xmlns="" id="{00000000-0008-0000-0400-0000FC020000}"/>
            </a:ext>
          </a:extLst>
        </xdr:cNvPr>
        <xdr:cNvGrpSpPr/>
      </xdr:nvGrpSpPr>
      <xdr:grpSpPr>
        <a:xfrm>
          <a:off x="410308" y="59887544"/>
          <a:ext cx="1123915" cy="1067772"/>
          <a:chOff x="610115" y="190500"/>
          <a:chExt cx="1064161" cy="734694"/>
        </a:xfrm>
      </xdr:grpSpPr>
      <xdr:sp macro="" textlink="">
        <xdr:nvSpPr>
          <xdr:cNvPr id="765" name="Rectangle 764">
            <a:extLst>
              <a:ext uri="{FF2B5EF4-FFF2-40B4-BE49-F238E27FC236}">
                <a16:creationId xmlns:a16="http://schemas.microsoft.com/office/drawing/2014/main" xmlns="" id="{00000000-0008-0000-0400-0000FD02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LPUART2</a:t>
            </a:r>
          </a:p>
        </xdr:txBody>
      </xdr:sp>
      <xdr:sp macro="" textlink="">
        <xdr:nvSpPr>
          <xdr:cNvPr id="766" name="TextBox 765">
            <a:extLst>
              <a:ext uri="{FF2B5EF4-FFF2-40B4-BE49-F238E27FC236}">
                <a16:creationId xmlns:a16="http://schemas.microsoft.com/office/drawing/2014/main" xmlns="" id="{00000000-0008-0000-0400-0000FE020000}"/>
              </a:ext>
            </a:extLst>
          </xdr:cNvPr>
          <xdr:cNvSpPr txBox="1"/>
        </xdr:nvSpPr>
        <xdr:spPr>
          <a:xfrm>
            <a:off x="1004973" y="21575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767" name="TextBox 766">
            <a:extLst>
              <a:ext uri="{FF2B5EF4-FFF2-40B4-BE49-F238E27FC236}">
                <a16:creationId xmlns:a16="http://schemas.microsoft.com/office/drawing/2014/main" xmlns="" id="{00000000-0008-0000-0400-0000FF020000}"/>
              </a:ext>
            </a:extLst>
          </xdr:cNvPr>
          <xdr:cNvSpPr txBox="1"/>
        </xdr:nvSpPr>
        <xdr:spPr>
          <a:xfrm>
            <a:off x="988063" y="709226"/>
            <a:ext cx="68621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418642</xdr:colOff>
      <xdr:row>310</xdr:row>
      <xdr:rowOff>43962</xdr:rowOff>
    </xdr:from>
    <xdr:to>
      <xdr:col>6</xdr:col>
      <xdr:colOff>219831</xdr:colOff>
      <xdr:row>314</xdr:row>
      <xdr:rowOff>166433</xdr:rowOff>
    </xdr:to>
    <xdr:sp macro="" textlink="">
      <xdr:nvSpPr>
        <xdr:cNvPr id="768" name="Rectangle 767">
          <a:extLst>
            <a:ext uri="{FF2B5EF4-FFF2-40B4-BE49-F238E27FC236}">
              <a16:creationId xmlns:a16="http://schemas.microsoft.com/office/drawing/2014/main" xmlns="" id="{00000000-0008-0000-0400-000000030000}"/>
            </a:ext>
          </a:extLst>
        </xdr:cNvPr>
        <xdr:cNvSpPr/>
      </xdr:nvSpPr>
      <xdr:spPr>
        <a:xfrm>
          <a:off x="2851180" y="62667174"/>
          <a:ext cx="1017459" cy="8844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LPUART2 Clock</a:t>
          </a:r>
          <a:r>
            <a:rPr lang="en-US" sz="1100" baseline="0"/>
            <a:t> Enable</a:t>
          </a:r>
        </a:p>
        <a:p>
          <a:pPr algn="ctr"/>
          <a:r>
            <a:rPr lang="en-US" sz="900"/>
            <a:t>PCC_LPUART2[CGC]</a:t>
          </a:r>
        </a:p>
      </xdr:txBody>
    </xdr:sp>
    <xdr:clientData/>
  </xdr:twoCellAnchor>
  <xdr:twoCellAnchor>
    <xdr:from>
      <xdr:col>6</xdr:col>
      <xdr:colOff>240048</xdr:colOff>
      <xdr:row>312</xdr:row>
      <xdr:rowOff>130970</xdr:rowOff>
    </xdr:from>
    <xdr:to>
      <xdr:col>10</xdr:col>
      <xdr:colOff>325444</xdr:colOff>
      <xdr:row>312</xdr:row>
      <xdr:rowOff>130970</xdr:rowOff>
    </xdr:to>
    <xdr:cxnSp macro="">
      <xdr:nvCxnSpPr>
        <xdr:cNvPr id="769" name="Straight Arrow Connector 768">
          <a:extLst>
            <a:ext uri="{FF2B5EF4-FFF2-40B4-BE49-F238E27FC236}">
              <a16:creationId xmlns:a16="http://schemas.microsoft.com/office/drawing/2014/main" xmlns="" id="{00000000-0008-0000-0400-000001030000}"/>
            </a:ext>
          </a:extLst>
        </xdr:cNvPr>
        <xdr:cNvCxnSpPr/>
      </xdr:nvCxnSpPr>
      <xdr:spPr>
        <a:xfrm flipH="1">
          <a:off x="3888856" y="63135182"/>
          <a:ext cx="2517934"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221052</xdr:colOff>
      <xdr:row>313</xdr:row>
      <xdr:rowOff>153225</xdr:rowOff>
    </xdr:from>
    <xdr:to>
      <xdr:col>4</xdr:col>
      <xdr:colOff>400783</xdr:colOff>
      <xdr:row>313</xdr:row>
      <xdr:rowOff>157829</xdr:rowOff>
    </xdr:to>
    <xdr:cxnSp macro="">
      <xdr:nvCxnSpPr>
        <xdr:cNvPr id="770" name="Straight Arrow Connector 769">
          <a:extLst>
            <a:ext uri="{FF2B5EF4-FFF2-40B4-BE49-F238E27FC236}">
              <a16:creationId xmlns:a16="http://schemas.microsoft.com/office/drawing/2014/main" xmlns="" id="{00000000-0008-0000-0400-000002030000}"/>
            </a:ext>
          </a:extLst>
        </xdr:cNvPr>
        <xdr:cNvCxnSpPr>
          <a:endCxn id="766" idx="3"/>
        </xdr:cNvCxnSpPr>
      </xdr:nvCxnSpPr>
      <xdr:spPr>
        <a:xfrm flipH="1" flipV="1">
          <a:off x="1437321" y="63347937"/>
          <a:ext cx="1396000" cy="460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424595</xdr:colOff>
      <xdr:row>318</xdr:row>
      <xdr:rowOff>176307</xdr:rowOff>
    </xdr:from>
    <xdr:to>
      <xdr:col>6</xdr:col>
      <xdr:colOff>225784</xdr:colOff>
      <xdr:row>323</xdr:row>
      <xdr:rowOff>168157</xdr:rowOff>
    </xdr:to>
    <xdr:sp macro="" textlink="">
      <xdr:nvSpPr>
        <xdr:cNvPr id="771" name="Rectangle 770">
          <a:extLst>
            <a:ext uri="{FF2B5EF4-FFF2-40B4-BE49-F238E27FC236}">
              <a16:creationId xmlns:a16="http://schemas.microsoft.com/office/drawing/2014/main" xmlns="" id="{00000000-0008-0000-0400-000003030000}"/>
            </a:ext>
          </a:extLst>
        </xdr:cNvPr>
        <xdr:cNvSpPr/>
      </xdr:nvSpPr>
      <xdr:spPr>
        <a:xfrm>
          <a:off x="2857133" y="64382134"/>
          <a:ext cx="1017459" cy="94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LPUART2 Per.</a:t>
          </a:r>
          <a:r>
            <a:rPr lang="en-US" sz="1100" baseline="0"/>
            <a:t> </a:t>
          </a:r>
          <a:r>
            <a:rPr lang="en-US" sz="1100"/>
            <a:t>Clk.</a:t>
          </a:r>
          <a:r>
            <a:rPr lang="en-US" sz="1100" baseline="0"/>
            <a:t> Select</a:t>
          </a:r>
        </a:p>
        <a:p>
          <a:pPr algn="ctr"/>
          <a:r>
            <a:rPr lang="en-US" sz="900"/>
            <a:t>PCC_LPUART2[PCS]</a:t>
          </a:r>
        </a:p>
      </xdr:txBody>
    </xdr:sp>
    <xdr:clientData/>
  </xdr:twoCellAnchor>
  <xdr:oneCellAnchor>
    <xdr:from>
      <xdr:col>4</xdr:col>
      <xdr:colOff>561517</xdr:colOff>
      <xdr:row>316</xdr:row>
      <xdr:rowOff>23813</xdr:rowOff>
    </xdr:from>
    <xdr:ext cx="860534" cy="367862"/>
    <xdr:sp macro="" textlink="">
      <xdr:nvSpPr>
        <xdr:cNvPr id="774" name="TextBox 773">
          <a:extLst>
            <a:ext uri="{FF2B5EF4-FFF2-40B4-BE49-F238E27FC236}">
              <a16:creationId xmlns:a16="http://schemas.microsoft.com/office/drawing/2014/main" xmlns="" id="{00000000-0008-0000-0400-000006030000}"/>
            </a:ext>
          </a:extLst>
        </xdr:cNvPr>
        <xdr:cNvSpPr txBox="1"/>
      </xdr:nvSpPr>
      <xdr:spPr>
        <a:xfrm>
          <a:off x="2994055" y="6379002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6</xdr:col>
      <xdr:colOff>251955</xdr:colOff>
      <xdr:row>319</xdr:row>
      <xdr:rowOff>87468</xdr:rowOff>
    </xdr:from>
    <xdr:to>
      <xdr:col>28</xdr:col>
      <xdr:colOff>324213</xdr:colOff>
      <xdr:row>319</xdr:row>
      <xdr:rowOff>87468</xdr:rowOff>
    </xdr:to>
    <xdr:cxnSp macro="">
      <xdr:nvCxnSpPr>
        <xdr:cNvPr id="775" name="Straight Arrow Connector 774">
          <a:extLst>
            <a:ext uri="{FF2B5EF4-FFF2-40B4-BE49-F238E27FC236}">
              <a16:creationId xmlns:a16="http://schemas.microsoft.com/office/drawing/2014/main" xmlns="" id="{00000000-0008-0000-0400-000007030000}"/>
            </a:ext>
          </a:extLst>
        </xdr:cNvPr>
        <xdr:cNvCxnSpPr/>
      </xdr:nvCxnSpPr>
      <xdr:spPr>
        <a:xfrm flipH="1">
          <a:off x="3900763" y="64483795"/>
          <a:ext cx="13451219"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258524</xdr:colOff>
      <xdr:row>320</xdr:row>
      <xdr:rowOff>128226</xdr:rowOff>
    </xdr:from>
    <xdr:to>
      <xdr:col>24</xdr:col>
      <xdr:colOff>350488</xdr:colOff>
      <xdr:row>320</xdr:row>
      <xdr:rowOff>128226</xdr:rowOff>
    </xdr:to>
    <xdr:cxnSp macro="">
      <xdr:nvCxnSpPr>
        <xdr:cNvPr id="776" name="Straight Arrow Connector 775">
          <a:extLst>
            <a:ext uri="{FF2B5EF4-FFF2-40B4-BE49-F238E27FC236}">
              <a16:creationId xmlns:a16="http://schemas.microsoft.com/office/drawing/2014/main" xmlns="" id="{00000000-0008-0000-0400-000008030000}"/>
            </a:ext>
          </a:extLst>
        </xdr:cNvPr>
        <xdr:cNvCxnSpPr/>
      </xdr:nvCxnSpPr>
      <xdr:spPr>
        <a:xfrm flipH="1">
          <a:off x="3907332" y="64715053"/>
          <a:ext cx="11038387"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258524</xdr:colOff>
      <xdr:row>322</xdr:row>
      <xdr:rowOff>13473</xdr:rowOff>
    </xdr:from>
    <xdr:to>
      <xdr:col>20</xdr:col>
      <xdr:colOff>343919</xdr:colOff>
      <xdr:row>322</xdr:row>
      <xdr:rowOff>13473</xdr:rowOff>
    </xdr:to>
    <xdr:cxnSp macro="">
      <xdr:nvCxnSpPr>
        <xdr:cNvPr id="777" name="Straight Arrow Connector 776">
          <a:extLst>
            <a:ext uri="{FF2B5EF4-FFF2-40B4-BE49-F238E27FC236}">
              <a16:creationId xmlns:a16="http://schemas.microsoft.com/office/drawing/2014/main" xmlns="" id="{00000000-0008-0000-0400-000009030000}"/>
            </a:ext>
          </a:extLst>
        </xdr:cNvPr>
        <xdr:cNvCxnSpPr/>
      </xdr:nvCxnSpPr>
      <xdr:spPr>
        <a:xfrm flipH="1">
          <a:off x="3907332" y="64981300"/>
          <a:ext cx="8599279"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265093</xdr:colOff>
      <xdr:row>323</xdr:row>
      <xdr:rowOff>80348</xdr:rowOff>
    </xdr:from>
    <xdr:to>
      <xdr:col>16</xdr:col>
      <xdr:colOff>343919</xdr:colOff>
      <xdr:row>323</xdr:row>
      <xdr:rowOff>80348</xdr:rowOff>
    </xdr:to>
    <xdr:cxnSp macro="">
      <xdr:nvCxnSpPr>
        <xdr:cNvPr id="778" name="Straight Arrow Connector 777">
          <a:extLst>
            <a:ext uri="{FF2B5EF4-FFF2-40B4-BE49-F238E27FC236}">
              <a16:creationId xmlns:a16="http://schemas.microsoft.com/office/drawing/2014/main" xmlns="" id="{00000000-0008-0000-0400-00000A030000}"/>
            </a:ext>
          </a:extLst>
        </xdr:cNvPr>
        <xdr:cNvCxnSpPr/>
      </xdr:nvCxnSpPr>
      <xdr:spPr>
        <a:xfrm flipH="1">
          <a:off x="3913901" y="65238675"/>
          <a:ext cx="6160172"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473902</xdr:colOff>
      <xdr:row>322</xdr:row>
      <xdr:rowOff>13061</xdr:rowOff>
    </xdr:from>
    <xdr:to>
      <xdr:col>4</xdr:col>
      <xdr:colOff>388506</xdr:colOff>
      <xdr:row>322</xdr:row>
      <xdr:rowOff>13061</xdr:rowOff>
    </xdr:to>
    <xdr:cxnSp macro="">
      <xdr:nvCxnSpPr>
        <xdr:cNvPr id="779" name="Straight Arrow Connector 778">
          <a:extLst>
            <a:ext uri="{FF2B5EF4-FFF2-40B4-BE49-F238E27FC236}">
              <a16:creationId xmlns:a16="http://schemas.microsoft.com/office/drawing/2014/main" xmlns="" id="{00000000-0008-0000-0400-00000B030000}"/>
            </a:ext>
          </a:extLst>
        </xdr:cNvPr>
        <xdr:cNvCxnSpPr/>
      </xdr:nvCxnSpPr>
      <xdr:spPr>
        <a:xfrm flipH="1">
          <a:off x="1690171" y="64980888"/>
          <a:ext cx="11308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484260</xdr:colOff>
      <xdr:row>317</xdr:row>
      <xdr:rowOff>137918</xdr:rowOff>
    </xdr:from>
    <xdr:to>
      <xdr:col>2</xdr:col>
      <xdr:colOff>484261</xdr:colOff>
      <xdr:row>322</xdr:row>
      <xdr:rowOff>14654</xdr:rowOff>
    </xdr:to>
    <xdr:cxnSp macro="">
      <xdr:nvCxnSpPr>
        <xdr:cNvPr id="780" name="Straight Arrow Connector 779">
          <a:extLst>
            <a:ext uri="{FF2B5EF4-FFF2-40B4-BE49-F238E27FC236}">
              <a16:creationId xmlns:a16="http://schemas.microsoft.com/office/drawing/2014/main" xmlns="" id="{00000000-0008-0000-0400-00000C030000}"/>
            </a:ext>
          </a:extLst>
        </xdr:cNvPr>
        <xdr:cNvCxnSpPr/>
      </xdr:nvCxnSpPr>
      <xdr:spPr>
        <a:xfrm flipH="1">
          <a:off x="1700529" y="64153245"/>
          <a:ext cx="1" cy="82923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261235</xdr:colOff>
      <xdr:row>317</xdr:row>
      <xdr:rowOff>131866</xdr:rowOff>
    </xdr:from>
    <xdr:to>
      <xdr:col>2</xdr:col>
      <xdr:colOff>490079</xdr:colOff>
      <xdr:row>317</xdr:row>
      <xdr:rowOff>131866</xdr:rowOff>
    </xdr:to>
    <xdr:cxnSp macro="">
      <xdr:nvCxnSpPr>
        <xdr:cNvPr id="781" name="Straight Arrow Connector 780">
          <a:extLst>
            <a:ext uri="{FF2B5EF4-FFF2-40B4-BE49-F238E27FC236}">
              <a16:creationId xmlns:a16="http://schemas.microsoft.com/office/drawing/2014/main" xmlns="" id="{00000000-0008-0000-0400-00000D030000}"/>
            </a:ext>
          </a:extLst>
        </xdr:cNvPr>
        <xdr:cNvCxnSpPr>
          <a:endCxn id="767" idx="3"/>
        </xdr:cNvCxnSpPr>
      </xdr:nvCxnSpPr>
      <xdr:spPr>
        <a:xfrm flipH="1">
          <a:off x="1477504" y="64088578"/>
          <a:ext cx="2288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576629</xdr:colOff>
      <xdr:row>325</xdr:row>
      <xdr:rowOff>6414</xdr:rowOff>
    </xdr:from>
    <xdr:ext cx="1152526" cy="1116726"/>
    <xdr:sp macro="" textlink="">
      <xdr:nvSpPr>
        <xdr:cNvPr id="782" name="TextBox 781">
          <a:extLst>
            <a:ext uri="{FF2B5EF4-FFF2-40B4-BE49-F238E27FC236}">
              <a16:creationId xmlns:a16="http://schemas.microsoft.com/office/drawing/2014/main" xmlns="" id="{00000000-0008-0000-0400-00000E030000}"/>
            </a:ext>
          </a:extLst>
        </xdr:cNvPr>
        <xdr:cNvSpPr txBox="1"/>
      </xdr:nvSpPr>
      <xdr:spPr>
        <a:xfrm>
          <a:off x="3009167" y="65545741"/>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41</xdr:col>
      <xdr:colOff>392797</xdr:colOff>
      <xdr:row>212</xdr:row>
      <xdr:rowOff>27164</xdr:rowOff>
    </xdr:from>
    <xdr:to>
      <xdr:col>43</xdr:col>
      <xdr:colOff>215894</xdr:colOff>
      <xdr:row>216</xdr:row>
      <xdr:rowOff>4496</xdr:rowOff>
    </xdr:to>
    <xdr:grpSp>
      <xdr:nvGrpSpPr>
        <xdr:cNvPr id="783" name="Group 782">
          <a:extLst>
            <a:ext uri="{FF2B5EF4-FFF2-40B4-BE49-F238E27FC236}">
              <a16:creationId xmlns:a16="http://schemas.microsoft.com/office/drawing/2014/main" xmlns="" id="{00000000-0008-0000-0400-00000F030000}"/>
            </a:ext>
          </a:extLst>
        </xdr:cNvPr>
        <xdr:cNvGrpSpPr/>
      </xdr:nvGrpSpPr>
      <xdr:grpSpPr>
        <a:xfrm>
          <a:off x="26489056" y="40520740"/>
          <a:ext cx="1096085" cy="766227"/>
          <a:chOff x="588526" y="190500"/>
          <a:chExt cx="1036410" cy="734695"/>
        </a:xfrm>
      </xdr:grpSpPr>
      <xdr:sp macro="" textlink="">
        <xdr:nvSpPr>
          <xdr:cNvPr id="784" name="Rectangle 783">
            <a:extLst>
              <a:ext uri="{FF2B5EF4-FFF2-40B4-BE49-F238E27FC236}">
                <a16:creationId xmlns:a16="http://schemas.microsoft.com/office/drawing/2014/main" xmlns="" id="{00000000-0008-0000-0400-000010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PDB1</a:t>
            </a:r>
          </a:p>
          <a:p>
            <a:pPr algn="ctr"/>
            <a:r>
              <a:rPr lang="en-US" sz="1050"/>
              <a:t>(S32K14x only)</a:t>
            </a:r>
          </a:p>
        </xdr:txBody>
      </xdr:sp>
      <xdr:sp macro="" textlink="">
        <xdr:nvSpPr>
          <xdr:cNvPr id="785" name="TextBox 784">
            <a:extLst>
              <a:ext uri="{FF2B5EF4-FFF2-40B4-BE49-F238E27FC236}">
                <a16:creationId xmlns:a16="http://schemas.microsoft.com/office/drawing/2014/main" xmlns="" id="{00000000-0008-0000-0400-000011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12</xdr:col>
      <xdr:colOff>300405</xdr:colOff>
      <xdr:row>213</xdr:row>
      <xdr:rowOff>102574</xdr:rowOff>
    </xdr:from>
    <xdr:to>
      <xdr:col>31</xdr:col>
      <xdr:colOff>402981</xdr:colOff>
      <xdr:row>213</xdr:row>
      <xdr:rowOff>102575</xdr:rowOff>
    </xdr:to>
    <xdr:cxnSp macro="">
      <xdr:nvCxnSpPr>
        <xdr:cNvPr id="786" name="Straight Arrow Connector 785">
          <a:extLst>
            <a:ext uri="{FF2B5EF4-FFF2-40B4-BE49-F238E27FC236}">
              <a16:creationId xmlns:a16="http://schemas.microsoft.com/office/drawing/2014/main" xmlns="" id="{00000000-0008-0000-0400-000012030000}"/>
            </a:ext>
          </a:extLst>
        </xdr:cNvPr>
        <xdr:cNvCxnSpPr/>
      </xdr:nvCxnSpPr>
      <xdr:spPr>
        <a:xfrm flipV="1">
          <a:off x="7598020" y="43529247"/>
          <a:ext cx="11657134" cy="1"/>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424968</xdr:colOff>
      <xdr:row>211</xdr:row>
      <xdr:rowOff>80587</xdr:rowOff>
    </xdr:from>
    <xdr:to>
      <xdr:col>33</xdr:col>
      <xdr:colOff>226158</xdr:colOff>
      <xdr:row>214</xdr:row>
      <xdr:rowOff>188199</xdr:rowOff>
    </xdr:to>
    <xdr:sp macro="" textlink="">
      <xdr:nvSpPr>
        <xdr:cNvPr id="787" name="Rectangle 786">
          <a:extLst>
            <a:ext uri="{FF2B5EF4-FFF2-40B4-BE49-F238E27FC236}">
              <a16:creationId xmlns:a16="http://schemas.microsoft.com/office/drawing/2014/main" xmlns="" id="{00000000-0008-0000-0400-000013030000}"/>
            </a:ext>
          </a:extLst>
        </xdr:cNvPr>
        <xdr:cNvSpPr/>
      </xdr:nvSpPr>
      <xdr:spPr>
        <a:xfrm>
          <a:off x="19277141" y="43082299"/>
          <a:ext cx="1017459" cy="7450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PDB1 Clock</a:t>
          </a:r>
          <a:r>
            <a:rPr lang="en-US" sz="1100" baseline="0"/>
            <a:t> Enable</a:t>
          </a:r>
        </a:p>
        <a:p>
          <a:pPr algn="ctr"/>
          <a:r>
            <a:rPr lang="en-US" sz="900"/>
            <a:t>PCC_PDB1[CGC]</a:t>
          </a:r>
        </a:p>
      </xdr:txBody>
    </xdr:sp>
    <xdr:clientData/>
  </xdr:twoCellAnchor>
  <xdr:oneCellAnchor>
    <xdr:from>
      <xdr:col>31</xdr:col>
      <xdr:colOff>564175</xdr:colOff>
      <xdr:row>215</xdr:row>
      <xdr:rowOff>212471</xdr:rowOff>
    </xdr:from>
    <xdr:ext cx="860534" cy="367862"/>
    <xdr:sp macro="" textlink="">
      <xdr:nvSpPr>
        <xdr:cNvPr id="788" name="TextBox 787">
          <a:extLst>
            <a:ext uri="{FF2B5EF4-FFF2-40B4-BE49-F238E27FC236}">
              <a16:creationId xmlns:a16="http://schemas.microsoft.com/office/drawing/2014/main" xmlns="" id="{00000000-0008-0000-0400-000014030000}"/>
            </a:ext>
          </a:extLst>
        </xdr:cNvPr>
        <xdr:cNvSpPr txBox="1"/>
      </xdr:nvSpPr>
      <xdr:spPr>
        <a:xfrm>
          <a:off x="19416348" y="44064106"/>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33</xdr:col>
      <xdr:colOff>234462</xdr:colOff>
      <xdr:row>212</xdr:row>
      <xdr:rowOff>149816</xdr:rowOff>
    </xdr:from>
    <xdr:to>
      <xdr:col>36</xdr:col>
      <xdr:colOff>402981</xdr:colOff>
      <xdr:row>212</xdr:row>
      <xdr:rowOff>149816</xdr:rowOff>
    </xdr:to>
    <xdr:cxnSp macro="">
      <xdr:nvCxnSpPr>
        <xdr:cNvPr id="789" name="Straight Arrow Connector 788">
          <a:extLst>
            <a:ext uri="{FF2B5EF4-FFF2-40B4-BE49-F238E27FC236}">
              <a16:creationId xmlns:a16="http://schemas.microsoft.com/office/drawing/2014/main" xmlns="" id="{00000000-0008-0000-0400-000015030000}"/>
            </a:ext>
          </a:extLst>
        </xdr:cNvPr>
        <xdr:cNvCxnSpPr/>
      </xdr:nvCxnSpPr>
      <xdr:spPr>
        <a:xfrm>
          <a:off x="20302904" y="43364008"/>
          <a:ext cx="1992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373674</xdr:colOff>
      <xdr:row>216</xdr:row>
      <xdr:rowOff>168519</xdr:rowOff>
    </xdr:from>
    <xdr:to>
      <xdr:col>35</xdr:col>
      <xdr:colOff>174863</xdr:colOff>
      <xdr:row>220</xdr:row>
      <xdr:rowOff>180881</xdr:rowOff>
    </xdr:to>
    <xdr:sp macro="" textlink="">
      <xdr:nvSpPr>
        <xdr:cNvPr id="790" name="Rectangle 789">
          <a:extLst>
            <a:ext uri="{FF2B5EF4-FFF2-40B4-BE49-F238E27FC236}">
              <a16:creationId xmlns:a16="http://schemas.microsoft.com/office/drawing/2014/main" xmlns="" id="{00000000-0008-0000-0400-000016030000}"/>
            </a:ext>
          </a:extLst>
        </xdr:cNvPr>
        <xdr:cNvSpPr/>
      </xdr:nvSpPr>
      <xdr:spPr>
        <a:xfrm>
          <a:off x="20442116" y="44232634"/>
          <a:ext cx="1017459" cy="7890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PORTB Clock</a:t>
          </a:r>
          <a:r>
            <a:rPr lang="en-US" sz="1100" baseline="0"/>
            <a:t> Enable</a:t>
          </a:r>
        </a:p>
        <a:p>
          <a:pPr algn="ctr"/>
          <a:r>
            <a:rPr lang="en-US" sz="900"/>
            <a:t>PCC_PORTB[CGC]</a:t>
          </a:r>
        </a:p>
      </xdr:txBody>
    </xdr:sp>
    <xdr:clientData/>
  </xdr:twoCellAnchor>
  <xdr:oneCellAnchor>
    <xdr:from>
      <xdr:col>33</xdr:col>
      <xdr:colOff>556847</xdr:colOff>
      <xdr:row>221</xdr:row>
      <xdr:rowOff>183173</xdr:rowOff>
    </xdr:from>
    <xdr:ext cx="860534" cy="367862"/>
    <xdr:sp macro="" textlink="">
      <xdr:nvSpPr>
        <xdr:cNvPr id="791" name="TextBox 790">
          <a:extLst>
            <a:ext uri="{FF2B5EF4-FFF2-40B4-BE49-F238E27FC236}">
              <a16:creationId xmlns:a16="http://schemas.microsoft.com/office/drawing/2014/main" xmlns="" id="{00000000-0008-0000-0400-000017030000}"/>
            </a:ext>
          </a:extLst>
        </xdr:cNvPr>
        <xdr:cNvSpPr txBox="1"/>
      </xdr:nvSpPr>
      <xdr:spPr>
        <a:xfrm>
          <a:off x="20625289" y="45236423"/>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315059</xdr:colOff>
      <xdr:row>219</xdr:row>
      <xdr:rowOff>15790</xdr:rowOff>
    </xdr:from>
    <xdr:to>
      <xdr:col>33</xdr:col>
      <xdr:colOff>359021</xdr:colOff>
      <xdr:row>219</xdr:row>
      <xdr:rowOff>15790</xdr:rowOff>
    </xdr:to>
    <xdr:cxnSp macro="">
      <xdr:nvCxnSpPr>
        <xdr:cNvPr id="792" name="Straight Arrow Connector 791">
          <a:extLst>
            <a:ext uri="{FF2B5EF4-FFF2-40B4-BE49-F238E27FC236}">
              <a16:creationId xmlns:a16="http://schemas.microsoft.com/office/drawing/2014/main" xmlns="" id="{00000000-0008-0000-0400-000018030000}"/>
            </a:ext>
          </a:extLst>
        </xdr:cNvPr>
        <xdr:cNvCxnSpPr/>
      </xdr:nvCxnSpPr>
      <xdr:spPr>
        <a:xfrm>
          <a:off x="6396405" y="44658732"/>
          <a:ext cx="14031058"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190501</xdr:colOff>
      <xdr:row>219</xdr:row>
      <xdr:rowOff>26437</xdr:rowOff>
    </xdr:from>
    <xdr:to>
      <xdr:col>41</xdr:col>
      <xdr:colOff>359019</xdr:colOff>
      <xdr:row>219</xdr:row>
      <xdr:rowOff>26437</xdr:rowOff>
    </xdr:to>
    <xdr:cxnSp macro="">
      <xdr:nvCxnSpPr>
        <xdr:cNvPr id="793" name="Straight Arrow Connector 792">
          <a:extLst>
            <a:ext uri="{FF2B5EF4-FFF2-40B4-BE49-F238E27FC236}">
              <a16:creationId xmlns:a16="http://schemas.microsoft.com/office/drawing/2014/main" xmlns="" id="{00000000-0008-0000-0400-000019030000}"/>
            </a:ext>
          </a:extLst>
        </xdr:cNvPr>
        <xdr:cNvCxnSpPr/>
      </xdr:nvCxnSpPr>
      <xdr:spPr>
        <a:xfrm>
          <a:off x="21475213" y="44698687"/>
          <a:ext cx="38173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388322</xdr:colOff>
      <xdr:row>220</xdr:row>
      <xdr:rowOff>205154</xdr:rowOff>
    </xdr:from>
    <xdr:to>
      <xdr:col>39</xdr:col>
      <xdr:colOff>189512</xdr:colOff>
      <xdr:row>224</xdr:row>
      <xdr:rowOff>180880</xdr:rowOff>
    </xdr:to>
    <xdr:sp macro="" textlink="">
      <xdr:nvSpPr>
        <xdr:cNvPr id="794" name="Rectangle 793">
          <a:extLst>
            <a:ext uri="{FF2B5EF4-FFF2-40B4-BE49-F238E27FC236}">
              <a16:creationId xmlns:a16="http://schemas.microsoft.com/office/drawing/2014/main" xmlns="" id="{00000000-0008-0000-0400-00001A030000}"/>
            </a:ext>
          </a:extLst>
        </xdr:cNvPr>
        <xdr:cNvSpPr/>
      </xdr:nvSpPr>
      <xdr:spPr>
        <a:xfrm>
          <a:off x="22889303" y="45089885"/>
          <a:ext cx="1017459" cy="8256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PORTB Filter Clock Select</a:t>
          </a:r>
          <a:endParaRPr lang="en-US" sz="1100" baseline="0"/>
        </a:p>
        <a:p>
          <a:pPr algn="ctr"/>
          <a:r>
            <a:rPr lang="en-US" sz="900"/>
            <a:t>PORTB_DFCR[CS]</a:t>
          </a:r>
        </a:p>
      </xdr:txBody>
    </xdr:sp>
    <xdr:clientData/>
  </xdr:twoCellAnchor>
  <xdr:twoCellAnchor>
    <xdr:from>
      <xdr:col>41</xdr:col>
      <xdr:colOff>366347</xdr:colOff>
      <xdr:row>218</xdr:row>
      <xdr:rowOff>80596</xdr:rowOff>
    </xdr:from>
    <xdr:to>
      <xdr:col>43</xdr:col>
      <xdr:colOff>189444</xdr:colOff>
      <xdr:row>222</xdr:row>
      <xdr:rowOff>166787</xdr:rowOff>
    </xdr:to>
    <xdr:grpSp>
      <xdr:nvGrpSpPr>
        <xdr:cNvPr id="795" name="Group 794">
          <a:extLst>
            <a:ext uri="{FF2B5EF4-FFF2-40B4-BE49-F238E27FC236}">
              <a16:creationId xmlns:a16="http://schemas.microsoft.com/office/drawing/2014/main" xmlns="" id="{00000000-0008-0000-0400-00001B030000}"/>
            </a:ext>
          </a:extLst>
        </xdr:cNvPr>
        <xdr:cNvGrpSpPr/>
      </xdr:nvGrpSpPr>
      <xdr:grpSpPr>
        <a:xfrm>
          <a:off x="26462606" y="41757514"/>
          <a:ext cx="1096085" cy="875085"/>
          <a:chOff x="25299865" y="9378462"/>
          <a:chExt cx="1039366" cy="899479"/>
        </a:xfrm>
      </xdr:grpSpPr>
      <xdr:grpSp>
        <xdr:nvGrpSpPr>
          <xdr:cNvPr id="796" name="Group 795">
            <a:extLst>
              <a:ext uri="{FF2B5EF4-FFF2-40B4-BE49-F238E27FC236}">
                <a16:creationId xmlns:a16="http://schemas.microsoft.com/office/drawing/2014/main" xmlns="" id="{00000000-0008-0000-0400-00001C030000}"/>
              </a:ext>
            </a:extLst>
          </xdr:cNvPr>
          <xdr:cNvGrpSpPr/>
        </xdr:nvGrpSpPr>
        <xdr:grpSpPr>
          <a:xfrm>
            <a:off x="25299865" y="9378462"/>
            <a:ext cx="1039366" cy="899479"/>
            <a:chOff x="588526" y="190500"/>
            <a:chExt cx="1036410" cy="734695"/>
          </a:xfrm>
        </xdr:grpSpPr>
        <xdr:sp macro="" textlink="">
          <xdr:nvSpPr>
            <xdr:cNvPr id="798" name="Rectangle 797">
              <a:extLst>
                <a:ext uri="{FF2B5EF4-FFF2-40B4-BE49-F238E27FC236}">
                  <a16:creationId xmlns:a16="http://schemas.microsoft.com/office/drawing/2014/main" xmlns="" id="{00000000-0008-0000-0400-00001E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PORTB</a:t>
              </a:r>
            </a:p>
          </xdr:txBody>
        </xdr:sp>
        <xdr:sp macro="" textlink="">
          <xdr:nvSpPr>
            <xdr:cNvPr id="799" name="TextBox 798">
              <a:extLst>
                <a:ext uri="{FF2B5EF4-FFF2-40B4-BE49-F238E27FC236}">
                  <a16:creationId xmlns:a16="http://schemas.microsoft.com/office/drawing/2014/main" xmlns="" id="{00000000-0008-0000-0400-00001F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797" name="TextBox 796">
            <a:extLst>
              <a:ext uri="{FF2B5EF4-FFF2-40B4-BE49-F238E27FC236}">
                <a16:creationId xmlns:a16="http://schemas.microsoft.com/office/drawing/2014/main" xmlns="" id="{00000000-0008-0000-0400-00001D030000}"/>
              </a:ext>
            </a:extLst>
          </xdr:cNvPr>
          <xdr:cNvSpPr txBox="1"/>
        </xdr:nvSpPr>
        <xdr:spPr>
          <a:xfrm>
            <a:off x="25307192" y="10030558"/>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Filter Clock</a:t>
            </a:r>
          </a:p>
        </xdr:txBody>
      </xdr:sp>
    </xdr:grpSp>
    <xdr:clientData/>
  </xdr:twoCellAnchor>
  <xdr:oneCellAnchor>
    <xdr:from>
      <xdr:col>37</xdr:col>
      <xdr:colOff>564168</xdr:colOff>
      <xdr:row>225</xdr:row>
      <xdr:rowOff>190499</xdr:rowOff>
    </xdr:from>
    <xdr:ext cx="1025770" cy="367862"/>
    <xdr:sp macro="" textlink="">
      <xdr:nvSpPr>
        <xdr:cNvPr id="800" name="TextBox 799">
          <a:extLst>
            <a:ext uri="{FF2B5EF4-FFF2-40B4-BE49-F238E27FC236}">
              <a16:creationId xmlns:a16="http://schemas.microsoft.com/office/drawing/2014/main" xmlns="" id="{00000000-0008-0000-0400-000020030000}"/>
            </a:ext>
          </a:extLst>
        </xdr:cNvPr>
        <xdr:cNvSpPr txBox="1"/>
      </xdr:nvSpPr>
      <xdr:spPr>
        <a:xfrm>
          <a:off x="23065149" y="46086345"/>
          <a:ext cx="1025770"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BUS_CLK</a:t>
          </a:r>
        </a:p>
        <a:p>
          <a:r>
            <a:rPr lang="en-US" sz="800"/>
            <a:t>1 - LPO128K_CLK</a:t>
          </a:r>
        </a:p>
      </xdr:txBody>
    </xdr:sp>
    <xdr:clientData/>
  </xdr:oneCellAnchor>
  <xdr:twoCellAnchor>
    <xdr:from>
      <xdr:col>39</xdr:col>
      <xdr:colOff>212482</xdr:colOff>
      <xdr:row>222</xdr:row>
      <xdr:rowOff>30187</xdr:rowOff>
    </xdr:from>
    <xdr:to>
      <xdr:col>41</xdr:col>
      <xdr:colOff>373674</xdr:colOff>
      <xdr:row>222</xdr:row>
      <xdr:rowOff>30187</xdr:rowOff>
    </xdr:to>
    <xdr:cxnSp macro="">
      <xdr:nvCxnSpPr>
        <xdr:cNvPr id="801" name="Straight Arrow Connector 800">
          <a:extLst>
            <a:ext uri="{FF2B5EF4-FFF2-40B4-BE49-F238E27FC236}">
              <a16:creationId xmlns:a16="http://schemas.microsoft.com/office/drawing/2014/main" xmlns="" id="{00000000-0008-0000-0400-000021030000}"/>
            </a:ext>
          </a:extLst>
        </xdr:cNvPr>
        <xdr:cNvCxnSpPr>
          <a:endCxn id="797" idx="1"/>
        </xdr:cNvCxnSpPr>
      </xdr:nvCxnSpPr>
      <xdr:spPr>
        <a:xfrm>
          <a:off x="23929732" y="45339879"/>
          <a:ext cx="1377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95251</xdr:colOff>
      <xdr:row>222</xdr:row>
      <xdr:rowOff>14067</xdr:rowOff>
    </xdr:from>
    <xdr:to>
      <xdr:col>37</xdr:col>
      <xdr:colOff>379535</xdr:colOff>
      <xdr:row>222</xdr:row>
      <xdr:rowOff>14067</xdr:rowOff>
    </xdr:to>
    <xdr:cxnSp macro="">
      <xdr:nvCxnSpPr>
        <xdr:cNvPr id="802" name="Straight Arrow Connector 801">
          <a:extLst>
            <a:ext uri="{FF2B5EF4-FFF2-40B4-BE49-F238E27FC236}">
              <a16:creationId xmlns:a16="http://schemas.microsoft.com/office/drawing/2014/main" xmlns="" id="{00000000-0008-0000-0400-000022030000}"/>
            </a:ext>
          </a:extLst>
        </xdr:cNvPr>
        <xdr:cNvCxnSpPr/>
      </xdr:nvCxnSpPr>
      <xdr:spPr>
        <a:xfrm>
          <a:off x="21988097" y="45279798"/>
          <a:ext cx="89241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95251</xdr:colOff>
      <xdr:row>219</xdr:row>
      <xdr:rowOff>36635</xdr:rowOff>
    </xdr:from>
    <xdr:to>
      <xdr:col>36</xdr:col>
      <xdr:colOff>95251</xdr:colOff>
      <xdr:row>222</xdr:row>
      <xdr:rowOff>14655</xdr:rowOff>
    </xdr:to>
    <xdr:cxnSp macro="">
      <xdr:nvCxnSpPr>
        <xdr:cNvPr id="803" name="Straight Arrow Connector 802">
          <a:extLst>
            <a:ext uri="{FF2B5EF4-FFF2-40B4-BE49-F238E27FC236}">
              <a16:creationId xmlns:a16="http://schemas.microsoft.com/office/drawing/2014/main" xmlns="" id="{00000000-0008-0000-0400-000023030000}"/>
            </a:ext>
          </a:extLst>
        </xdr:cNvPr>
        <xdr:cNvCxnSpPr/>
      </xdr:nvCxnSpPr>
      <xdr:spPr>
        <a:xfrm flipV="1">
          <a:off x="21988097" y="44708885"/>
          <a:ext cx="0" cy="61546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7328</xdr:colOff>
      <xdr:row>223</xdr:row>
      <xdr:rowOff>117229</xdr:rowOff>
    </xdr:from>
    <xdr:to>
      <xdr:col>37</xdr:col>
      <xdr:colOff>367941</xdr:colOff>
      <xdr:row>223</xdr:row>
      <xdr:rowOff>117229</xdr:rowOff>
    </xdr:to>
    <xdr:cxnSp macro="">
      <xdr:nvCxnSpPr>
        <xdr:cNvPr id="804" name="Straight Arrow Connector 803">
          <a:extLst>
            <a:ext uri="{FF2B5EF4-FFF2-40B4-BE49-F238E27FC236}">
              <a16:creationId xmlns:a16="http://schemas.microsoft.com/office/drawing/2014/main" xmlns="" id="{00000000-0008-0000-0400-000024030000}"/>
            </a:ext>
          </a:extLst>
        </xdr:cNvPr>
        <xdr:cNvCxnSpPr/>
      </xdr:nvCxnSpPr>
      <xdr:spPr>
        <a:xfrm>
          <a:off x="19467636" y="45624748"/>
          <a:ext cx="340128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329711</xdr:colOff>
      <xdr:row>222</xdr:row>
      <xdr:rowOff>161188</xdr:rowOff>
    </xdr:from>
    <xdr:ext cx="952501" cy="257176"/>
    <xdr:sp macro="" textlink="">
      <xdr:nvSpPr>
        <xdr:cNvPr id="805" name="TextBox 804">
          <a:hlinkClick xmlns:r="http://schemas.openxmlformats.org/officeDocument/2006/relationships" r:id="rId11"/>
          <a:extLst>
            <a:ext uri="{FF2B5EF4-FFF2-40B4-BE49-F238E27FC236}">
              <a16:creationId xmlns:a16="http://schemas.microsoft.com/office/drawing/2014/main" xmlns="" id="{00000000-0008-0000-0400-000025030000}"/>
            </a:ext>
          </a:extLst>
        </xdr:cNvPr>
        <xdr:cNvSpPr txBox="1"/>
      </xdr:nvSpPr>
      <xdr:spPr>
        <a:xfrm>
          <a:off x="17965615" y="45470880"/>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LPO128K_CLK</a:t>
          </a:r>
        </a:p>
      </xdr:txBody>
    </xdr:sp>
    <xdr:clientData/>
  </xdr:oneCellAnchor>
  <xdr:twoCellAnchor>
    <xdr:from>
      <xdr:col>33</xdr:col>
      <xdr:colOff>373673</xdr:colOff>
      <xdr:row>226</xdr:row>
      <xdr:rowOff>139213</xdr:rowOff>
    </xdr:from>
    <xdr:to>
      <xdr:col>35</xdr:col>
      <xdr:colOff>174862</xdr:colOff>
      <xdr:row>230</xdr:row>
      <xdr:rowOff>158902</xdr:rowOff>
    </xdr:to>
    <xdr:sp macro="" textlink="">
      <xdr:nvSpPr>
        <xdr:cNvPr id="806" name="Rectangle 805">
          <a:extLst>
            <a:ext uri="{FF2B5EF4-FFF2-40B4-BE49-F238E27FC236}">
              <a16:creationId xmlns:a16="http://schemas.microsoft.com/office/drawing/2014/main" xmlns="" id="{00000000-0008-0000-0400-000026030000}"/>
            </a:ext>
          </a:extLst>
        </xdr:cNvPr>
        <xdr:cNvSpPr/>
      </xdr:nvSpPr>
      <xdr:spPr>
        <a:xfrm>
          <a:off x="20442115" y="46298828"/>
          <a:ext cx="1017459" cy="8329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PORTC Clock</a:t>
          </a:r>
          <a:r>
            <a:rPr lang="en-US" sz="1100" baseline="0"/>
            <a:t> Enable</a:t>
          </a:r>
        </a:p>
        <a:p>
          <a:pPr algn="ctr"/>
          <a:r>
            <a:rPr lang="en-US" sz="900"/>
            <a:t>PCC_PORTC[CGC]</a:t>
          </a:r>
        </a:p>
      </xdr:txBody>
    </xdr:sp>
    <xdr:clientData/>
  </xdr:twoCellAnchor>
  <xdr:oneCellAnchor>
    <xdr:from>
      <xdr:col>33</xdr:col>
      <xdr:colOff>556846</xdr:colOff>
      <xdr:row>231</xdr:row>
      <xdr:rowOff>183175</xdr:rowOff>
    </xdr:from>
    <xdr:ext cx="860534" cy="367862"/>
    <xdr:sp macro="" textlink="">
      <xdr:nvSpPr>
        <xdr:cNvPr id="807" name="TextBox 806">
          <a:extLst>
            <a:ext uri="{FF2B5EF4-FFF2-40B4-BE49-F238E27FC236}">
              <a16:creationId xmlns:a16="http://schemas.microsoft.com/office/drawing/2014/main" xmlns="" id="{00000000-0008-0000-0400-000027030000}"/>
            </a:ext>
          </a:extLst>
        </xdr:cNvPr>
        <xdr:cNvSpPr txBox="1"/>
      </xdr:nvSpPr>
      <xdr:spPr>
        <a:xfrm>
          <a:off x="20625288" y="4734657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315058</xdr:colOff>
      <xdr:row>228</xdr:row>
      <xdr:rowOff>169657</xdr:rowOff>
    </xdr:from>
    <xdr:to>
      <xdr:col>33</xdr:col>
      <xdr:colOff>359020</xdr:colOff>
      <xdr:row>228</xdr:row>
      <xdr:rowOff>169657</xdr:rowOff>
    </xdr:to>
    <xdr:cxnSp macro="">
      <xdr:nvCxnSpPr>
        <xdr:cNvPr id="808" name="Straight Arrow Connector 807">
          <a:extLst>
            <a:ext uri="{FF2B5EF4-FFF2-40B4-BE49-F238E27FC236}">
              <a16:creationId xmlns:a16="http://schemas.microsoft.com/office/drawing/2014/main" xmlns="" id="{00000000-0008-0000-0400-000028030000}"/>
            </a:ext>
          </a:extLst>
        </xdr:cNvPr>
        <xdr:cNvCxnSpPr/>
      </xdr:nvCxnSpPr>
      <xdr:spPr>
        <a:xfrm>
          <a:off x="6396404" y="46754234"/>
          <a:ext cx="14031058"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190500</xdr:colOff>
      <xdr:row>229</xdr:row>
      <xdr:rowOff>11785</xdr:rowOff>
    </xdr:from>
    <xdr:to>
      <xdr:col>41</xdr:col>
      <xdr:colOff>359019</xdr:colOff>
      <xdr:row>229</xdr:row>
      <xdr:rowOff>11785</xdr:rowOff>
    </xdr:to>
    <xdr:cxnSp macro="">
      <xdr:nvCxnSpPr>
        <xdr:cNvPr id="809" name="Straight Arrow Connector 808">
          <a:extLst>
            <a:ext uri="{FF2B5EF4-FFF2-40B4-BE49-F238E27FC236}">
              <a16:creationId xmlns:a16="http://schemas.microsoft.com/office/drawing/2014/main" xmlns="" id="{00000000-0008-0000-0400-000029030000}"/>
            </a:ext>
          </a:extLst>
        </xdr:cNvPr>
        <xdr:cNvCxnSpPr/>
      </xdr:nvCxnSpPr>
      <xdr:spPr>
        <a:xfrm>
          <a:off x="21475212" y="46808843"/>
          <a:ext cx="38173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388321</xdr:colOff>
      <xdr:row>230</xdr:row>
      <xdr:rowOff>131886</xdr:rowOff>
    </xdr:from>
    <xdr:to>
      <xdr:col>39</xdr:col>
      <xdr:colOff>189511</xdr:colOff>
      <xdr:row>234</xdr:row>
      <xdr:rowOff>188208</xdr:rowOff>
    </xdr:to>
    <xdr:sp macro="" textlink="">
      <xdr:nvSpPr>
        <xdr:cNvPr id="810" name="Rectangle 809">
          <a:extLst>
            <a:ext uri="{FF2B5EF4-FFF2-40B4-BE49-F238E27FC236}">
              <a16:creationId xmlns:a16="http://schemas.microsoft.com/office/drawing/2014/main" xmlns="" id="{00000000-0008-0000-0400-00002A030000}"/>
            </a:ext>
          </a:extLst>
        </xdr:cNvPr>
        <xdr:cNvSpPr/>
      </xdr:nvSpPr>
      <xdr:spPr>
        <a:xfrm>
          <a:off x="22889302" y="47104790"/>
          <a:ext cx="1017459" cy="8256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PORTC Filter Clock Select</a:t>
          </a:r>
          <a:endParaRPr lang="en-US" sz="1100" baseline="0"/>
        </a:p>
        <a:p>
          <a:pPr algn="ctr"/>
          <a:r>
            <a:rPr lang="en-US" sz="900"/>
            <a:t>PORTC_DFCR[CS]</a:t>
          </a:r>
        </a:p>
      </xdr:txBody>
    </xdr:sp>
    <xdr:clientData/>
  </xdr:twoCellAnchor>
  <xdr:twoCellAnchor>
    <xdr:from>
      <xdr:col>41</xdr:col>
      <xdr:colOff>366346</xdr:colOff>
      <xdr:row>228</xdr:row>
      <xdr:rowOff>58617</xdr:rowOff>
    </xdr:from>
    <xdr:to>
      <xdr:col>43</xdr:col>
      <xdr:colOff>189443</xdr:colOff>
      <xdr:row>233</xdr:row>
      <xdr:rowOff>12923</xdr:rowOff>
    </xdr:to>
    <xdr:grpSp>
      <xdr:nvGrpSpPr>
        <xdr:cNvPr id="811" name="Group 810">
          <a:extLst>
            <a:ext uri="{FF2B5EF4-FFF2-40B4-BE49-F238E27FC236}">
              <a16:creationId xmlns:a16="http://schemas.microsoft.com/office/drawing/2014/main" xmlns="" id="{00000000-0008-0000-0400-00002B030000}"/>
            </a:ext>
          </a:extLst>
        </xdr:cNvPr>
        <xdr:cNvGrpSpPr/>
      </xdr:nvGrpSpPr>
      <xdr:grpSpPr>
        <a:xfrm>
          <a:off x="26462605" y="43707770"/>
          <a:ext cx="1096085" cy="922494"/>
          <a:chOff x="25299865" y="9378462"/>
          <a:chExt cx="1039366" cy="899479"/>
        </a:xfrm>
      </xdr:grpSpPr>
      <xdr:grpSp>
        <xdr:nvGrpSpPr>
          <xdr:cNvPr id="812" name="Group 811">
            <a:extLst>
              <a:ext uri="{FF2B5EF4-FFF2-40B4-BE49-F238E27FC236}">
                <a16:creationId xmlns:a16="http://schemas.microsoft.com/office/drawing/2014/main" xmlns="" id="{00000000-0008-0000-0400-00002C030000}"/>
              </a:ext>
            </a:extLst>
          </xdr:cNvPr>
          <xdr:cNvGrpSpPr/>
        </xdr:nvGrpSpPr>
        <xdr:grpSpPr>
          <a:xfrm>
            <a:off x="25299865" y="9378462"/>
            <a:ext cx="1039366" cy="899479"/>
            <a:chOff x="588526" y="190500"/>
            <a:chExt cx="1036410" cy="734695"/>
          </a:xfrm>
        </xdr:grpSpPr>
        <xdr:sp macro="" textlink="">
          <xdr:nvSpPr>
            <xdr:cNvPr id="814" name="Rectangle 813">
              <a:extLst>
                <a:ext uri="{FF2B5EF4-FFF2-40B4-BE49-F238E27FC236}">
                  <a16:creationId xmlns:a16="http://schemas.microsoft.com/office/drawing/2014/main" xmlns="" id="{00000000-0008-0000-0400-00002E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PORTC</a:t>
              </a:r>
            </a:p>
          </xdr:txBody>
        </xdr:sp>
        <xdr:sp macro="" textlink="">
          <xdr:nvSpPr>
            <xdr:cNvPr id="815" name="TextBox 814">
              <a:extLst>
                <a:ext uri="{FF2B5EF4-FFF2-40B4-BE49-F238E27FC236}">
                  <a16:creationId xmlns:a16="http://schemas.microsoft.com/office/drawing/2014/main" xmlns="" id="{00000000-0008-0000-0400-00002F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13" name="TextBox 812">
            <a:extLst>
              <a:ext uri="{FF2B5EF4-FFF2-40B4-BE49-F238E27FC236}">
                <a16:creationId xmlns:a16="http://schemas.microsoft.com/office/drawing/2014/main" xmlns="" id="{00000000-0008-0000-0400-00002D030000}"/>
              </a:ext>
            </a:extLst>
          </xdr:cNvPr>
          <xdr:cNvSpPr txBox="1"/>
        </xdr:nvSpPr>
        <xdr:spPr>
          <a:xfrm>
            <a:off x="25307192" y="10030558"/>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Filter Clock</a:t>
            </a:r>
          </a:p>
        </xdr:txBody>
      </xdr:sp>
    </xdr:grpSp>
    <xdr:clientData/>
  </xdr:twoCellAnchor>
  <xdr:oneCellAnchor>
    <xdr:from>
      <xdr:col>37</xdr:col>
      <xdr:colOff>564167</xdr:colOff>
      <xdr:row>235</xdr:row>
      <xdr:rowOff>183173</xdr:rowOff>
    </xdr:from>
    <xdr:ext cx="1025770" cy="367862"/>
    <xdr:sp macro="" textlink="">
      <xdr:nvSpPr>
        <xdr:cNvPr id="816" name="TextBox 815">
          <a:extLst>
            <a:ext uri="{FF2B5EF4-FFF2-40B4-BE49-F238E27FC236}">
              <a16:creationId xmlns:a16="http://schemas.microsoft.com/office/drawing/2014/main" xmlns="" id="{00000000-0008-0000-0400-000030030000}"/>
            </a:ext>
          </a:extLst>
        </xdr:cNvPr>
        <xdr:cNvSpPr txBox="1"/>
      </xdr:nvSpPr>
      <xdr:spPr>
        <a:xfrm>
          <a:off x="23065148" y="48196500"/>
          <a:ext cx="1025770"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BUS_CLK</a:t>
          </a:r>
        </a:p>
        <a:p>
          <a:r>
            <a:rPr lang="en-US" sz="800"/>
            <a:t>1 - LPO128K_CLK</a:t>
          </a:r>
        </a:p>
      </xdr:txBody>
    </xdr:sp>
    <xdr:clientData/>
  </xdr:oneCellAnchor>
  <xdr:twoCellAnchor>
    <xdr:from>
      <xdr:col>39</xdr:col>
      <xdr:colOff>212481</xdr:colOff>
      <xdr:row>232</xdr:row>
      <xdr:rowOff>88804</xdr:rowOff>
    </xdr:from>
    <xdr:to>
      <xdr:col>41</xdr:col>
      <xdr:colOff>373673</xdr:colOff>
      <xdr:row>232</xdr:row>
      <xdr:rowOff>88804</xdr:rowOff>
    </xdr:to>
    <xdr:cxnSp macro="">
      <xdr:nvCxnSpPr>
        <xdr:cNvPr id="817" name="Straight Arrow Connector 816">
          <a:extLst>
            <a:ext uri="{FF2B5EF4-FFF2-40B4-BE49-F238E27FC236}">
              <a16:creationId xmlns:a16="http://schemas.microsoft.com/office/drawing/2014/main" xmlns="" id="{00000000-0008-0000-0400-000031030000}"/>
            </a:ext>
          </a:extLst>
        </xdr:cNvPr>
        <xdr:cNvCxnSpPr>
          <a:endCxn id="813" idx="1"/>
        </xdr:cNvCxnSpPr>
      </xdr:nvCxnSpPr>
      <xdr:spPr>
        <a:xfrm>
          <a:off x="23929731" y="47493996"/>
          <a:ext cx="1377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95250</xdr:colOff>
      <xdr:row>232</xdr:row>
      <xdr:rowOff>36049</xdr:rowOff>
    </xdr:from>
    <xdr:to>
      <xdr:col>37</xdr:col>
      <xdr:colOff>379534</xdr:colOff>
      <xdr:row>232</xdr:row>
      <xdr:rowOff>36049</xdr:rowOff>
    </xdr:to>
    <xdr:cxnSp macro="">
      <xdr:nvCxnSpPr>
        <xdr:cNvPr id="818" name="Straight Arrow Connector 817">
          <a:extLst>
            <a:ext uri="{FF2B5EF4-FFF2-40B4-BE49-F238E27FC236}">
              <a16:creationId xmlns:a16="http://schemas.microsoft.com/office/drawing/2014/main" xmlns="" id="{00000000-0008-0000-0400-000032030000}"/>
            </a:ext>
          </a:extLst>
        </xdr:cNvPr>
        <xdr:cNvCxnSpPr/>
      </xdr:nvCxnSpPr>
      <xdr:spPr>
        <a:xfrm>
          <a:off x="21988096" y="47389953"/>
          <a:ext cx="89241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95250</xdr:colOff>
      <xdr:row>229</xdr:row>
      <xdr:rowOff>7329</xdr:rowOff>
    </xdr:from>
    <xdr:to>
      <xdr:col>36</xdr:col>
      <xdr:colOff>95250</xdr:colOff>
      <xdr:row>232</xdr:row>
      <xdr:rowOff>36636</xdr:rowOff>
    </xdr:to>
    <xdr:cxnSp macro="">
      <xdr:nvCxnSpPr>
        <xdr:cNvPr id="819" name="Straight Arrow Connector 818">
          <a:extLst>
            <a:ext uri="{FF2B5EF4-FFF2-40B4-BE49-F238E27FC236}">
              <a16:creationId xmlns:a16="http://schemas.microsoft.com/office/drawing/2014/main" xmlns="" id="{00000000-0008-0000-0400-000033030000}"/>
            </a:ext>
          </a:extLst>
        </xdr:cNvPr>
        <xdr:cNvCxnSpPr/>
      </xdr:nvCxnSpPr>
      <xdr:spPr>
        <a:xfrm flipV="1">
          <a:off x="21988096" y="46789733"/>
          <a:ext cx="0" cy="60080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7327</xdr:colOff>
      <xdr:row>233</xdr:row>
      <xdr:rowOff>124557</xdr:rowOff>
    </xdr:from>
    <xdr:to>
      <xdr:col>37</xdr:col>
      <xdr:colOff>367940</xdr:colOff>
      <xdr:row>233</xdr:row>
      <xdr:rowOff>124557</xdr:rowOff>
    </xdr:to>
    <xdr:cxnSp macro="">
      <xdr:nvCxnSpPr>
        <xdr:cNvPr id="820" name="Straight Arrow Connector 819">
          <a:extLst>
            <a:ext uri="{FF2B5EF4-FFF2-40B4-BE49-F238E27FC236}">
              <a16:creationId xmlns:a16="http://schemas.microsoft.com/office/drawing/2014/main" xmlns="" id="{00000000-0008-0000-0400-000034030000}"/>
            </a:ext>
          </a:extLst>
        </xdr:cNvPr>
        <xdr:cNvCxnSpPr/>
      </xdr:nvCxnSpPr>
      <xdr:spPr>
        <a:xfrm>
          <a:off x="19467635" y="47668961"/>
          <a:ext cx="340128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329710</xdr:colOff>
      <xdr:row>232</xdr:row>
      <xdr:rowOff>161189</xdr:rowOff>
    </xdr:from>
    <xdr:ext cx="952501" cy="257176"/>
    <xdr:sp macro="" textlink="">
      <xdr:nvSpPr>
        <xdr:cNvPr id="821" name="TextBox 820">
          <a:hlinkClick xmlns:r="http://schemas.openxmlformats.org/officeDocument/2006/relationships" r:id="rId11"/>
          <a:extLst>
            <a:ext uri="{FF2B5EF4-FFF2-40B4-BE49-F238E27FC236}">
              <a16:creationId xmlns:a16="http://schemas.microsoft.com/office/drawing/2014/main" xmlns="" id="{00000000-0008-0000-0400-000035030000}"/>
            </a:ext>
          </a:extLst>
        </xdr:cNvPr>
        <xdr:cNvSpPr txBox="1"/>
      </xdr:nvSpPr>
      <xdr:spPr>
        <a:xfrm>
          <a:off x="17965614" y="47515093"/>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LPO128K_CLK</a:t>
          </a:r>
        </a:p>
      </xdr:txBody>
    </xdr:sp>
    <xdr:clientData/>
  </xdr:oneCellAnchor>
  <xdr:twoCellAnchor>
    <xdr:from>
      <xdr:col>33</xdr:col>
      <xdr:colOff>373674</xdr:colOff>
      <xdr:row>236</xdr:row>
      <xdr:rowOff>80592</xdr:rowOff>
    </xdr:from>
    <xdr:to>
      <xdr:col>35</xdr:col>
      <xdr:colOff>174863</xdr:colOff>
      <xdr:row>240</xdr:row>
      <xdr:rowOff>166224</xdr:rowOff>
    </xdr:to>
    <xdr:sp macro="" textlink="">
      <xdr:nvSpPr>
        <xdr:cNvPr id="822" name="Rectangle 821">
          <a:extLst>
            <a:ext uri="{FF2B5EF4-FFF2-40B4-BE49-F238E27FC236}">
              <a16:creationId xmlns:a16="http://schemas.microsoft.com/office/drawing/2014/main" xmlns="" id="{00000000-0008-0000-0400-000036030000}"/>
            </a:ext>
          </a:extLst>
        </xdr:cNvPr>
        <xdr:cNvSpPr/>
      </xdr:nvSpPr>
      <xdr:spPr>
        <a:xfrm>
          <a:off x="20442116" y="48335707"/>
          <a:ext cx="1017459" cy="8549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PORTD Clock</a:t>
          </a:r>
          <a:r>
            <a:rPr lang="en-US" sz="1100" baseline="0"/>
            <a:t> Enable</a:t>
          </a:r>
        </a:p>
        <a:p>
          <a:pPr algn="ctr"/>
          <a:r>
            <a:rPr lang="en-US" sz="900"/>
            <a:t>PCC_PORTD[CGC]</a:t>
          </a:r>
        </a:p>
      </xdr:txBody>
    </xdr:sp>
    <xdr:clientData/>
  </xdr:twoCellAnchor>
  <xdr:oneCellAnchor>
    <xdr:from>
      <xdr:col>33</xdr:col>
      <xdr:colOff>556847</xdr:colOff>
      <xdr:row>241</xdr:row>
      <xdr:rowOff>197824</xdr:rowOff>
    </xdr:from>
    <xdr:ext cx="860534" cy="367862"/>
    <xdr:sp macro="" textlink="">
      <xdr:nvSpPr>
        <xdr:cNvPr id="823" name="TextBox 822">
          <a:extLst>
            <a:ext uri="{FF2B5EF4-FFF2-40B4-BE49-F238E27FC236}">
              <a16:creationId xmlns:a16="http://schemas.microsoft.com/office/drawing/2014/main" xmlns="" id="{00000000-0008-0000-0400-000037030000}"/>
            </a:ext>
          </a:extLst>
        </xdr:cNvPr>
        <xdr:cNvSpPr txBox="1"/>
      </xdr:nvSpPr>
      <xdr:spPr>
        <a:xfrm>
          <a:off x="20625289" y="49412766"/>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315059</xdr:colOff>
      <xdr:row>238</xdr:row>
      <xdr:rowOff>147671</xdr:rowOff>
    </xdr:from>
    <xdr:to>
      <xdr:col>33</xdr:col>
      <xdr:colOff>359021</xdr:colOff>
      <xdr:row>238</xdr:row>
      <xdr:rowOff>147671</xdr:rowOff>
    </xdr:to>
    <xdr:cxnSp macro="">
      <xdr:nvCxnSpPr>
        <xdr:cNvPr id="824" name="Straight Arrow Connector 823">
          <a:extLst>
            <a:ext uri="{FF2B5EF4-FFF2-40B4-BE49-F238E27FC236}">
              <a16:creationId xmlns:a16="http://schemas.microsoft.com/office/drawing/2014/main" xmlns="" id="{00000000-0008-0000-0400-000038030000}"/>
            </a:ext>
          </a:extLst>
        </xdr:cNvPr>
        <xdr:cNvCxnSpPr/>
      </xdr:nvCxnSpPr>
      <xdr:spPr>
        <a:xfrm>
          <a:off x="6396405" y="48791113"/>
          <a:ext cx="14031058"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190501</xdr:colOff>
      <xdr:row>238</xdr:row>
      <xdr:rowOff>210983</xdr:rowOff>
    </xdr:from>
    <xdr:to>
      <xdr:col>41</xdr:col>
      <xdr:colOff>373673</xdr:colOff>
      <xdr:row>239</xdr:row>
      <xdr:rowOff>11782</xdr:rowOff>
    </xdr:to>
    <xdr:cxnSp macro="">
      <xdr:nvCxnSpPr>
        <xdr:cNvPr id="825" name="Straight Arrow Connector 824">
          <a:extLst>
            <a:ext uri="{FF2B5EF4-FFF2-40B4-BE49-F238E27FC236}">
              <a16:creationId xmlns:a16="http://schemas.microsoft.com/office/drawing/2014/main" xmlns="" id="{00000000-0008-0000-0400-000039030000}"/>
            </a:ext>
          </a:extLst>
        </xdr:cNvPr>
        <xdr:cNvCxnSpPr/>
      </xdr:nvCxnSpPr>
      <xdr:spPr>
        <a:xfrm flipV="1">
          <a:off x="21475213" y="48861752"/>
          <a:ext cx="3831979" cy="1328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366347</xdr:colOff>
      <xdr:row>238</xdr:row>
      <xdr:rowOff>43958</xdr:rowOff>
    </xdr:from>
    <xdr:to>
      <xdr:col>43</xdr:col>
      <xdr:colOff>189444</xdr:colOff>
      <xdr:row>243</xdr:row>
      <xdr:rowOff>56879</xdr:rowOff>
    </xdr:to>
    <xdr:grpSp>
      <xdr:nvGrpSpPr>
        <xdr:cNvPr id="826" name="Group 825">
          <a:extLst>
            <a:ext uri="{FF2B5EF4-FFF2-40B4-BE49-F238E27FC236}">
              <a16:creationId xmlns:a16="http://schemas.microsoft.com/office/drawing/2014/main" xmlns="" id="{00000000-0008-0000-0400-00003A030000}"/>
            </a:ext>
          </a:extLst>
        </xdr:cNvPr>
        <xdr:cNvGrpSpPr/>
      </xdr:nvGrpSpPr>
      <xdr:grpSpPr>
        <a:xfrm>
          <a:off x="26462606" y="45629487"/>
          <a:ext cx="1096085" cy="981110"/>
          <a:chOff x="25299865" y="9378462"/>
          <a:chExt cx="1039366" cy="899479"/>
        </a:xfrm>
      </xdr:grpSpPr>
      <xdr:grpSp>
        <xdr:nvGrpSpPr>
          <xdr:cNvPr id="827" name="Group 826">
            <a:extLst>
              <a:ext uri="{FF2B5EF4-FFF2-40B4-BE49-F238E27FC236}">
                <a16:creationId xmlns:a16="http://schemas.microsoft.com/office/drawing/2014/main" xmlns="" id="{00000000-0008-0000-0400-00003B030000}"/>
              </a:ext>
            </a:extLst>
          </xdr:cNvPr>
          <xdr:cNvGrpSpPr/>
        </xdr:nvGrpSpPr>
        <xdr:grpSpPr>
          <a:xfrm>
            <a:off x="25299865" y="9378462"/>
            <a:ext cx="1039366" cy="899479"/>
            <a:chOff x="588526" y="190500"/>
            <a:chExt cx="1036410" cy="734695"/>
          </a:xfrm>
        </xdr:grpSpPr>
        <xdr:sp macro="" textlink="">
          <xdr:nvSpPr>
            <xdr:cNvPr id="829" name="Rectangle 828">
              <a:extLst>
                <a:ext uri="{FF2B5EF4-FFF2-40B4-BE49-F238E27FC236}">
                  <a16:creationId xmlns:a16="http://schemas.microsoft.com/office/drawing/2014/main" xmlns="" id="{00000000-0008-0000-0400-00003D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PORTD</a:t>
              </a:r>
            </a:p>
          </xdr:txBody>
        </xdr:sp>
        <xdr:sp macro="" textlink="">
          <xdr:nvSpPr>
            <xdr:cNvPr id="830" name="TextBox 829">
              <a:extLst>
                <a:ext uri="{FF2B5EF4-FFF2-40B4-BE49-F238E27FC236}">
                  <a16:creationId xmlns:a16="http://schemas.microsoft.com/office/drawing/2014/main" xmlns="" id="{00000000-0008-0000-0400-00003E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28" name="TextBox 827">
            <a:extLst>
              <a:ext uri="{FF2B5EF4-FFF2-40B4-BE49-F238E27FC236}">
                <a16:creationId xmlns:a16="http://schemas.microsoft.com/office/drawing/2014/main" xmlns="" id="{00000000-0008-0000-0400-00003C030000}"/>
              </a:ext>
            </a:extLst>
          </xdr:cNvPr>
          <xdr:cNvSpPr txBox="1"/>
        </xdr:nvSpPr>
        <xdr:spPr>
          <a:xfrm>
            <a:off x="25307192" y="10030558"/>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Filter Clock</a:t>
            </a:r>
          </a:p>
        </xdr:txBody>
      </xdr:sp>
    </xdr:grpSp>
    <xdr:clientData/>
  </xdr:twoCellAnchor>
  <xdr:oneCellAnchor>
    <xdr:from>
      <xdr:col>37</xdr:col>
      <xdr:colOff>564168</xdr:colOff>
      <xdr:row>246</xdr:row>
      <xdr:rowOff>58610</xdr:rowOff>
    </xdr:from>
    <xdr:ext cx="1025770" cy="367862"/>
    <xdr:sp macro="" textlink="">
      <xdr:nvSpPr>
        <xdr:cNvPr id="831" name="TextBox 830">
          <a:extLst>
            <a:ext uri="{FF2B5EF4-FFF2-40B4-BE49-F238E27FC236}">
              <a16:creationId xmlns:a16="http://schemas.microsoft.com/office/drawing/2014/main" xmlns="" id="{00000000-0008-0000-0400-00003F030000}"/>
            </a:ext>
          </a:extLst>
        </xdr:cNvPr>
        <xdr:cNvSpPr txBox="1"/>
      </xdr:nvSpPr>
      <xdr:spPr>
        <a:xfrm>
          <a:off x="23065149" y="50262687"/>
          <a:ext cx="1025770"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BUS_CLK</a:t>
          </a:r>
        </a:p>
        <a:p>
          <a:r>
            <a:rPr lang="en-US" sz="800"/>
            <a:t>1 - LPO128K_CLK</a:t>
          </a:r>
        </a:p>
      </xdr:txBody>
    </xdr:sp>
    <xdr:clientData/>
  </xdr:oneCellAnchor>
  <xdr:twoCellAnchor>
    <xdr:from>
      <xdr:col>39</xdr:col>
      <xdr:colOff>212482</xdr:colOff>
      <xdr:row>242</xdr:row>
      <xdr:rowOff>132760</xdr:rowOff>
    </xdr:from>
    <xdr:to>
      <xdr:col>41</xdr:col>
      <xdr:colOff>373674</xdr:colOff>
      <xdr:row>242</xdr:row>
      <xdr:rowOff>132760</xdr:rowOff>
    </xdr:to>
    <xdr:cxnSp macro="">
      <xdr:nvCxnSpPr>
        <xdr:cNvPr id="832" name="Straight Arrow Connector 831">
          <a:extLst>
            <a:ext uri="{FF2B5EF4-FFF2-40B4-BE49-F238E27FC236}">
              <a16:creationId xmlns:a16="http://schemas.microsoft.com/office/drawing/2014/main" xmlns="" id="{00000000-0008-0000-0400-000040030000}"/>
            </a:ext>
          </a:extLst>
        </xdr:cNvPr>
        <xdr:cNvCxnSpPr>
          <a:endCxn id="828" idx="1"/>
        </xdr:cNvCxnSpPr>
      </xdr:nvCxnSpPr>
      <xdr:spPr>
        <a:xfrm>
          <a:off x="23929732" y="49604145"/>
          <a:ext cx="1377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95251</xdr:colOff>
      <xdr:row>242</xdr:row>
      <xdr:rowOff>65351</xdr:rowOff>
    </xdr:from>
    <xdr:to>
      <xdr:col>37</xdr:col>
      <xdr:colOff>379535</xdr:colOff>
      <xdr:row>242</xdr:row>
      <xdr:rowOff>65351</xdr:rowOff>
    </xdr:to>
    <xdr:cxnSp macro="">
      <xdr:nvCxnSpPr>
        <xdr:cNvPr id="833" name="Straight Arrow Connector 832">
          <a:extLst>
            <a:ext uri="{FF2B5EF4-FFF2-40B4-BE49-F238E27FC236}">
              <a16:creationId xmlns:a16="http://schemas.microsoft.com/office/drawing/2014/main" xmlns="" id="{00000000-0008-0000-0400-000041030000}"/>
            </a:ext>
          </a:extLst>
        </xdr:cNvPr>
        <xdr:cNvCxnSpPr/>
      </xdr:nvCxnSpPr>
      <xdr:spPr>
        <a:xfrm>
          <a:off x="21988097" y="49478120"/>
          <a:ext cx="89241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95251</xdr:colOff>
      <xdr:row>239</xdr:row>
      <xdr:rowOff>7324</xdr:rowOff>
    </xdr:from>
    <xdr:to>
      <xdr:col>36</xdr:col>
      <xdr:colOff>95251</xdr:colOff>
      <xdr:row>242</xdr:row>
      <xdr:rowOff>65938</xdr:rowOff>
    </xdr:to>
    <xdr:cxnSp macro="">
      <xdr:nvCxnSpPr>
        <xdr:cNvPr id="834" name="Straight Arrow Connector 833">
          <a:extLst>
            <a:ext uri="{FF2B5EF4-FFF2-40B4-BE49-F238E27FC236}">
              <a16:creationId xmlns:a16="http://schemas.microsoft.com/office/drawing/2014/main" xmlns="" id="{00000000-0008-0000-0400-000042030000}"/>
            </a:ext>
          </a:extLst>
        </xdr:cNvPr>
        <xdr:cNvCxnSpPr/>
      </xdr:nvCxnSpPr>
      <xdr:spPr>
        <a:xfrm flipV="1">
          <a:off x="21988097" y="48841266"/>
          <a:ext cx="0" cy="63744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7328</xdr:colOff>
      <xdr:row>243</xdr:row>
      <xdr:rowOff>153859</xdr:rowOff>
    </xdr:from>
    <xdr:to>
      <xdr:col>37</xdr:col>
      <xdr:colOff>367941</xdr:colOff>
      <xdr:row>243</xdr:row>
      <xdr:rowOff>153859</xdr:rowOff>
    </xdr:to>
    <xdr:cxnSp macro="">
      <xdr:nvCxnSpPr>
        <xdr:cNvPr id="835" name="Straight Arrow Connector 834">
          <a:extLst>
            <a:ext uri="{FF2B5EF4-FFF2-40B4-BE49-F238E27FC236}">
              <a16:creationId xmlns:a16="http://schemas.microsoft.com/office/drawing/2014/main" xmlns="" id="{00000000-0008-0000-0400-000043030000}"/>
            </a:ext>
          </a:extLst>
        </xdr:cNvPr>
        <xdr:cNvCxnSpPr/>
      </xdr:nvCxnSpPr>
      <xdr:spPr>
        <a:xfrm>
          <a:off x="19467636" y="49779109"/>
          <a:ext cx="340128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329711</xdr:colOff>
      <xdr:row>242</xdr:row>
      <xdr:rowOff>190491</xdr:rowOff>
    </xdr:from>
    <xdr:ext cx="952501" cy="257176"/>
    <xdr:sp macro="" textlink="">
      <xdr:nvSpPr>
        <xdr:cNvPr id="836" name="TextBox 835">
          <a:hlinkClick xmlns:r="http://schemas.openxmlformats.org/officeDocument/2006/relationships" r:id="rId11"/>
          <a:extLst>
            <a:ext uri="{FF2B5EF4-FFF2-40B4-BE49-F238E27FC236}">
              <a16:creationId xmlns:a16="http://schemas.microsoft.com/office/drawing/2014/main" xmlns="" id="{00000000-0008-0000-0400-000044030000}"/>
            </a:ext>
          </a:extLst>
        </xdr:cNvPr>
        <xdr:cNvSpPr txBox="1"/>
      </xdr:nvSpPr>
      <xdr:spPr>
        <a:xfrm>
          <a:off x="17965615" y="49603260"/>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LPO128K_CLK</a:t>
          </a:r>
        </a:p>
      </xdr:txBody>
    </xdr:sp>
    <xdr:clientData/>
  </xdr:oneCellAnchor>
  <xdr:twoCellAnchor>
    <xdr:from>
      <xdr:col>37</xdr:col>
      <xdr:colOff>410307</xdr:colOff>
      <xdr:row>240</xdr:row>
      <xdr:rowOff>87923</xdr:rowOff>
    </xdr:from>
    <xdr:to>
      <xdr:col>39</xdr:col>
      <xdr:colOff>211497</xdr:colOff>
      <xdr:row>244</xdr:row>
      <xdr:rowOff>180879</xdr:rowOff>
    </xdr:to>
    <xdr:sp macro="" textlink="">
      <xdr:nvSpPr>
        <xdr:cNvPr id="837" name="Rectangle 836">
          <a:extLst>
            <a:ext uri="{FF2B5EF4-FFF2-40B4-BE49-F238E27FC236}">
              <a16:creationId xmlns:a16="http://schemas.microsoft.com/office/drawing/2014/main" xmlns="" id="{00000000-0008-0000-0400-000045030000}"/>
            </a:ext>
          </a:extLst>
        </xdr:cNvPr>
        <xdr:cNvSpPr/>
      </xdr:nvSpPr>
      <xdr:spPr>
        <a:xfrm>
          <a:off x="22911288" y="49112365"/>
          <a:ext cx="1017459" cy="8915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PORTD Filter Clock Select</a:t>
          </a:r>
          <a:endParaRPr lang="en-US" sz="1100" baseline="0"/>
        </a:p>
        <a:p>
          <a:pPr algn="ctr"/>
          <a:r>
            <a:rPr lang="en-US" sz="900"/>
            <a:t>PORTD_DFCR[CS]</a:t>
          </a:r>
        </a:p>
      </xdr:txBody>
    </xdr:sp>
    <xdr:clientData/>
  </xdr:twoCellAnchor>
  <xdr:twoCellAnchor>
    <xdr:from>
      <xdr:col>33</xdr:col>
      <xdr:colOff>373673</xdr:colOff>
      <xdr:row>246</xdr:row>
      <xdr:rowOff>65938</xdr:rowOff>
    </xdr:from>
    <xdr:to>
      <xdr:col>35</xdr:col>
      <xdr:colOff>174862</xdr:colOff>
      <xdr:row>250</xdr:row>
      <xdr:rowOff>151571</xdr:rowOff>
    </xdr:to>
    <xdr:sp macro="" textlink="">
      <xdr:nvSpPr>
        <xdr:cNvPr id="838" name="Rectangle 837">
          <a:extLst>
            <a:ext uri="{FF2B5EF4-FFF2-40B4-BE49-F238E27FC236}">
              <a16:creationId xmlns:a16="http://schemas.microsoft.com/office/drawing/2014/main" xmlns="" id="{00000000-0008-0000-0400-000046030000}"/>
            </a:ext>
          </a:extLst>
        </xdr:cNvPr>
        <xdr:cNvSpPr/>
      </xdr:nvSpPr>
      <xdr:spPr>
        <a:xfrm>
          <a:off x="20442115" y="50387246"/>
          <a:ext cx="1017459" cy="8915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PORTE Clock</a:t>
          </a:r>
          <a:r>
            <a:rPr lang="en-US" sz="1100" baseline="0"/>
            <a:t> Enable</a:t>
          </a:r>
        </a:p>
        <a:p>
          <a:pPr algn="ctr"/>
          <a:r>
            <a:rPr lang="en-US" sz="900"/>
            <a:t>PCC_PORTE[CGC]</a:t>
          </a:r>
        </a:p>
      </xdr:txBody>
    </xdr:sp>
    <xdr:clientData/>
  </xdr:twoCellAnchor>
  <xdr:oneCellAnchor>
    <xdr:from>
      <xdr:col>33</xdr:col>
      <xdr:colOff>556846</xdr:colOff>
      <xdr:row>251</xdr:row>
      <xdr:rowOff>190498</xdr:rowOff>
    </xdr:from>
    <xdr:ext cx="860534" cy="367862"/>
    <xdr:sp macro="" textlink="">
      <xdr:nvSpPr>
        <xdr:cNvPr id="839" name="TextBox 838">
          <a:extLst>
            <a:ext uri="{FF2B5EF4-FFF2-40B4-BE49-F238E27FC236}">
              <a16:creationId xmlns:a16="http://schemas.microsoft.com/office/drawing/2014/main" xmlns="" id="{00000000-0008-0000-0400-000047030000}"/>
            </a:ext>
          </a:extLst>
        </xdr:cNvPr>
        <xdr:cNvSpPr txBox="1"/>
      </xdr:nvSpPr>
      <xdr:spPr>
        <a:xfrm>
          <a:off x="20625288" y="51508267"/>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315058</xdr:colOff>
      <xdr:row>248</xdr:row>
      <xdr:rowOff>133017</xdr:rowOff>
    </xdr:from>
    <xdr:to>
      <xdr:col>33</xdr:col>
      <xdr:colOff>359020</xdr:colOff>
      <xdr:row>248</xdr:row>
      <xdr:rowOff>133017</xdr:rowOff>
    </xdr:to>
    <xdr:cxnSp macro="">
      <xdr:nvCxnSpPr>
        <xdr:cNvPr id="840" name="Straight Arrow Connector 839">
          <a:extLst>
            <a:ext uri="{FF2B5EF4-FFF2-40B4-BE49-F238E27FC236}">
              <a16:creationId xmlns:a16="http://schemas.microsoft.com/office/drawing/2014/main" xmlns="" id="{00000000-0008-0000-0400-000048030000}"/>
            </a:ext>
          </a:extLst>
        </xdr:cNvPr>
        <xdr:cNvCxnSpPr/>
      </xdr:nvCxnSpPr>
      <xdr:spPr>
        <a:xfrm>
          <a:off x="6396404" y="50849979"/>
          <a:ext cx="14031058"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190500</xdr:colOff>
      <xdr:row>248</xdr:row>
      <xdr:rowOff>196329</xdr:rowOff>
    </xdr:from>
    <xdr:to>
      <xdr:col>41</xdr:col>
      <xdr:colOff>373672</xdr:colOff>
      <xdr:row>248</xdr:row>
      <xdr:rowOff>209609</xdr:rowOff>
    </xdr:to>
    <xdr:cxnSp macro="">
      <xdr:nvCxnSpPr>
        <xdr:cNvPr id="841" name="Straight Arrow Connector 840">
          <a:extLst>
            <a:ext uri="{FF2B5EF4-FFF2-40B4-BE49-F238E27FC236}">
              <a16:creationId xmlns:a16="http://schemas.microsoft.com/office/drawing/2014/main" xmlns="" id="{00000000-0008-0000-0400-000049030000}"/>
            </a:ext>
          </a:extLst>
        </xdr:cNvPr>
        <xdr:cNvCxnSpPr/>
      </xdr:nvCxnSpPr>
      <xdr:spPr>
        <a:xfrm flipV="1">
          <a:off x="21475212" y="50913291"/>
          <a:ext cx="3831979" cy="1328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366346</xdr:colOff>
      <xdr:row>248</xdr:row>
      <xdr:rowOff>29304</xdr:rowOff>
    </xdr:from>
    <xdr:to>
      <xdr:col>43</xdr:col>
      <xdr:colOff>189443</xdr:colOff>
      <xdr:row>253</xdr:row>
      <xdr:rowOff>64206</xdr:rowOff>
    </xdr:to>
    <xdr:grpSp>
      <xdr:nvGrpSpPr>
        <xdr:cNvPr id="842" name="Group 841">
          <a:extLst>
            <a:ext uri="{FF2B5EF4-FFF2-40B4-BE49-F238E27FC236}">
              <a16:creationId xmlns:a16="http://schemas.microsoft.com/office/drawing/2014/main" xmlns="" id="{00000000-0008-0000-0400-00004A030000}"/>
            </a:ext>
          </a:extLst>
        </xdr:cNvPr>
        <xdr:cNvGrpSpPr/>
      </xdr:nvGrpSpPr>
      <xdr:grpSpPr>
        <a:xfrm>
          <a:off x="26462605" y="47551210"/>
          <a:ext cx="1096085" cy="1003090"/>
          <a:chOff x="25299865" y="9378462"/>
          <a:chExt cx="1039366" cy="899479"/>
        </a:xfrm>
      </xdr:grpSpPr>
      <xdr:grpSp>
        <xdr:nvGrpSpPr>
          <xdr:cNvPr id="843" name="Group 842">
            <a:extLst>
              <a:ext uri="{FF2B5EF4-FFF2-40B4-BE49-F238E27FC236}">
                <a16:creationId xmlns:a16="http://schemas.microsoft.com/office/drawing/2014/main" xmlns="" id="{00000000-0008-0000-0400-00004B030000}"/>
              </a:ext>
            </a:extLst>
          </xdr:cNvPr>
          <xdr:cNvGrpSpPr/>
        </xdr:nvGrpSpPr>
        <xdr:grpSpPr>
          <a:xfrm>
            <a:off x="25299865" y="9378462"/>
            <a:ext cx="1039366" cy="899479"/>
            <a:chOff x="588526" y="190500"/>
            <a:chExt cx="1036410" cy="734695"/>
          </a:xfrm>
        </xdr:grpSpPr>
        <xdr:sp macro="" textlink="">
          <xdr:nvSpPr>
            <xdr:cNvPr id="845" name="Rectangle 844">
              <a:extLst>
                <a:ext uri="{FF2B5EF4-FFF2-40B4-BE49-F238E27FC236}">
                  <a16:creationId xmlns:a16="http://schemas.microsoft.com/office/drawing/2014/main" xmlns="" id="{00000000-0008-0000-0400-00004D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PORTE</a:t>
              </a:r>
            </a:p>
          </xdr:txBody>
        </xdr:sp>
        <xdr:sp macro="" textlink="">
          <xdr:nvSpPr>
            <xdr:cNvPr id="846" name="TextBox 845">
              <a:extLst>
                <a:ext uri="{FF2B5EF4-FFF2-40B4-BE49-F238E27FC236}">
                  <a16:creationId xmlns:a16="http://schemas.microsoft.com/office/drawing/2014/main" xmlns="" id="{00000000-0008-0000-0400-00004E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44" name="TextBox 843">
            <a:extLst>
              <a:ext uri="{FF2B5EF4-FFF2-40B4-BE49-F238E27FC236}">
                <a16:creationId xmlns:a16="http://schemas.microsoft.com/office/drawing/2014/main" xmlns="" id="{00000000-0008-0000-0400-00004C030000}"/>
              </a:ext>
            </a:extLst>
          </xdr:cNvPr>
          <xdr:cNvSpPr txBox="1"/>
        </xdr:nvSpPr>
        <xdr:spPr>
          <a:xfrm>
            <a:off x="25307192" y="10030558"/>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Filter Clock</a:t>
            </a:r>
          </a:p>
        </xdr:txBody>
      </xdr:sp>
    </xdr:grpSp>
    <xdr:clientData/>
  </xdr:twoCellAnchor>
  <xdr:oneCellAnchor>
    <xdr:from>
      <xdr:col>37</xdr:col>
      <xdr:colOff>564167</xdr:colOff>
      <xdr:row>255</xdr:row>
      <xdr:rowOff>190494</xdr:rowOff>
    </xdr:from>
    <xdr:ext cx="1025770" cy="367862"/>
    <xdr:sp macro="" textlink="">
      <xdr:nvSpPr>
        <xdr:cNvPr id="847" name="TextBox 846">
          <a:extLst>
            <a:ext uri="{FF2B5EF4-FFF2-40B4-BE49-F238E27FC236}">
              <a16:creationId xmlns:a16="http://schemas.microsoft.com/office/drawing/2014/main" xmlns="" id="{00000000-0008-0000-0400-00004F030000}"/>
            </a:ext>
          </a:extLst>
        </xdr:cNvPr>
        <xdr:cNvSpPr txBox="1"/>
      </xdr:nvSpPr>
      <xdr:spPr>
        <a:xfrm>
          <a:off x="23065148" y="52365513"/>
          <a:ext cx="1025770"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BUS_CLK</a:t>
          </a:r>
        </a:p>
        <a:p>
          <a:r>
            <a:rPr lang="en-US" sz="800"/>
            <a:t>1 - LPO128K_CLK</a:t>
          </a:r>
        </a:p>
      </xdr:txBody>
    </xdr:sp>
    <xdr:clientData/>
  </xdr:oneCellAnchor>
  <xdr:twoCellAnchor>
    <xdr:from>
      <xdr:col>39</xdr:col>
      <xdr:colOff>212481</xdr:colOff>
      <xdr:row>252</xdr:row>
      <xdr:rowOff>140088</xdr:rowOff>
    </xdr:from>
    <xdr:to>
      <xdr:col>41</xdr:col>
      <xdr:colOff>373673</xdr:colOff>
      <xdr:row>252</xdr:row>
      <xdr:rowOff>140088</xdr:rowOff>
    </xdr:to>
    <xdr:cxnSp macro="">
      <xdr:nvCxnSpPr>
        <xdr:cNvPr id="848" name="Straight Arrow Connector 847">
          <a:extLst>
            <a:ext uri="{FF2B5EF4-FFF2-40B4-BE49-F238E27FC236}">
              <a16:creationId xmlns:a16="http://schemas.microsoft.com/office/drawing/2014/main" xmlns="" id="{00000000-0008-0000-0400-000050030000}"/>
            </a:ext>
          </a:extLst>
        </xdr:cNvPr>
        <xdr:cNvCxnSpPr>
          <a:endCxn id="844" idx="1"/>
        </xdr:cNvCxnSpPr>
      </xdr:nvCxnSpPr>
      <xdr:spPr>
        <a:xfrm>
          <a:off x="23929731" y="51655684"/>
          <a:ext cx="1377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95250</xdr:colOff>
      <xdr:row>252</xdr:row>
      <xdr:rowOff>72679</xdr:rowOff>
    </xdr:from>
    <xdr:to>
      <xdr:col>37</xdr:col>
      <xdr:colOff>379534</xdr:colOff>
      <xdr:row>252</xdr:row>
      <xdr:rowOff>72679</xdr:rowOff>
    </xdr:to>
    <xdr:cxnSp macro="">
      <xdr:nvCxnSpPr>
        <xdr:cNvPr id="849" name="Straight Arrow Connector 848">
          <a:extLst>
            <a:ext uri="{FF2B5EF4-FFF2-40B4-BE49-F238E27FC236}">
              <a16:creationId xmlns:a16="http://schemas.microsoft.com/office/drawing/2014/main" xmlns="" id="{00000000-0008-0000-0400-000051030000}"/>
            </a:ext>
          </a:extLst>
        </xdr:cNvPr>
        <xdr:cNvCxnSpPr/>
      </xdr:nvCxnSpPr>
      <xdr:spPr>
        <a:xfrm>
          <a:off x="21988096" y="51588275"/>
          <a:ext cx="89241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95250</xdr:colOff>
      <xdr:row>248</xdr:row>
      <xdr:rowOff>205151</xdr:rowOff>
    </xdr:from>
    <xdr:to>
      <xdr:col>36</xdr:col>
      <xdr:colOff>95250</xdr:colOff>
      <xdr:row>252</xdr:row>
      <xdr:rowOff>73266</xdr:rowOff>
    </xdr:to>
    <xdr:cxnSp macro="">
      <xdr:nvCxnSpPr>
        <xdr:cNvPr id="850" name="Straight Arrow Connector 849">
          <a:extLst>
            <a:ext uri="{FF2B5EF4-FFF2-40B4-BE49-F238E27FC236}">
              <a16:creationId xmlns:a16="http://schemas.microsoft.com/office/drawing/2014/main" xmlns="" id="{00000000-0008-0000-0400-000052030000}"/>
            </a:ext>
          </a:extLst>
        </xdr:cNvPr>
        <xdr:cNvCxnSpPr/>
      </xdr:nvCxnSpPr>
      <xdr:spPr>
        <a:xfrm flipV="1">
          <a:off x="21988096" y="50922113"/>
          <a:ext cx="0" cy="66674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7327</xdr:colOff>
      <xdr:row>253</xdr:row>
      <xdr:rowOff>161186</xdr:rowOff>
    </xdr:from>
    <xdr:to>
      <xdr:col>37</xdr:col>
      <xdr:colOff>367940</xdr:colOff>
      <xdr:row>253</xdr:row>
      <xdr:rowOff>161186</xdr:rowOff>
    </xdr:to>
    <xdr:cxnSp macro="">
      <xdr:nvCxnSpPr>
        <xdr:cNvPr id="851" name="Straight Arrow Connector 850">
          <a:extLst>
            <a:ext uri="{FF2B5EF4-FFF2-40B4-BE49-F238E27FC236}">
              <a16:creationId xmlns:a16="http://schemas.microsoft.com/office/drawing/2014/main" xmlns="" id="{00000000-0008-0000-0400-000053030000}"/>
            </a:ext>
          </a:extLst>
        </xdr:cNvPr>
        <xdr:cNvCxnSpPr/>
      </xdr:nvCxnSpPr>
      <xdr:spPr>
        <a:xfrm>
          <a:off x="19467635" y="51889263"/>
          <a:ext cx="3401286" cy="0"/>
        </a:xfrm>
        <a:prstGeom prst="straightConnector1">
          <a:avLst/>
        </a:prstGeom>
        <a:ln w="38100">
          <a:solidFill>
            <a:schemeClr val="accent3">
              <a:lumMod val="60000"/>
              <a:lumOff val="4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329710</xdr:colOff>
      <xdr:row>252</xdr:row>
      <xdr:rowOff>197819</xdr:rowOff>
    </xdr:from>
    <xdr:ext cx="952501" cy="257176"/>
    <xdr:sp macro="" textlink="">
      <xdr:nvSpPr>
        <xdr:cNvPr id="852" name="TextBox 851">
          <a:hlinkClick xmlns:r="http://schemas.openxmlformats.org/officeDocument/2006/relationships" r:id="rId11"/>
          <a:extLst>
            <a:ext uri="{FF2B5EF4-FFF2-40B4-BE49-F238E27FC236}">
              <a16:creationId xmlns:a16="http://schemas.microsoft.com/office/drawing/2014/main" xmlns="" id="{00000000-0008-0000-0400-000054030000}"/>
            </a:ext>
          </a:extLst>
        </xdr:cNvPr>
        <xdr:cNvSpPr txBox="1"/>
      </xdr:nvSpPr>
      <xdr:spPr>
        <a:xfrm>
          <a:off x="17965614" y="51713415"/>
          <a:ext cx="95250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LPO128K_CLK</a:t>
          </a:r>
        </a:p>
      </xdr:txBody>
    </xdr:sp>
    <xdr:clientData/>
  </xdr:oneCellAnchor>
  <xdr:twoCellAnchor>
    <xdr:from>
      <xdr:col>37</xdr:col>
      <xdr:colOff>410306</xdr:colOff>
      <xdr:row>250</xdr:row>
      <xdr:rowOff>51289</xdr:rowOff>
    </xdr:from>
    <xdr:to>
      <xdr:col>39</xdr:col>
      <xdr:colOff>211496</xdr:colOff>
      <xdr:row>254</xdr:row>
      <xdr:rowOff>166225</xdr:rowOff>
    </xdr:to>
    <xdr:sp macro="" textlink="">
      <xdr:nvSpPr>
        <xdr:cNvPr id="853" name="Rectangle 852">
          <a:extLst>
            <a:ext uri="{FF2B5EF4-FFF2-40B4-BE49-F238E27FC236}">
              <a16:creationId xmlns:a16="http://schemas.microsoft.com/office/drawing/2014/main" xmlns="" id="{00000000-0008-0000-0400-000055030000}"/>
            </a:ext>
          </a:extLst>
        </xdr:cNvPr>
        <xdr:cNvSpPr/>
      </xdr:nvSpPr>
      <xdr:spPr>
        <a:xfrm>
          <a:off x="22911287" y="51178558"/>
          <a:ext cx="1017459" cy="9502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PORTE Filter Clock Select</a:t>
          </a:r>
          <a:endParaRPr lang="en-US" sz="1100" baseline="0"/>
        </a:p>
        <a:p>
          <a:pPr algn="ctr"/>
          <a:r>
            <a:rPr lang="en-US" sz="900"/>
            <a:t>PORTE_DFCR[CS]</a:t>
          </a:r>
        </a:p>
      </xdr:txBody>
    </xdr:sp>
    <xdr:clientData/>
  </xdr:twoCellAnchor>
  <xdr:twoCellAnchor>
    <xdr:from>
      <xdr:col>41</xdr:col>
      <xdr:colOff>368577</xdr:colOff>
      <xdr:row>261</xdr:row>
      <xdr:rowOff>71359</xdr:rowOff>
    </xdr:from>
    <xdr:to>
      <xdr:col>43</xdr:col>
      <xdr:colOff>191674</xdr:colOff>
      <xdr:row>266</xdr:row>
      <xdr:rowOff>11013</xdr:rowOff>
    </xdr:to>
    <xdr:grpSp>
      <xdr:nvGrpSpPr>
        <xdr:cNvPr id="854" name="Group 853">
          <a:extLst>
            <a:ext uri="{FF2B5EF4-FFF2-40B4-BE49-F238E27FC236}">
              <a16:creationId xmlns:a16="http://schemas.microsoft.com/office/drawing/2014/main" xmlns="" id="{00000000-0008-0000-0400-000056030000}"/>
            </a:ext>
          </a:extLst>
        </xdr:cNvPr>
        <xdr:cNvGrpSpPr/>
      </xdr:nvGrpSpPr>
      <xdr:grpSpPr>
        <a:xfrm>
          <a:off x="26464836" y="50103383"/>
          <a:ext cx="1096085" cy="916806"/>
          <a:chOff x="25299865" y="11444654"/>
          <a:chExt cx="1039366" cy="899479"/>
        </a:xfrm>
      </xdr:grpSpPr>
      <xdr:grpSp>
        <xdr:nvGrpSpPr>
          <xdr:cNvPr id="855" name="Group 854">
            <a:extLst>
              <a:ext uri="{FF2B5EF4-FFF2-40B4-BE49-F238E27FC236}">
                <a16:creationId xmlns:a16="http://schemas.microsoft.com/office/drawing/2014/main" xmlns="" id="{00000000-0008-0000-0400-000057030000}"/>
              </a:ext>
            </a:extLst>
          </xdr:cNvPr>
          <xdr:cNvGrpSpPr/>
        </xdr:nvGrpSpPr>
        <xdr:grpSpPr>
          <a:xfrm>
            <a:off x="25299865" y="11444654"/>
            <a:ext cx="1039366" cy="899479"/>
            <a:chOff x="25299865" y="9378462"/>
            <a:chExt cx="1039366" cy="899479"/>
          </a:xfrm>
        </xdr:grpSpPr>
        <xdr:grpSp>
          <xdr:nvGrpSpPr>
            <xdr:cNvPr id="857" name="Group 856">
              <a:extLst>
                <a:ext uri="{FF2B5EF4-FFF2-40B4-BE49-F238E27FC236}">
                  <a16:creationId xmlns:a16="http://schemas.microsoft.com/office/drawing/2014/main" xmlns="" id="{00000000-0008-0000-0400-000059030000}"/>
                </a:ext>
              </a:extLst>
            </xdr:cNvPr>
            <xdr:cNvGrpSpPr/>
          </xdr:nvGrpSpPr>
          <xdr:grpSpPr>
            <a:xfrm>
              <a:off x="25299865" y="9378462"/>
              <a:ext cx="1039366" cy="899479"/>
              <a:chOff x="588526" y="190500"/>
              <a:chExt cx="1036410" cy="734695"/>
            </a:xfrm>
          </xdr:grpSpPr>
          <xdr:sp macro="" textlink="">
            <xdr:nvSpPr>
              <xdr:cNvPr id="859" name="Rectangle 858">
                <a:hlinkClick xmlns:r="http://schemas.openxmlformats.org/officeDocument/2006/relationships" r:id="rId22"/>
                <a:extLst>
                  <a:ext uri="{FF2B5EF4-FFF2-40B4-BE49-F238E27FC236}">
                    <a16:creationId xmlns:a16="http://schemas.microsoft.com/office/drawing/2014/main" xmlns="" id="{00000000-0008-0000-0400-00005B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FlexCAN1</a:t>
                </a:r>
              </a:p>
              <a:p>
                <a:pPr algn="ctr"/>
                <a:r>
                  <a:rPr lang="en-US" sz="900"/>
                  <a:t>Click</a:t>
                </a:r>
                <a:r>
                  <a:rPr lang="en-US" sz="900" baseline="0"/>
                  <a:t> me for more info</a:t>
                </a:r>
                <a:endParaRPr lang="en-US" sz="900"/>
              </a:p>
            </xdr:txBody>
          </xdr:sp>
          <xdr:sp macro="" textlink="">
            <xdr:nvSpPr>
              <xdr:cNvPr id="860" name="TextBox 859">
                <a:extLst>
                  <a:ext uri="{FF2B5EF4-FFF2-40B4-BE49-F238E27FC236}">
                    <a16:creationId xmlns:a16="http://schemas.microsoft.com/office/drawing/2014/main" xmlns="" id="{00000000-0008-0000-0400-00005C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58" name="TextBox 857">
              <a:extLst>
                <a:ext uri="{FF2B5EF4-FFF2-40B4-BE49-F238E27FC236}">
                  <a16:creationId xmlns:a16="http://schemas.microsoft.com/office/drawing/2014/main" xmlns="" id="{00000000-0008-0000-0400-00005A030000}"/>
                </a:ext>
              </a:extLst>
            </xdr:cNvPr>
            <xdr:cNvSpPr txBox="1"/>
          </xdr:nvSpPr>
          <xdr:spPr>
            <a:xfrm>
              <a:off x="25307192" y="10052539"/>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Protocol Clock</a:t>
              </a:r>
            </a:p>
          </xdr:txBody>
        </xdr:sp>
      </xdr:grpSp>
      <xdr:sp macro="" textlink="">
        <xdr:nvSpPr>
          <xdr:cNvPr id="856" name="TextBox 855">
            <a:extLst>
              <a:ext uri="{FF2B5EF4-FFF2-40B4-BE49-F238E27FC236}">
                <a16:creationId xmlns:a16="http://schemas.microsoft.com/office/drawing/2014/main" xmlns="" id="{00000000-0008-0000-0400-000058030000}"/>
              </a:ext>
            </a:extLst>
          </xdr:cNvPr>
          <xdr:cNvSpPr txBox="1"/>
        </xdr:nvSpPr>
        <xdr:spPr>
          <a:xfrm>
            <a:off x="25299865" y="11994173"/>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CHI Clock</a:t>
            </a:r>
          </a:p>
        </xdr:txBody>
      </xdr:sp>
    </xdr:grpSp>
    <xdr:clientData/>
  </xdr:twoCellAnchor>
  <xdr:twoCellAnchor>
    <xdr:from>
      <xdr:col>12</xdr:col>
      <xdr:colOff>300404</xdr:colOff>
      <xdr:row>262</xdr:row>
      <xdr:rowOff>6232</xdr:rowOff>
    </xdr:from>
    <xdr:to>
      <xdr:col>33</xdr:col>
      <xdr:colOff>399797</xdr:colOff>
      <xdr:row>262</xdr:row>
      <xdr:rowOff>6232</xdr:rowOff>
    </xdr:to>
    <xdr:cxnSp macro="">
      <xdr:nvCxnSpPr>
        <xdr:cNvPr id="861" name="Straight Arrow Connector 860">
          <a:extLst>
            <a:ext uri="{FF2B5EF4-FFF2-40B4-BE49-F238E27FC236}">
              <a16:creationId xmlns:a16="http://schemas.microsoft.com/office/drawing/2014/main" xmlns="" id="{00000000-0008-0000-0400-00005D030000}"/>
            </a:ext>
          </a:extLst>
        </xdr:cNvPr>
        <xdr:cNvCxnSpPr/>
      </xdr:nvCxnSpPr>
      <xdr:spPr>
        <a:xfrm>
          <a:off x="7598019" y="53588020"/>
          <a:ext cx="12870220"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408079</xdr:colOff>
      <xdr:row>259</xdr:row>
      <xdr:rowOff>197828</xdr:rowOff>
    </xdr:from>
    <xdr:to>
      <xdr:col>35</xdr:col>
      <xdr:colOff>209268</xdr:colOff>
      <xdr:row>263</xdr:row>
      <xdr:rowOff>178016</xdr:rowOff>
    </xdr:to>
    <xdr:sp macro="" textlink="">
      <xdr:nvSpPr>
        <xdr:cNvPr id="862" name="Rectangle 861">
          <a:extLst>
            <a:ext uri="{FF2B5EF4-FFF2-40B4-BE49-F238E27FC236}">
              <a16:creationId xmlns:a16="http://schemas.microsoft.com/office/drawing/2014/main" xmlns="" id="{00000000-0008-0000-0400-00005E030000}"/>
            </a:ext>
          </a:extLst>
        </xdr:cNvPr>
        <xdr:cNvSpPr/>
      </xdr:nvSpPr>
      <xdr:spPr>
        <a:xfrm>
          <a:off x="20476521" y="53171482"/>
          <a:ext cx="1017459" cy="8008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FlexCAN1 Clock</a:t>
          </a:r>
          <a:r>
            <a:rPr lang="en-US" sz="1100" baseline="0"/>
            <a:t> Enable</a:t>
          </a:r>
        </a:p>
        <a:p>
          <a:pPr algn="ctr"/>
          <a:r>
            <a:rPr lang="en-US" sz="900"/>
            <a:t>PCC_FlexCAN1[CGC]</a:t>
          </a:r>
        </a:p>
      </xdr:txBody>
    </xdr:sp>
    <xdr:clientData/>
  </xdr:twoCellAnchor>
  <xdr:twoCellAnchor>
    <xdr:from>
      <xdr:col>35</xdr:col>
      <xdr:colOff>217578</xdr:colOff>
      <xdr:row>262</xdr:row>
      <xdr:rowOff>2792</xdr:rowOff>
    </xdr:from>
    <xdr:to>
      <xdr:col>41</xdr:col>
      <xdr:colOff>368577</xdr:colOff>
      <xdr:row>262</xdr:row>
      <xdr:rowOff>9916</xdr:rowOff>
    </xdr:to>
    <xdr:cxnSp macro="">
      <xdr:nvCxnSpPr>
        <xdr:cNvPr id="863" name="Straight Arrow Connector 862">
          <a:extLst>
            <a:ext uri="{FF2B5EF4-FFF2-40B4-BE49-F238E27FC236}">
              <a16:creationId xmlns:a16="http://schemas.microsoft.com/office/drawing/2014/main" xmlns="" id="{00000000-0008-0000-0400-00005F030000}"/>
            </a:ext>
          </a:extLst>
        </xdr:cNvPr>
        <xdr:cNvCxnSpPr>
          <a:endCxn id="860" idx="1"/>
        </xdr:cNvCxnSpPr>
      </xdr:nvCxnSpPr>
      <xdr:spPr>
        <a:xfrm>
          <a:off x="21502290" y="53613888"/>
          <a:ext cx="3799806" cy="712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565449</xdr:colOff>
      <xdr:row>264</xdr:row>
      <xdr:rowOff>203245</xdr:rowOff>
    </xdr:from>
    <xdr:ext cx="860534" cy="367862"/>
    <xdr:sp macro="" textlink="">
      <xdr:nvSpPr>
        <xdr:cNvPr id="864" name="TextBox 863">
          <a:extLst>
            <a:ext uri="{FF2B5EF4-FFF2-40B4-BE49-F238E27FC236}">
              <a16:creationId xmlns:a16="http://schemas.microsoft.com/office/drawing/2014/main" xmlns="" id="{00000000-0008-0000-0400-000060030000}"/>
            </a:ext>
          </a:extLst>
        </xdr:cNvPr>
        <xdr:cNvSpPr txBox="1"/>
      </xdr:nvSpPr>
      <xdr:spPr>
        <a:xfrm>
          <a:off x="20633891" y="5420999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37</xdr:col>
      <xdr:colOff>358383</xdr:colOff>
      <xdr:row>264</xdr:row>
      <xdr:rowOff>146223</xdr:rowOff>
    </xdr:from>
    <xdr:to>
      <xdr:col>41</xdr:col>
      <xdr:colOff>366666</xdr:colOff>
      <xdr:row>264</xdr:row>
      <xdr:rowOff>146223</xdr:rowOff>
    </xdr:to>
    <xdr:cxnSp macro="">
      <xdr:nvCxnSpPr>
        <xdr:cNvPr id="865" name="Straight Arrow Connector 864">
          <a:extLst>
            <a:ext uri="{FF2B5EF4-FFF2-40B4-BE49-F238E27FC236}">
              <a16:creationId xmlns:a16="http://schemas.microsoft.com/office/drawing/2014/main" xmlns="" id="{00000000-0008-0000-0400-000061030000}"/>
            </a:ext>
          </a:extLst>
        </xdr:cNvPr>
        <xdr:cNvCxnSpPr/>
      </xdr:nvCxnSpPr>
      <xdr:spPr>
        <a:xfrm>
          <a:off x="22859364" y="54138319"/>
          <a:ext cx="2440821"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358382</xdr:colOff>
      <xdr:row>264</xdr:row>
      <xdr:rowOff>137939</xdr:rowOff>
    </xdr:from>
    <xdr:to>
      <xdr:col>37</xdr:col>
      <xdr:colOff>358382</xdr:colOff>
      <xdr:row>267</xdr:row>
      <xdr:rowOff>170751</xdr:rowOff>
    </xdr:to>
    <xdr:cxnSp macro="">
      <xdr:nvCxnSpPr>
        <xdr:cNvPr id="866" name="Straight Arrow Connector 865">
          <a:extLst>
            <a:ext uri="{FF2B5EF4-FFF2-40B4-BE49-F238E27FC236}">
              <a16:creationId xmlns:a16="http://schemas.microsoft.com/office/drawing/2014/main" xmlns="" id="{00000000-0008-0000-0400-000062030000}"/>
            </a:ext>
          </a:extLst>
        </xdr:cNvPr>
        <xdr:cNvCxnSpPr/>
      </xdr:nvCxnSpPr>
      <xdr:spPr>
        <a:xfrm flipV="1">
          <a:off x="22859363" y="54130035"/>
          <a:ext cx="0" cy="604312"/>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217579</xdr:colOff>
      <xdr:row>262</xdr:row>
      <xdr:rowOff>6376</xdr:rowOff>
    </xdr:from>
    <xdr:to>
      <xdr:col>32</xdr:col>
      <xdr:colOff>217579</xdr:colOff>
      <xdr:row>271</xdr:row>
      <xdr:rowOff>195599</xdr:rowOff>
    </xdr:to>
    <xdr:cxnSp macro="">
      <xdr:nvCxnSpPr>
        <xdr:cNvPr id="867" name="Straight Arrow Connector 866">
          <a:extLst>
            <a:ext uri="{FF2B5EF4-FFF2-40B4-BE49-F238E27FC236}">
              <a16:creationId xmlns:a16="http://schemas.microsoft.com/office/drawing/2014/main" xmlns="" id="{00000000-0008-0000-0400-000063030000}"/>
            </a:ext>
          </a:extLst>
        </xdr:cNvPr>
        <xdr:cNvCxnSpPr/>
      </xdr:nvCxnSpPr>
      <xdr:spPr>
        <a:xfrm flipV="1">
          <a:off x="19677887" y="53588164"/>
          <a:ext cx="0" cy="1940358"/>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209297</xdr:colOff>
      <xdr:row>267</xdr:row>
      <xdr:rowOff>162469</xdr:rowOff>
    </xdr:from>
    <xdr:to>
      <xdr:col>37</xdr:col>
      <xdr:colOff>358382</xdr:colOff>
      <xdr:row>267</xdr:row>
      <xdr:rowOff>162469</xdr:rowOff>
    </xdr:to>
    <xdr:cxnSp macro="">
      <xdr:nvCxnSpPr>
        <xdr:cNvPr id="868" name="Straight Arrow Connector 867">
          <a:extLst>
            <a:ext uri="{FF2B5EF4-FFF2-40B4-BE49-F238E27FC236}">
              <a16:creationId xmlns:a16="http://schemas.microsoft.com/office/drawing/2014/main" xmlns="" id="{00000000-0008-0000-0400-000064030000}"/>
            </a:ext>
          </a:extLst>
        </xdr:cNvPr>
        <xdr:cNvCxnSpPr/>
      </xdr:nvCxnSpPr>
      <xdr:spPr>
        <a:xfrm>
          <a:off x="19669605" y="54726065"/>
          <a:ext cx="3189758" cy="0"/>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225863</xdr:colOff>
      <xdr:row>271</xdr:row>
      <xdr:rowOff>179036</xdr:rowOff>
    </xdr:from>
    <xdr:to>
      <xdr:col>36</xdr:col>
      <xdr:colOff>358383</xdr:colOff>
      <xdr:row>271</xdr:row>
      <xdr:rowOff>179036</xdr:rowOff>
    </xdr:to>
    <xdr:cxnSp macro="">
      <xdr:nvCxnSpPr>
        <xdr:cNvPr id="869" name="Straight Arrow Connector 868">
          <a:extLst>
            <a:ext uri="{FF2B5EF4-FFF2-40B4-BE49-F238E27FC236}">
              <a16:creationId xmlns:a16="http://schemas.microsoft.com/office/drawing/2014/main" xmlns="" id="{00000000-0008-0000-0400-000065030000}"/>
            </a:ext>
          </a:extLst>
        </xdr:cNvPr>
        <xdr:cNvCxnSpPr/>
      </xdr:nvCxnSpPr>
      <xdr:spPr>
        <a:xfrm>
          <a:off x="19686171" y="55511959"/>
          <a:ext cx="2565058"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383231</xdr:colOff>
      <xdr:row>271</xdr:row>
      <xdr:rowOff>4461</xdr:rowOff>
    </xdr:from>
    <xdr:to>
      <xdr:col>38</xdr:col>
      <xdr:colOff>184421</xdr:colOff>
      <xdr:row>274</xdr:row>
      <xdr:rowOff>173557</xdr:rowOff>
    </xdr:to>
    <xdr:sp macro="" textlink="">
      <xdr:nvSpPr>
        <xdr:cNvPr id="870" name="Rectangle 869">
          <a:extLst>
            <a:ext uri="{FF2B5EF4-FFF2-40B4-BE49-F238E27FC236}">
              <a16:creationId xmlns:a16="http://schemas.microsoft.com/office/drawing/2014/main" xmlns="" id="{00000000-0008-0000-0400-000066030000}"/>
            </a:ext>
          </a:extLst>
        </xdr:cNvPr>
        <xdr:cNvSpPr/>
      </xdr:nvSpPr>
      <xdr:spPr>
        <a:xfrm>
          <a:off x="22276077" y="55410653"/>
          <a:ext cx="1017459" cy="8065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PE Clock Select</a:t>
          </a:r>
          <a:endParaRPr lang="en-US" sz="1100" baseline="0"/>
        </a:p>
        <a:p>
          <a:pPr algn="ctr"/>
          <a:r>
            <a:rPr lang="en-US" sz="900"/>
            <a:t>CAN1_CTRL1[CLKSRC]</a:t>
          </a:r>
        </a:p>
      </xdr:txBody>
    </xdr:sp>
    <xdr:clientData/>
  </xdr:twoCellAnchor>
  <xdr:oneCellAnchor>
    <xdr:from>
      <xdr:col>36</xdr:col>
      <xdr:colOff>557165</xdr:colOff>
      <xdr:row>276</xdr:row>
      <xdr:rowOff>5418</xdr:rowOff>
    </xdr:from>
    <xdr:ext cx="1126435" cy="367862"/>
    <xdr:sp macro="" textlink="">
      <xdr:nvSpPr>
        <xdr:cNvPr id="871" name="TextBox 870">
          <a:extLst>
            <a:ext uri="{FF2B5EF4-FFF2-40B4-BE49-F238E27FC236}">
              <a16:creationId xmlns:a16="http://schemas.microsoft.com/office/drawing/2014/main" xmlns="" id="{00000000-0008-0000-0400-000067030000}"/>
            </a:ext>
          </a:extLst>
        </xdr:cNvPr>
        <xdr:cNvSpPr txBox="1"/>
      </xdr:nvSpPr>
      <xdr:spPr>
        <a:xfrm>
          <a:off x="22450011" y="56437380"/>
          <a:ext cx="1126435"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SOSCDIV2_CLK</a:t>
          </a:r>
        </a:p>
        <a:p>
          <a:r>
            <a:rPr lang="en-US" sz="800"/>
            <a:t>1 - SYS_CLK</a:t>
          </a:r>
        </a:p>
      </xdr:txBody>
    </xdr:sp>
    <xdr:clientData/>
  </xdr:oneCellAnchor>
  <xdr:twoCellAnchor>
    <xdr:from>
      <xdr:col>28</xdr:col>
      <xdr:colOff>300405</xdr:colOff>
      <xdr:row>274</xdr:row>
      <xdr:rowOff>12745</xdr:rowOff>
    </xdr:from>
    <xdr:to>
      <xdr:col>36</xdr:col>
      <xdr:colOff>358383</xdr:colOff>
      <xdr:row>274</xdr:row>
      <xdr:rowOff>12745</xdr:rowOff>
    </xdr:to>
    <xdr:cxnSp macro="">
      <xdr:nvCxnSpPr>
        <xdr:cNvPr id="872" name="Straight Arrow Connector 871">
          <a:extLst>
            <a:ext uri="{FF2B5EF4-FFF2-40B4-BE49-F238E27FC236}">
              <a16:creationId xmlns:a16="http://schemas.microsoft.com/office/drawing/2014/main" xmlns="" id="{00000000-0008-0000-0400-000068030000}"/>
            </a:ext>
          </a:extLst>
        </xdr:cNvPr>
        <xdr:cNvCxnSpPr/>
      </xdr:nvCxnSpPr>
      <xdr:spPr>
        <a:xfrm>
          <a:off x="17328174" y="55983110"/>
          <a:ext cx="4923055"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18797</xdr:colOff>
      <xdr:row>265</xdr:row>
      <xdr:rowOff>101943</xdr:rowOff>
    </xdr:from>
    <xdr:to>
      <xdr:col>40</xdr:col>
      <xdr:colOff>18797</xdr:colOff>
      <xdr:row>273</xdr:row>
      <xdr:rowOff>36634</xdr:rowOff>
    </xdr:to>
    <xdr:cxnSp macro="">
      <xdr:nvCxnSpPr>
        <xdr:cNvPr id="873" name="Straight Arrow Connector 872">
          <a:extLst>
            <a:ext uri="{FF2B5EF4-FFF2-40B4-BE49-F238E27FC236}">
              <a16:creationId xmlns:a16="http://schemas.microsoft.com/office/drawing/2014/main" xmlns="" id="{00000000-0008-0000-0400-000069030000}"/>
            </a:ext>
          </a:extLst>
        </xdr:cNvPr>
        <xdr:cNvCxnSpPr/>
      </xdr:nvCxnSpPr>
      <xdr:spPr>
        <a:xfrm flipV="1">
          <a:off x="24344182" y="54350481"/>
          <a:ext cx="0" cy="151730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18797</xdr:colOff>
      <xdr:row>265</xdr:row>
      <xdr:rowOff>110226</xdr:rowOff>
    </xdr:from>
    <xdr:to>
      <xdr:col>41</xdr:col>
      <xdr:colOff>383231</xdr:colOff>
      <xdr:row>265</xdr:row>
      <xdr:rowOff>110226</xdr:rowOff>
    </xdr:to>
    <xdr:cxnSp macro="">
      <xdr:nvCxnSpPr>
        <xdr:cNvPr id="874" name="Straight Arrow Connector 873">
          <a:extLst>
            <a:ext uri="{FF2B5EF4-FFF2-40B4-BE49-F238E27FC236}">
              <a16:creationId xmlns:a16="http://schemas.microsoft.com/office/drawing/2014/main" xmlns="" id="{00000000-0008-0000-0400-00006A030000}"/>
            </a:ext>
          </a:extLst>
        </xdr:cNvPr>
        <xdr:cNvCxnSpPr/>
      </xdr:nvCxnSpPr>
      <xdr:spPr>
        <a:xfrm>
          <a:off x="24344182" y="54292822"/>
          <a:ext cx="97256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184448</xdr:colOff>
      <xdr:row>273</xdr:row>
      <xdr:rowOff>21026</xdr:rowOff>
    </xdr:from>
    <xdr:to>
      <xdr:col>40</xdr:col>
      <xdr:colOff>27079</xdr:colOff>
      <xdr:row>273</xdr:row>
      <xdr:rowOff>21026</xdr:rowOff>
    </xdr:to>
    <xdr:cxnSp macro="">
      <xdr:nvCxnSpPr>
        <xdr:cNvPr id="875" name="Straight Arrow Connector 874">
          <a:extLst>
            <a:ext uri="{FF2B5EF4-FFF2-40B4-BE49-F238E27FC236}">
              <a16:creationId xmlns:a16="http://schemas.microsoft.com/office/drawing/2014/main" xmlns="" id="{00000000-0008-0000-0400-00006B030000}"/>
            </a:ext>
          </a:extLst>
        </xdr:cNvPr>
        <xdr:cNvCxnSpPr/>
      </xdr:nvCxnSpPr>
      <xdr:spPr>
        <a:xfrm>
          <a:off x="23293563" y="55852180"/>
          <a:ext cx="105890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397885</xdr:colOff>
      <xdr:row>278</xdr:row>
      <xdr:rowOff>86008</xdr:rowOff>
    </xdr:from>
    <xdr:to>
      <xdr:col>43</xdr:col>
      <xdr:colOff>220982</xdr:colOff>
      <xdr:row>283</xdr:row>
      <xdr:rowOff>76951</xdr:rowOff>
    </xdr:to>
    <xdr:grpSp>
      <xdr:nvGrpSpPr>
        <xdr:cNvPr id="876" name="Group 875">
          <a:hlinkClick xmlns:r="http://schemas.openxmlformats.org/officeDocument/2006/relationships" r:id="rId23"/>
          <a:extLst>
            <a:ext uri="{FF2B5EF4-FFF2-40B4-BE49-F238E27FC236}">
              <a16:creationId xmlns:a16="http://schemas.microsoft.com/office/drawing/2014/main" xmlns="" id="{00000000-0008-0000-0400-00006C030000}"/>
            </a:ext>
          </a:extLst>
        </xdr:cNvPr>
        <xdr:cNvGrpSpPr/>
      </xdr:nvGrpSpPr>
      <xdr:grpSpPr>
        <a:xfrm>
          <a:off x="26494144" y="53381184"/>
          <a:ext cx="1096085" cy="950167"/>
          <a:chOff x="25299865" y="11444654"/>
          <a:chExt cx="1039366" cy="899479"/>
        </a:xfrm>
      </xdr:grpSpPr>
      <xdr:grpSp>
        <xdr:nvGrpSpPr>
          <xdr:cNvPr id="877" name="Group 876">
            <a:extLst>
              <a:ext uri="{FF2B5EF4-FFF2-40B4-BE49-F238E27FC236}">
                <a16:creationId xmlns:a16="http://schemas.microsoft.com/office/drawing/2014/main" xmlns="" id="{00000000-0008-0000-0400-00006D030000}"/>
              </a:ext>
            </a:extLst>
          </xdr:cNvPr>
          <xdr:cNvGrpSpPr/>
        </xdr:nvGrpSpPr>
        <xdr:grpSpPr>
          <a:xfrm>
            <a:off x="25299865" y="11444654"/>
            <a:ext cx="1039366" cy="899479"/>
            <a:chOff x="25299865" y="9378462"/>
            <a:chExt cx="1039366" cy="899479"/>
          </a:xfrm>
        </xdr:grpSpPr>
        <xdr:grpSp>
          <xdr:nvGrpSpPr>
            <xdr:cNvPr id="879" name="Group 878">
              <a:extLst>
                <a:ext uri="{FF2B5EF4-FFF2-40B4-BE49-F238E27FC236}">
                  <a16:creationId xmlns:a16="http://schemas.microsoft.com/office/drawing/2014/main" xmlns="" id="{00000000-0008-0000-0400-00006F030000}"/>
                </a:ext>
              </a:extLst>
            </xdr:cNvPr>
            <xdr:cNvGrpSpPr/>
          </xdr:nvGrpSpPr>
          <xdr:grpSpPr>
            <a:xfrm>
              <a:off x="25299865" y="9378462"/>
              <a:ext cx="1039366" cy="899479"/>
              <a:chOff x="588526" y="190500"/>
              <a:chExt cx="1036410" cy="734695"/>
            </a:xfrm>
          </xdr:grpSpPr>
          <xdr:sp macro="" textlink="">
            <xdr:nvSpPr>
              <xdr:cNvPr id="881" name="Rectangle 880">
                <a:extLst>
                  <a:ext uri="{FF2B5EF4-FFF2-40B4-BE49-F238E27FC236}">
                    <a16:creationId xmlns:a16="http://schemas.microsoft.com/office/drawing/2014/main" xmlns="" id="{00000000-0008-0000-0400-000071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FlexCAN2</a:t>
                </a:r>
              </a:p>
              <a:p>
                <a:pPr algn="ctr"/>
                <a:r>
                  <a:rPr lang="en-US" sz="900"/>
                  <a:t>Click me for more info</a:t>
                </a:r>
              </a:p>
            </xdr:txBody>
          </xdr:sp>
          <xdr:sp macro="" textlink="">
            <xdr:nvSpPr>
              <xdr:cNvPr id="882" name="TextBox 881">
                <a:extLst>
                  <a:ext uri="{FF2B5EF4-FFF2-40B4-BE49-F238E27FC236}">
                    <a16:creationId xmlns:a16="http://schemas.microsoft.com/office/drawing/2014/main" xmlns="" id="{00000000-0008-0000-0400-000072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80" name="TextBox 879">
              <a:extLst>
                <a:ext uri="{FF2B5EF4-FFF2-40B4-BE49-F238E27FC236}">
                  <a16:creationId xmlns:a16="http://schemas.microsoft.com/office/drawing/2014/main" xmlns="" id="{00000000-0008-0000-0400-000070030000}"/>
                </a:ext>
              </a:extLst>
            </xdr:cNvPr>
            <xdr:cNvSpPr txBox="1"/>
          </xdr:nvSpPr>
          <xdr:spPr>
            <a:xfrm>
              <a:off x="25307192" y="10052539"/>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Protocol Clock</a:t>
              </a:r>
            </a:p>
          </xdr:txBody>
        </xdr:sp>
      </xdr:grpSp>
      <xdr:sp macro="" textlink="">
        <xdr:nvSpPr>
          <xdr:cNvPr id="878" name="TextBox 877">
            <a:extLst>
              <a:ext uri="{FF2B5EF4-FFF2-40B4-BE49-F238E27FC236}">
                <a16:creationId xmlns:a16="http://schemas.microsoft.com/office/drawing/2014/main" xmlns="" id="{00000000-0008-0000-0400-00006E030000}"/>
              </a:ext>
            </a:extLst>
          </xdr:cNvPr>
          <xdr:cNvSpPr txBox="1"/>
        </xdr:nvSpPr>
        <xdr:spPr>
          <a:xfrm>
            <a:off x="25299865" y="11994173"/>
            <a:ext cx="630959" cy="221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CHI Clock</a:t>
            </a:r>
          </a:p>
        </xdr:txBody>
      </xdr:sp>
    </xdr:grpSp>
    <xdr:clientData/>
  </xdr:twoCellAnchor>
  <xdr:twoCellAnchor>
    <xdr:from>
      <xdr:col>12</xdr:col>
      <xdr:colOff>329712</xdr:colOff>
      <xdr:row>278</xdr:row>
      <xdr:rowOff>174746</xdr:rowOff>
    </xdr:from>
    <xdr:to>
      <xdr:col>33</xdr:col>
      <xdr:colOff>429105</xdr:colOff>
      <xdr:row>278</xdr:row>
      <xdr:rowOff>174746</xdr:rowOff>
    </xdr:to>
    <xdr:cxnSp macro="">
      <xdr:nvCxnSpPr>
        <xdr:cNvPr id="883" name="Straight Arrow Connector 882">
          <a:extLst>
            <a:ext uri="{FF2B5EF4-FFF2-40B4-BE49-F238E27FC236}">
              <a16:creationId xmlns:a16="http://schemas.microsoft.com/office/drawing/2014/main" xmlns="" id="{00000000-0008-0000-0400-000073030000}"/>
            </a:ext>
          </a:extLst>
        </xdr:cNvPr>
        <xdr:cNvCxnSpPr/>
      </xdr:nvCxnSpPr>
      <xdr:spPr>
        <a:xfrm>
          <a:off x="7627327" y="57068304"/>
          <a:ext cx="12870220"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437387</xdr:colOff>
      <xdr:row>276</xdr:row>
      <xdr:rowOff>153862</xdr:rowOff>
    </xdr:from>
    <xdr:to>
      <xdr:col>35</xdr:col>
      <xdr:colOff>238576</xdr:colOff>
      <xdr:row>280</xdr:row>
      <xdr:rowOff>170684</xdr:rowOff>
    </xdr:to>
    <xdr:sp macro="" textlink="">
      <xdr:nvSpPr>
        <xdr:cNvPr id="884" name="Rectangle 883">
          <a:extLst>
            <a:ext uri="{FF2B5EF4-FFF2-40B4-BE49-F238E27FC236}">
              <a16:creationId xmlns:a16="http://schemas.microsoft.com/office/drawing/2014/main" xmlns="" id="{00000000-0008-0000-0400-000074030000}"/>
            </a:ext>
          </a:extLst>
        </xdr:cNvPr>
        <xdr:cNvSpPr/>
      </xdr:nvSpPr>
      <xdr:spPr>
        <a:xfrm>
          <a:off x="20505829" y="56622458"/>
          <a:ext cx="1017459" cy="8301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FlexCAN2 Clock</a:t>
          </a:r>
          <a:r>
            <a:rPr lang="en-US" sz="1100" baseline="0"/>
            <a:t> Enable</a:t>
          </a:r>
        </a:p>
        <a:p>
          <a:pPr algn="ctr"/>
          <a:r>
            <a:rPr lang="en-US" sz="900"/>
            <a:t>PCC_FlexCAN2[CGC]</a:t>
          </a:r>
        </a:p>
      </xdr:txBody>
    </xdr:sp>
    <xdr:clientData/>
  </xdr:twoCellAnchor>
  <xdr:twoCellAnchor>
    <xdr:from>
      <xdr:col>35</xdr:col>
      <xdr:colOff>246886</xdr:colOff>
      <xdr:row>279</xdr:row>
      <xdr:rowOff>17442</xdr:rowOff>
    </xdr:from>
    <xdr:to>
      <xdr:col>41</xdr:col>
      <xdr:colOff>397885</xdr:colOff>
      <xdr:row>279</xdr:row>
      <xdr:rowOff>24566</xdr:rowOff>
    </xdr:to>
    <xdr:cxnSp macro="">
      <xdr:nvCxnSpPr>
        <xdr:cNvPr id="885" name="Straight Arrow Connector 884">
          <a:extLst>
            <a:ext uri="{FF2B5EF4-FFF2-40B4-BE49-F238E27FC236}">
              <a16:creationId xmlns:a16="http://schemas.microsoft.com/office/drawing/2014/main" xmlns="" id="{00000000-0008-0000-0400-000075030000}"/>
            </a:ext>
          </a:extLst>
        </xdr:cNvPr>
        <xdr:cNvCxnSpPr>
          <a:endCxn id="882" idx="1"/>
        </xdr:cNvCxnSpPr>
      </xdr:nvCxnSpPr>
      <xdr:spPr>
        <a:xfrm>
          <a:off x="21531598" y="57123480"/>
          <a:ext cx="3799806" cy="712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594757</xdr:colOff>
      <xdr:row>281</xdr:row>
      <xdr:rowOff>210567</xdr:rowOff>
    </xdr:from>
    <xdr:ext cx="860534" cy="367862"/>
    <xdr:sp macro="" textlink="">
      <xdr:nvSpPr>
        <xdr:cNvPr id="886" name="TextBox 885">
          <a:extLst>
            <a:ext uri="{FF2B5EF4-FFF2-40B4-BE49-F238E27FC236}">
              <a16:creationId xmlns:a16="http://schemas.microsoft.com/office/drawing/2014/main" xmlns="" id="{00000000-0008-0000-0400-000076030000}"/>
            </a:ext>
          </a:extLst>
        </xdr:cNvPr>
        <xdr:cNvSpPr txBox="1"/>
      </xdr:nvSpPr>
      <xdr:spPr>
        <a:xfrm>
          <a:off x="20663199" y="5769027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37</xdr:col>
      <xdr:colOff>387691</xdr:colOff>
      <xdr:row>281</xdr:row>
      <xdr:rowOff>212161</xdr:rowOff>
    </xdr:from>
    <xdr:to>
      <xdr:col>41</xdr:col>
      <xdr:colOff>395974</xdr:colOff>
      <xdr:row>281</xdr:row>
      <xdr:rowOff>212161</xdr:rowOff>
    </xdr:to>
    <xdr:cxnSp macro="">
      <xdr:nvCxnSpPr>
        <xdr:cNvPr id="887" name="Straight Arrow Connector 886">
          <a:extLst>
            <a:ext uri="{FF2B5EF4-FFF2-40B4-BE49-F238E27FC236}">
              <a16:creationId xmlns:a16="http://schemas.microsoft.com/office/drawing/2014/main" xmlns="" id="{00000000-0008-0000-0400-000077030000}"/>
            </a:ext>
          </a:extLst>
        </xdr:cNvPr>
        <xdr:cNvCxnSpPr/>
      </xdr:nvCxnSpPr>
      <xdr:spPr>
        <a:xfrm>
          <a:off x="22888672" y="57713853"/>
          <a:ext cx="2440821"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387690</xdr:colOff>
      <xdr:row>282</xdr:row>
      <xdr:rowOff>7327</xdr:rowOff>
    </xdr:from>
    <xdr:to>
      <xdr:col>37</xdr:col>
      <xdr:colOff>387690</xdr:colOff>
      <xdr:row>284</xdr:row>
      <xdr:rowOff>178073</xdr:rowOff>
    </xdr:to>
    <xdr:cxnSp macro="">
      <xdr:nvCxnSpPr>
        <xdr:cNvPr id="888" name="Straight Arrow Connector 887">
          <a:extLst>
            <a:ext uri="{FF2B5EF4-FFF2-40B4-BE49-F238E27FC236}">
              <a16:creationId xmlns:a16="http://schemas.microsoft.com/office/drawing/2014/main" xmlns="" id="{00000000-0008-0000-0400-000078030000}"/>
            </a:ext>
          </a:extLst>
        </xdr:cNvPr>
        <xdr:cNvCxnSpPr/>
      </xdr:nvCxnSpPr>
      <xdr:spPr>
        <a:xfrm flipV="1">
          <a:off x="22888671" y="57721500"/>
          <a:ext cx="0" cy="559073"/>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246887</xdr:colOff>
      <xdr:row>278</xdr:row>
      <xdr:rowOff>174890</xdr:rowOff>
    </xdr:from>
    <xdr:to>
      <xdr:col>32</xdr:col>
      <xdr:colOff>246887</xdr:colOff>
      <xdr:row>288</xdr:row>
      <xdr:rowOff>117231</xdr:rowOff>
    </xdr:to>
    <xdr:cxnSp macro="">
      <xdr:nvCxnSpPr>
        <xdr:cNvPr id="889" name="Straight Arrow Connector 888">
          <a:extLst>
            <a:ext uri="{FF2B5EF4-FFF2-40B4-BE49-F238E27FC236}">
              <a16:creationId xmlns:a16="http://schemas.microsoft.com/office/drawing/2014/main" xmlns="" id="{00000000-0008-0000-0400-000079030000}"/>
            </a:ext>
          </a:extLst>
        </xdr:cNvPr>
        <xdr:cNvCxnSpPr/>
      </xdr:nvCxnSpPr>
      <xdr:spPr>
        <a:xfrm flipV="1">
          <a:off x="19707195" y="57068448"/>
          <a:ext cx="0" cy="1913283"/>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238605</xdr:colOff>
      <xdr:row>284</xdr:row>
      <xdr:rowOff>169791</xdr:rowOff>
    </xdr:from>
    <xdr:to>
      <xdr:col>37</xdr:col>
      <xdr:colOff>387690</xdr:colOff>
      <xdr:row>284</xdr:row>
      <xdr:rowOff>169791</xdr:rowOff>
    </xdr:to>
    <xdr:cxnSp macro="">
      <xdr:nvCxnSpPr>
        <xdr:cNvPr id="890" name="Straight Arrow Connector 889">
          <a:extLst>
            <a:ext uri="{FF2B5EF4-FFF2-40B4-BE49-F238E27FC236}">
              <a16:creationId xmlns:a16="http://schemas.microsoft.com/office/drawing/2014/main" xmlns="" id="{00000000-0008-0000-0400-00007A030000}"/>
            </a:ext>
          </a:extLst>
        </xdr:cNvPr>
        <xdr:cNvCxnSpPr/>
      </xdr:nvCxnSpPr>
      <xdr:spPr>
        <a:xfrm>
          <a:off x="19698913" y="58250310"/>
          <a:ext cx="3189758" cy="0"/>
        </a:xfrm>
        <a:prstGeom prst="straightConnector1">
          <a:avLst/>
        </a:prstGeom>
        <a:ln w="19050">
          <a:solidFill>
            <a:schemeClr val="accent5"/>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255171</xdr:colOff>
      <xdr:row>288</xdr:row>
      <xdr:rowOff>113088</xdr:rowOff>
    </xdr:from>
    <xdr:to>
      <xdr:col>36</xdr:col>
      <xdr:colOff>387691</xdr:colOff>
      <xdr:row>288</xdr:row>
      <xdr:rowOff>113088</xdr:rowOff>
    </xdr:to>
    <xdr:cxnSp macro="">
      <xdr:nvCxnSpPr>
        <xdr:cNvPr id="891" name="Straight Arrow Connector 890">
          <a:extLst>
            <a:ext uri="{FF2B5EF4-FFF2-40B4-BE49-F238E27FC236}">
              <a16:creationId xmlns:a16="http://schemas.microsoft.com/office/drawing/2014/main" xmlns="" id="{00000000-0008-0000-0400-00007B030000}"/>
            </a:ext>
          </a:extLst>
        </xdr:cNvPr>
        <xdr:cNvCxnSpPr/>
      </xdr:nvCxnSpPr>
      <xdr:spPr>
        <a:xfrm>
          <a:off x="19715479" y="58977588"/>
          <a:ext cx="2565058"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412539</xdr:colOff>
      <xdr:row>287</xdr:row>
      <xdr:rowOff>129013</xdr:rowOff>
    </xdr:from>
    <xdr:to>
      <xdr:col>38</xdr:col>
      <xdr:colOff>213729</xdr:colOff>
      <xdr:row>291</xdr:row>
      <xdr:rowOff>173552</xdr:rowOff>
    </xdr:to>
    <xdr:sp macro="" textlink="">
      <xdr:nvSpPr>
        <xdr:cNvPr id="892" name="Rectangle 891">
          <a:extLst>
            <a:ext uri="{FF2B5EF4-FFF2-40B4-BE49-F238E27FC236}">
              <a16:creationId xmlns:a16="http://schemas.microsoft.com/office/drawing/2014/main" xmlns="" id="{00000000-0008-0000-0400-00007C030000}"/>
            </a:ext>
          </a:extLst>
        </xdr:cNvPr>
        <xdr:cNvSpPr/>
      </xdr:nvSpPr>
      <xdr:spPr>
        <a:xfrm>
          <a:off x="22305385" y="58803013"/>
          <a:ext cx="1017459" cy="8065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PE Clock Select</a:t>
          </a:r>
          <a:endParaRPr lang="en-US" sz="1100" baseline="0"/>
        </a:p>
        <a:p>
          <a:pPr algn="ctr"/>
          <a:r>
            <a:rPr lang="en-US" sz="900"/>
            <a:t>CAN2_CTRL1[CLKSRC]</a:t>
          </a:r>
        </a:p>
      </xdr:txBody>
    </xdr:sp>
    <xdr:clientData/>
  </xdr:twoCellAnchor>
  <xdr:oneCellAnchor>
    <xdr:from>
      <xdr:col>36</xdr:col>
      <xdr:colOff>586473</xdr:colOff>
      <xdr:row>292</xdr:row>
      <xdr:rowOff>195912</xdr:rowOff>
    </xdr:from>
    <xdr:ext cx="1126435" cy="367862"/>
    <xdr:sp macro="" textlink="">
      <xdr:nvSpPr>
        <xdr:cNvPr id="893" name="TextBox 892">
          <a:extLst>
            <a:ext uri="{FF2B5EF4-FFF2-40B4-BE49-F238E27FC236}">
              <a16:creationId xmlns:a16="http://schemas.microsoft.com/office/drawing/2014/main" xmlns="" id="{00000000-0008-0000-0400-00007D030000}"/>
            </a:ext>
          </a:extLst>
        </xdr:cNvPr>
        <xdr:cNvSpPr txBox="1"/>
      </xdr:nvSpPr>
      <xdr:spPr>
        <a:xfrm>
          <a:off x="22479319" y="59829739"/>
          <a:ext cx="1126435"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SOSCDIV2_CLK</a:t>
          </a:r>
        </a:p>
        <a:p>
          <a:r>
            <a:rPr lang="en-US" sz="800"/>
            <a:t>1 - SYS_CLK</a:t>
          </a:r>
        </a:p>
      </xdr:txBody>
    </xdr:sp>
    <xdr:clientData/>
  </xdr:oneCellAnchor>
  <xdr:twoCellAnchor>
    <xdr:from>
      <xdr:col>28</xdr:col>
      <xdr:colOff>329713</xdr:colOff>
      <xdr:row>291</xdr:row>
      <xdr:rowOff>12740</xdr:rowOff>
    </xdr:from>
    <xdr:to>
      <xdr:col>36</xdr:col>
      <xdr:colOff>387691</xdr:colOff>
      <xdr:row>291</xdr:row>
      <xdr:rowOff>12740</xdr:rowOff>
    </xdr:to>
    <xdr:cxnSp macro="">
      <xdr:nvCxnSpPr>
        <xdr:cNvPr id="894" name="Straight Arrow Connector 893">
          <a:extLst>
            <a:ext uri="{FF2B5EF4-FFF2-40B4-BE49-F238E27FC236}">
              <a16:creationId xmlns:a16="http://schemas.microsoft.com/office/drawing/2014/main" xmlns="" id="{00000000-0008-0000-0400-00007E030000}"/>
            </a:ext>
          </a:extLst>
        </xdr:cNvPr>
        <xdr:cNvCxnSpPr/>
      </xdr:nvCxnSpPr>
      <xdr:spPr>
        <a:xfrm>
          <a:off x="17357482" y="59448740"/>
          <a:ext cx="4923055"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48105</xdr:colOff>
      <xdr:row>282</xdr:row>
      <xdr:rowOff>190501</xdr:rowOff>
    </xdr:from>
    <xdr:to>
      <xdr:col>40</xdr:col>
      <xdr:colOff>48105</xdr:colOff>
      <xdr:row>290</xdr:row>
      <xdr:rowOff>36634</xdr:rowOff>
    </xdr:to>
    <xdr:cxnSp macro="">
      <xdr:nvCxnSpPr>
        <xdr:cNvPr id="895" name="Straight Arrow Connector 894">
          <a:extLst>
            <a:ext uri="{FF2B5EF4-FFF2-40B4-BE49-F238E27FC236}">
              <a16:creationId xmlns:a16="http://schemas.microsoft.com/office/drawing/2014/main" xmlns="" id="{00000000-0008-0000-0400-00007F030000}"/>
            </a:ext>
          </a:extLst>
        </xdr:cNvPr>
        <xdr:cNvCxnSpPr/>
      </xdr:nvCxnSpPr>
      <xdr:spPr>
        <a:xfrm flipV="1">
          <a:off x="24373490" y="57904674"/>
          <a:ext cx="0" cy="140676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48105</xdr:colOff>
      <xdr:row>282</xdr:row>
      <xdr:rowOff>176164</xdr:rowOff>
    </xdr:from>
    <xdr:to>
      <xdr:col>41</xdr:col>
      <xdr:colOff>412539</xdr:colOff>
      <xdr:row>282</xdr:row>
      <xdr:rowOff>176164</xdr:rowOff>
    </xdr:to>
    <xdr:cxnSp macro="">
      <xdr:nvCxnSpPr>
        <xdr:cNvPr id="896" name="Straight Arrow Connector 895">
          <a:extLst>
            <a:ext uri="{FF2B5EF4-FFF2-40B4-BE49-F238E27FC236}">
              <a16:creationId xmlns:a16="http://schemas.microsoft.com/office/drawing/2014/main" xmlns="" id="{00000000-0008-0000-0400-000080030000}"/>
            </a:ext>
          </a:extLst>
        </xdr:cNvPr>
        <xdr:cNvCxnSpPr/>
      </xdr:nvCxnSpPr>
      <xdr:spPr>
        <a:xfrm>
          <a:off x="24373490" y="57890337"/>
          <a:ext cx="97256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213756</xdr:colOff>
      <xdr:row>290</xdr:row>
      <xdr:rowOff>21021</xdr:rowOff>
    </xdr:from>
    <xdr:to>
      <xdr:col>40</xdr:col>
      <xdr:colOff>56387</xdr:colOff>
      <xdr:row>290</xdr:row>
      <xdr:rowOff>21021</xdr:rowOff>
    </xdr:to>
    <xdr:cxnSp macro="">
      <xdr:nvCxnSpPr>
        <xdr:cNvPr id="897" name="Straight Arrow Connector 896">
          <a:extLst>
            <a:ext uri="{FF2B5EF4-FFF2-40B4-BE49-F238E27FC236}">
              <a16:creationId xmlns:a16="http://schemas.microsoft.com/office/drawing/2014/main" xmlns="" id="{00000000-0008-0000-0400-000081030000}"/>
            </a:ext>
          </a:extLst>
        </xdr:cNvPr>
        <xdr:cNvCxnSpPr/>
      </xdr:nvCxnSpPr>
      <xdr:spPr>
        <a:xfrm>
          <a:off x="23322871" y="59295829"/>
          <a:ext cx="105890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417634</xdr:colOff>
      <xdr:row>296</xdr:row>
      <xdr:rowOff>124556</xdr:rowOff>
    </xdr:from>
    <xdr:to>
      <xdr:col>35</xdr:col>
      <xdr:colOff>218823</xdr:colOff>
      <xdr:row>300</xdr:row>
      <xdr:rowOff>170685</xdr:rowOff>
    </xdr:to>
    <xdr:sp macro="" textlink="">
      <xdr:nvSpPr>
        <xdr:cNvPr id="898" name="Rectangle 897">
          <a:extLst>
            <a:ext uri="{FF2B5EF4-FFF2-40B4-BE49-F238E27FC236}">
              <a16:creationId xmlns:a16="http://schemas.microsoft.com/office/drawing/2014/main" xmlns="" id="{00000000-0008-0000-0400-000082030000}"/>
            </a:ext>
          </a:extLst>
        </xdr:cNvPr>
        <xdr:cNvSpPr/>
      </xdr:nvSpPr>
      <xdr:spPr>
        <a:xfrm>
          <a:off x="20486076" y="60608306"/>
          <a:ext cx="1017459" cy="8447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 Clock</a:t>
          </a:r>
          <a:r>
            <a:rPr lang="en-US" sz="1100" baseline="0"/>
            <a:t> Enable</a:t>
          </a:r>
        </a:p>
        <a:p>
          <a:pPr algn="ctr"/>
          <a:r>
            <a:rPr lang="en-US" sz="900"/>
            <a:t>PCC_ADC1[CGC]</a:t>
          </a:r>
        </a:p>
      </xdr:txBody>
    </xdr:sp>
    <xdr:clientData/>
  </xdr:twoCellAnchor>
  <xdr:oneCellAnchor>
    <xdr:from>
      <xdr:col>33</xdr:col>
      <xdr:colOff>556845</xdr:colOff>
      <xdr:row>301</xdr:row>
      <xdr:rowOff>183170</xdr:rowOff>
    </xdr:from>
    <xdr:ext cx="860534" cy="367862"/>
    <xdr:sp macro="" textlink="">
      <xdr:nvSpPr>
        <xdr:cNvPr id="899" name="TextBox 898">
          <a:extLst>
            <a:ext uri="{FF2B5EF4-FFF2-40B4-BE49-F238E27FC236}">
              <a16:creationId xmlns:a16="http://schemas.microsoft.com/office/drawing/2014/main" xmlns="" id="{00000000-0008-0000-0400-000083030000}"/>
            </a:ext>
          </a:extLst>
        </xdr:cNvPr>
        <xdr:cNvSpPr txBox="1"/>
      </xdr:nvSpPr>
      <xdr:spPr>
        <a:xfrm>
          <a:off x="20625287" y="61663382"/>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10</xdr:col>
      <xdr:colOff>315058</xdr:colOff>
      <xdr:row>298</xdr:row>
      <xdr:rowOff>146535</xdr:rowOff>
    </xdr:from>
    <xdr:to>
      <xdr:col>33</xdr:col>
      <xdr:colOff>417634</xdr:colOff>
      <xdr:row>298</xdr:row>
      <xdr:rowOff>151284</xdr:rowOff>
    </xdr:to>
    <xdr:cxnSp macro="">
      <xdr:nvCxnSpPr>
        <xdr:cNvPr id="900" name="Straight Arrow Connector 899">
          <a:extLst>
            <a:ext uri="{FF2B5EF4-FFF2-40B4-BE49-F238E27FC236}">
              <a16:creationId xmlns:a16="http://schemas.microsoft.com/office/drawing/2014/main" xmlns="" id="{00000000-0008-0000-0400-000084030000}"/>
            </a:ext>
          </a:extLst>
        </xdr:cNvPr>
        <xdr:cNvCxnSpPr>
          <a:endCxn id="898" idx="1"/>
        </xdr:cNvCxnSpPr>
      </xdr:nvCxnSpPr>
      <xdr:spPr>
        <a:xfrm>
          <a:off x="6396404" y="61018612"/>
          <a:ext cx="14089672" cy="4749"/>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234460</xdr:colOff>
      <xdr:row>299</xdr:row>
      <xdr:rowOff>124554</xdr:rowOff>
    </xdr:from>
    <xdr:to>
      <xdr:col>41</xdr:col>
      <xdr:colOff>375265</xdr:colOff>
      <xdr:row>299</xdr:row>
      <xdr:rowOff>124554</xdr:rowOff>
    </xdr:to>
    <xdr:cxnSp macro="">
      <xdr:nvCxnSpPr>
        <xdr:cNvPr id="901" name="Straight Arrow Connector 900">
          <a:extLst>
            <a:ext uri="{FF2B5EF4-FFF2-40B4-BE49-F238E27FC236}">
              <a16:creationId xmlns:a16="http://schemas.microsoft.com/office/drawing/2014/main" xmlns="" id="{00000000-0008-0000-0400-000085030000}"/>
            </a:ext>
          </a:extLst>
        </xdr:cNvPr>
        <xdr:cNvCxnSpPr/>
      </xdr:nvCxnSpPr>
      <xdr:spPr>
        <a:xfrm>
          <a:off x="21519172" y="61209112"/>
          <a:ext cx="37896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439612</xdr:colOff>
      <xdr:row>304</xdr:row>
      <xdr:rowOff>73266</xdr:rowOff>
    </xdr:from>
    <xdr:to>
      <xdr:col>31</xdr:col>
      <xdr:colOff>240802</xdr:colOff>
      <xdr:row>308</xdr:row>
      <xdr:rowOff>169092</xdr:rowOff>
    </xdr:to>
    <xdr:sp macro="" textlink="">
      <xdr:nvSpPr>
        <xdr:cNvPr id="902" name="Rectangle 901">
          <a:extLst>
            <a:ext uri="{FF2B5EF4-FFF2-40B4-BE49-F238E27FC236}">
              <a16:creationId xmlns:a16="http://schemas.microsoft.com/office/drawing/2014/main" xmlns="" id="{00000000-0008-0000-0400-000086030000}"/>
            </a:ext>
          </a:extLst>
        </xdr:cNvPr>
        <xdr:cNvSpPr/>
      </xdr:nvSpPr>
      <xdr:spPr>
        <a:xfrm>
          <a:off x="18075516" y="62183593"/>
          <a:ext cx="1017459" cy="857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r>
            <a:rPr lang="en-US" sz="1100" baseline="0"/>
            <a:t> Per. Clk. Select</a:t>
          </a:r>
        </a:p>
        <a:p>
          <a:pPr algn="ctr"/>
          <a:r>
            <a:rPr lang="en-US" sz="900"/>
            <a:t>PCC_ADC1[PCS]</a:t>
          </a:r>
        </a:p>
      </xdr:txBody>
    </xdr:sp>
    <xdr:clientData/>
  </xdr:twoCellAnchor>
  <xdr:twoCellAnchor>
    <xdr:from>
      <xdr:col>41</xdr:col>
      <xdr:colOff>337038</xdr:colOff>
      <xdr:row>298</xdr:row>
      <xdr:rowOff>183169</xdr:rowOff>
    </xdr:from>
    <xdr:to>
      <xdr:col>43</xdr:col>
      <xdr:colOff>160135</xdr:colOff>
      <xdr:row>303</xdr:row>
      <xdr:rowOff>146412</xdr:rowOff>
    </xdr:to>
    <xdr:grpSp>
      <xdr:nvGrpSpPr>
        <xdr:cNvPr id="903" name="Group 902">
          <a:extLst>
            <a:ext uri="{FF2B5EF4-FFF2-40B4-BE49-F238E27FC236}">
              <a16:creationId xmlns:a16="http://schemas.microsoft.com/office/drawing/2014/main" xmlns="" id="{00000000-0008-0000-0400-000087030000}"/>
            </a:ext>
          </a:extLst>
        </xdr:cNvPr>
        <xdr:cNvGrpSpPr/>
      </xdr:nvGrpSpPr>
      <xdr:grpSpPr>
        <a:xfrm>
          <a:off x="26433297" y="57225593"/>
          <a:ext cx="1096085" cy="940395"/>
          <a:chOff x="25270558" y="29007288"/>
          <a:chExt cx="1039366" cy="981684"/>
        </a:xfrm>
      </xdr:grpSpPr>
      <xdr:grpSp>
        <xdr:nvGrpSpPr>
          <xdr:cNvPr id="904" name="Group 903">
            <a:extLst>
              <a:ext uri="{FF2B5EF4-FFF2-40B4-BE49-F238E27FC236}">
                <a16:creationId xmlns:a16="http://schemas.microsoft.com/office/drawing/2014/main" xmlns="" id="{00000000-0008-0000-0400-000088030000}"/>
              </a:ext>
            </a:extLst>
          </xdr:cNvPr>
          <xdr:cNvGrpSpPr/>
        </xdr:nvGrpSpPr>
        <xdr:grpSpPr>
          <a:xfrm>
            <a:off x="25270558" y="29007288"/>
            <a:ext cx="1039366" cy="981076"/>
            <a:chOff x="588526" y="190500"/>
            <a:chExt cx="1036410" cy="734695"/>
          </a:xfrm>
        </xdr:grpSpPr>
        <xdr:sp macro="" textlink="">
          <xdr:nvSpPr>
            <xdr:cNvPr id="906" name="Rectangle 905">
              <a:extLst>
                <a:ext uri="{FF2B5EF4-FFF2-40B4-BE49-F238E27FC236}">
                  <a16:creationId xmlns:a16="http://schemas.microsoft.com/office/drawing/2014/main" xmlns="" id="{00000000-0008-0000-0400-00008A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p>
          </xdr:txBody>
        </xdr:sp>
        <xdr:sp macro="" textlink="">
          <xdr:nvSpPr>
            <xdr:cNvPr id="907" name="TextBox 906">
              <a:extLst>
                <a:ext uri="{FF2B5EF4-FFF2-40B4-BE49-F238E27FC236}">
                  <a16:creationId xmlns:a16="http://schemas.microsoft.com/office/drawing/2014/main" xmlns="" id="{00000000-0008-0000-0400-00008B030000}"/>
                </a:ext>
              </a:extLst>
            </xdr:cNvPr>
            <xdr:cNvSpPr txBox="1"/>
          </xdr:nvSpPr>
          <xdr:spPr>
            <a:xfrm>
              <a:off x="588526" y="208941"/>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905" name="TextBox 904">
            <a:extLst>
              <a:ext uri="{FF2B5EF4-FFF2-40B4-BE49-F238E27FC236}">
                <a16:creationId xmlns:a16="http://schemas.microsoft.com/office/drawing/2014/main" xmlns="" id="{00000000-0008-0000-0400-00008903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Conversion Clock</a:t>
            </a:r>
          </a:p>
        </xdr:txBody>
      </xdr:sp>
    </xdr:grpSp>
    <xdr:clientData/>
  </xdr:twoCellAnchor>
  <xdr:oneCellAnchor>
    <xdr:from>
      <xdr:col>29</xdr:col>
      <xdr:colOff>564169</xdr:colOff>
      <xdr:row>309</xdr:row>
      <xdr:rowOff>190498</xdr:rowOff>
    </xdr:from>
    <xdr:ext cx="1152526" cy="1116726"/>
    <xdr:sp macro="" textlink="">
      <xdr:nvSpPr>
        <xdr:cNvPr id="908" name="TextBox 907">
          <a:extLst>
            <a:ext uri="{FF2B5EF4-FFF2-40B4-BE49-F238E27FC236}">
              <a16:creationId xmlns:a16="http://schemas.microsoft.com/office/drawing/2014/main" xmlns="" id="{00000000-0008-0000-0400-00008C030000}"/>
            </a:ext>
          </a:extLst>
        </xdr:cNvPr>
        <xdr:cNvSpPr txBox="1"/>
      </xdr:nvSpPr>
      <xdr:spPr>
        <a:xfrm>
          <a:off x="18200073" y="63260652"/>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SOSCDIV2_CLK</a:t>
          </a:r>
        </a:p>
        <a:p>
          <a:r>
            <a:rPr lang="en-US" sz="800"/>
            <a:t>2 - SIRCDIV2_CLK</a:t>
          </a:r>
        </a:p>
        <a:p>
          <a:r>
            <a:rPr lang="en-US" sz="800"/>
            <a:t>3</a:t>
          </a:r>
          <a:r>
            <a:rPr lang="en-US" sz="800" baseline="0"/>
            <a:t> - FIRCDIV2_CLK</a:t>
          </a:r>
        </a:p>
        <a:p>
          <a:r>
            <a:rPr lang="en-US" sz="800" baseline="0"/>
            <a:t>4 - Reserved</a:t>
          </a:r>
        </a:p>
        <a:p>
          <a:r>
            <a:rPr lang="en-US" sz="800" baseline="0"/>
            <a:t>5 - Reserved</a:t>
          </a:r>
          <a:r>
            <a:rPr lang="en-US" sz="800"/>
            <a:t/>
          </a:r>
          <a:br>
            <a:rPr lang="en-US" sz="800"/>
          </a:br>
          <a:r>
            <a:rPr lang="en-US" sz="800"/>
            <a:t>6</a:t>
          </a:r>
          <a:r>
            <a:rPr lang="en-US" sz="800" baseline="0"/>
            <a:t> - SPLLDIV2_CLK</a:t>
          </a:r>
        </a:p>
        <a:p>
          <a:r>
            <a:rPr lang="en-US" sz="800" baseline="0"/>
            <a:t>7 - Reserved</a:t>
          </a:r>
          <a:endParaRPr lang="en-US" sz="800"/>
        </a:p>
      </xdr:txBody>
    </xdr:sp>
    <xdr:clientData/>
  </xdr:oneCellAnchor>
  <xdr:twoCellAnchor>
    <xdr:from>
      <xdr:col>28</xdr:col>
      <xdr:colOff>315057</xdr:colOff>
      <xdr:row>305</xdr:row>
      <xdr:rowOff>58613</xdr:rowOff>
    </xdr:from>
    <xdr:to>
      <xdr:col>29</xdr:col>
      <xdr:colOff>454268</xdr:colOff>
      <xdr:row>305</xdr:row>
      <xdr:rowOff>58613</xdr:rowOff>
    </xdr:to>
    <xdr:cxnSp macro="">
      <xdr:nvCxnSpPr>
        <xdr:cNvPr id="909" name="Straight Arrow Connector 908">
          <a:extLst>
            <a:ext uri="{FF2B5EF4-FFF2-40B4-BE49-F238E27FC236}">
              <a16:creationId xmlns:a16="http://schemas.microsoft.com/office/drawing/2014/main" xmlns="" id="{00000000-0008-0000-0400-00008D030000}"/>
            </a:ext>
          </a:extLst>
        </xdr:cNvPr>
        <xdr:cNvCxnSpPr/>
      </xdr:nvCxnSpPr>
      <xdr:spPr>
        <a:xfrm>
          <a:off x="17342826" y="62330132"/>
          <a:ext cx="747346" cy="0"/>
        </a:xfrm>
        <a:prstGeom prst="straightConnector1">
          <a:avLst/>
        </a:prstGeom>
        <a:ln w="38100">
          <a:solidFill>
            <a:srgbClr val="CC0066"/>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319099</xdr:colOff>
      <xdr:row>306</xdr:row>
      <xdr:rowOff>36631</xdr:rowOff>
    </xdr:from>
    <xdr:to>
      <xdr:col>29</xdr:col>
      <xdr:colOff>432287</xdr:colOff>
      <xdr:row>306</xdr:row>
      <xdr:rowOff>36631</xdr:rowOff>
    </xdr:to>
    <xdr:cxnSp macro="">
      <xdr:nvCxnSpPr>
        <xdr:cNvPr id="910" name="Straight Arrow Connector 909">
          <a:extLst>
            <a:ext uri="{FF2B5EF4-FFF2-40B4-BE49-F238E27FC236}">
              <a16:creationId xmlns:a16="http://schemas.microsoft.com/office/drawing/2014/main" xmlns="" id="{00000000-0008-0000-0400-00008E030000}"/>
            </a:ext>
          </a:extLst>
        </xdr:cNvPr>
        <xdr:cNvCxnSpPr/>
      </xdr:nvCxnSpPr>
      <xdr:spPr>
        <a:xfrm>
          <a:off x="14914330" y="62498650"/>
          <a:ext cx="3153861"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297876</xdr:colOff>
      <xdr:row>307</xdr:row>
      <xdr:rowOff>29305</xdr:rowOff>
    </xdr:from>
    <xdr:to>
      <xdr:col>29</xdr:col>
      <xdr:colOff>417633</xdr:colOff>
      <xdr:row>307</xdr:row>
      <xdr:rowOff>29305</xdr:rowOff>
    </xdr:to>
    <xdr:cxnSp macro="">
      <xdr:nvCxnSpPr>
        <xdr:cNvPr id="911" name="Straight Arrow Connector 910">
          <a:extLst>
            <a:ext uri="{FF2B5EF4-FFF2-40B4-BE49-F238E27FC236}">
              <a16:creationId xmlns:a16="http://schemas.microsoft.com/office/drawing/2014/main" xmlns="" id="{00000000-0008-0000-0400-00008F030000}"/>
            </a:ext>
          </a:extLst>
        </xdr:cNvPr>
        <xdr:cNvCxnSpPr/>
      </xdr:nvCxnSpPr>
      <xdr:spPr>
        <a:xfrm>
          <a:off x="12460568" y="62681824"/>
          <a:ext cx="5592969" cy="0"/>
        </a:xfrm>
        <a:prstGeom prst="straightConnector1">
          <a:avLst/>
        </a:prstGeom>
        <a:ln w="38100">
          <a:solidFill>
            <a:schemeClr val="tx2">
              <a:lumMod val="40000"/>
              <a:lumOff val="60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327939</xdr:colOff>
      <xdr:row>308</xdr:row>
      <xdr:rowOff>36631</xdr:rowOff>
    </xdr:from>
    <xdr:to>
      <xdr:col>29</xdr:col>
      <xdr:colOff>432287</xdr:colOff>
      <xdr:row>308</xdr:row>
      <xdr:rowOff>36631</xdr:rowOff>
    </xdr:to>
    <xdr:cxnSp macro="">
      <xdr:nvCxnSpPr>
        <xdr:cNvPr id="912" name="Straight Arrow Connector 911">
          <a:extLst>
            <a:ext uri="{FF2B5EF4-FFF2-40B4-BE49-F238E27FC236}">
              <a16:creationId xmlns:a16="http://schemas.microsoft.com/office/drawing/2014/main" xmlns="" id="{00000000-0008-0000-0400-000090030000}"/>
            </a:ext>
          </a:extLst>
        </xdr:cNvPr>
        <xdr:cNvCxnSpPr/>
      </xdr:nvCxnSpPr>
      <xdr:spPr>
        <a:xfrm>
          <a:off x="10058093" y="62879650"/>
          <a:ext cx="801009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271090</xdr:colOff>
      <xdr:row>307</xdr:row>
      <xdr:rowOff>14651</xdr:rowOff>
    </xdr:from>
    <xdr:to>
      <xdr:col>33</xdr:col>
      <xdr:colOff>359019</xdr:colOff>
      <xdr:row>307</xdr:row>
      <xdr:rowOff>14651</xdr:rowOff>
    </xdr:to>
    <xdr:cxnSp macro="">
      <xdr:nvCxnSpPr>
        <xdr:cNvPr id="913" name="Straight Arrow Connector 912">
          <a:extLst>
            <a:ext uri="{FF2B5EF4-FFF2-40B4-BE49-F238E27FC236}">
              <a16:creationId xmlns:a16="http://schemas.microsoft.com/office/drawing/2014/main" xmlns="" id="{00000000-0008-0000-0400-000091030000}"/>
            </a:ext>
          </a:extLst>
        </xdr:cNvPr>
        <xdr:cNvCxnSpPr/>
      </xdr:nvCxnSpPr>
      <xdr:spPr>
        <a:xfrm>
          <a:off x="19123263" y="62667170"/>
          <a:ext cx="130419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388326</xdr:colOff>
      <xdr:row>304</xdr:row>
      <xdr:rowOff>65940</xdr:rowOff>
    </xdr:from>
    <xdr:to>
      <xdr:col>35</xdr:col>
      <xdr:colOff>189515</xdr:colOff>
      <xdr:row>308</xdr:row>
      <xdr:rowOff>161766</xdr:rowOff>
    </xdr:to>
    <xdr:sp macro="" textlink="">
      <xdr:nvSpPr>
        <xdr:cNvPr id="914" name="Rectangle 913">
          <a:extLst>
            <a:ext uri="{FF2B5EF4-FFF2-40B4-BE49-F238E27FC236}">
              <a16:creationId xmlns:a16="http://schemas.microsoft.com/office/drawing/2014/main" xmlns="" id="{00000000-0008-0000-0400-000092030000}"/>
            </a:ext>
          </a:extLst>
        </xdr:cNvPr>
        <xdr:cNvSpPr/>
      </xdr:nvSpPr>
      <xdr:spPr>
        <a:xfrm>
          <a:off x="20456768" y="62176267"/>
          <a:ext cx="1017459" cy="857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r>
            <a:rPr lang="en-US" sz="1100" baseline="0"/>
            <a:t> Alt. Clk. Select</a:t>
          </a:r>
        </a:p>
        <a:p>
          <a:pPr algn="ctr"/>
          <a:r>
            <a:rPr lang="en-US" sz="900"/>
            <a:t>ADC1_CFG1[ADICLK]</a:t>
          </a:r>
        </a:p>
      </xdr:txBody>
    </xdr:sp>
    <xdr:clientData/>
  </xdr:twoCellAnchor>
  <xdr:oneCellAnchor>
    <xdr:from>
      <xdr:col>33</xdr:col>
      <xdr:colOff>549516</xdr:colOff>
      <xdr:row>309</xdr:row>
      <xdr:rowOff>190495</xdr:rowOff>
    </xdr:from>
    <xdr:ext cx="1524001" cy="674077"/>
    <xdr:sp macro="" textlink="">
      <xdr:nvSpPr>
        <xdr:cNvPr id="915" name="TextBox 914">
          <a:extLst>
            <a:ext uri="{FF2B5EF4-FFF2-40B4-BE49-F238E27FC236}">
              <a16:creationId xmlns:a16="http://schemas.microsoft.com/office/drawing/2014/main" xmlns="" id="{00000000-0008-0000-0400-000093030000}"/>
            </a:ext>
          </a:extLst>
        </xdr:cNvPr>
        <xdr:cNvSpPr txBox="1"/>
      </xdr:nvSpPr>
      <xdr:spPr>
        <a:xfrm>
          <a:off x="20617958" y="63260649"/>
          <a:ext cx="1524001" cy="6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ALTCLK1</a:t>
          </a:r>
        </a:p>
        <a:p>
          <a:r>
            <a:rPr lang="en-US" sz="800"/>
            <a:t>1 - ALTCLK2</a:t>
          </a:r>
          <a:r>
            <a:rPr lang="en-US" sz="800" baseline="0"/>
            <a:t> (not connected)</a:t>
          </a:r>
        </a:p>
        <a:p>
          <a:r>
            <a:rPr lang="en-US" sz="800"/>
            <a:t>2 - ALTCLK3 (not connected)</a:t>
          </a:r>
        </a:p>
        <a:p>
          <a:r>
            <a:rPr lang="en-US" sz="800"/>
            <a:t>3</a:t>
          </a:r>
          <a:r>
            <a:rPr lang="en-US" sz="800" baseline="0"/>
            <a:t> - ALTCLK4 (not connected)</a:t>
          </a:r>
          <a:endParaRPr lang="en-US" sz="800"/>
        </a:p>
      </xdr:txBody>
    </xdr:sp>
    <xdr:clientData/>
  </xdr:oneCellAnchor>
  <xdr:twoCellAnchor>
    <xdr:from>
      <xdr:col>35</xdr:col>
      <xdr:colOff>205151</xdr:colOff>
      <xdr:row>307</xdr:row>
      <xdr:rowOff>14651</xdr:rowOff>
    </xdr:from>
    <xdr:to>
      <xdr:col>37</xdr:col>
      <xdr:colOff>373674</xdr:colOff>
      <xdr:row>307</xdr:row>
      <xdr:rowOff>14651</xdr:rowOff>
    </xdr:to>
    <xdr:cxnSp macro="">
      <xdr:nvCxnSpPr>
        <xdr:cNvPr id="916" name="Straight Arrow Connector 915">
          <a:extLst>
            <a:ext uri="{FF2B5EF4-FFF2-40B4-BE49-F238E27FC236}">
              <a16:creationId xmlns:a16="http://schemas.microsoft.com/office/drawing/2014/main" xmlns="" id="{00000000-0008-0000-0400-000094030000}"/>
            </a:ext>
          </a:extLst>
        </xdr:cNvPr>
        <xdr:cNvCxnSpPr/>
      </xdr:nvCxnSpPr>
      <xdr:spPr>
        <a:xfrm>
          <a:off x="21489863" y="62725786"/>
          <a:ext cx="138479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380999</xdr:colOff>
      <xdr:row>304</xdr:row>
      <xdr:rowOff>73267</xdr:rowOff>
    </xdr:from>
    <xdr:to>
      <xdr:col>39</xdr:col>
      <xdr:colOff>182189</xdr:colOff>
      <xdr:row>308</xdr:row>
      <xdr:rowOff>169093</xdr:rowOff>
    </xdr:to>
    <xdr:sp macro="" textlink="">
      <xdr:nvSpPr>
        <xdr:cNvPr id="917" name="Rectangle 916">
          <a:extLst>
            <a:ext uri="{FF2B5EF4-FFF2-40B4-BE49-F238E27FC236}">
              <a16:creationId xmlns:a16="http://schemas.microsoft.com/office/drawing/2014/main" xmlns="" id="{00000000-0008-0000-0400-000095030000}"/>
            </a:ext>
          </a:extLst>
        </xdr:cNvPr>
        <xdr:cNvSpPr/>
      </xdr:nvSpPr>
      <xdr:spPr>
        <a:xfrm>
          <a:off x="22881980" y="62183594"/>
          <a:ext cx="1017459" cy="857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r>
            <a:rPr lang="en-US" sz="1100" baseline="0"/>
            <a:t> Clock Divider</a:t>
          </a:r>
        </a:p>
        <a:p>
          <a:pPr algn="ctr"/>
          <a:r>
            <a:rPr lang="en-US" sz="900"/>
            <a:t>ADC1_CFG1[ADIV]</a:t>
          </a:r>
        </a:p>
      </xdr:txBody>
    </xdr:sp>
    <xdr:clientData/>
  </xdr:twoCellAnchor>
  <xdr:oneCellAnchor>
    <xdr:from>
      <xdr:col>37</xdr:col>
      <xdr:colOff>562704</xdr:colOff>
      <xdr:row>309</xdr:row>
      <xdr:rowOff>196357</xdr:rowOff>
    </xdr:from>
    <xdr:ext cx="1524001" cy="674077"/>
    <xdr:sp macro="" textlink="">
      <xdr:nvSpPr>
        <xdr:cNvPr id="918" name="TextBox 917">
          <a:extLst>
            <a:ext uri="{FF2B5EF4-FFF2-40B4-BE49-F238E27FC236}">
              <a16:creationId xmlns:a16="http://schemas.microsoft.com/office/drawing/2014/main" xmlns="" id="{00000000-0008-0000-0400-000096030000}"/>
            </a:ext>
          </a:extLst>
        </xdr:cNvPr>
        <xdr:cNvSpPr txBox="1"/>
      </xdr:nvSpPr>
      <xdr:spPr>
        <a:xfrm>
          <a:off x="23063685" y="63266511"/>
          <a:ext cx="1524001" cy="6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 by 2</a:t>
          </a:r>
          <a:endParaRPr lang="en-US" sz="800" baseline="0"/>
        </a:p>
        <a:p>
          <a:r>
            <a:rPr lang="en-US" sz="800"/>
            <a:t>2 - Divide by 4</a:t>
          </a:r>
        </a:p>
        <a:p>
          <a:r>
            <a:rPr lang="en-US" sz="800"/>
            <a:t>3</a:t>
          </a:r>
          <a:r>
            <a:rPr lang="en-US" sz="800" baseline="0"/>
            <a:t> - Divide by 8</a:t>
          </a:r>
          <a:endParaRPr lang="en-US" sz="800"/>
        </a:p>
      </xdr:txBody>
    </xdr:sp>
    <xdr:clientData/>
  </xdr:oneCellAnchor>
  <xdr:twoCellAnchor>
    <xdr:from>
      <xdr:col>41</xdr:col>
      <xdr:colOff>43961</xdr:colOff>
      <xdr:row>303</xdr:row>
      <xdr:rowOff>14652</xdr:rowOff>
    </xdr:from>
    <xdr:to>
      <xdr:col>41</xdr:col>
      <xdr:colOff>359023</xdr:colOff>
      <xdr:row>303</xdr:row>
      <xdr:rowOff>14652</xdr:rowOff>
    </xdr:to>
    <xdr:cxnSp macro="">
      <xdr:nvCxnSpPr>
        <xdr:cNvPr id="919" name="Straight Arrow Connector 918">
          <a:extLst>
            <a:ext uri="{FF2B5EF4-FFF2-40B4-BE49-F238E27FC236}">
              <a16:creationId xmlns:a16="http://schemas.microsoft.com/office/drawing/2014/main" xmlns="" id="{00000000-0008-0000-0400-000097030000}"/>
            </a:ext>
          </a:extLst>
        </xdr:cNvPr>
        <xdr:cNvCxnSpPr/>
      </xdr:nvCxnSpPr>
      <xdr:spPr>
        <a:xfrm>
          <a:off x="24977480" y="61905171"/>
          <a:ext cx="3150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197826</xdr:colOff>
      <xdr:row>307</xdr:row>
      <xdr:rowOff>14651</xdr:rowOff>
    </xdr:from>
    <xdr:to>
      <xdr:col>41</xdr:col>
      <xdr:colOff>29307</xdr:colOff>
      <xdr:row>307</xdr:row>
      <xdr:rowOff>14651</xdr:rowOff>
    </xdr:to>
    <xdr:cxnSp macro="">
      <xdr:nvCxnSpPr>
        <xdr:cNvPr id="920" name="Straight Arrow Connector 919">
          <a:extLst>
            <a:ext uri="{FF2B5EF4-FFF2-40B4-BE49-F238E27FC236}">
              <a16:creationId xmlns:a16="http://schemas.microsoft.com/office/drawing/2014/main" xmlns="" id="{00000000-0008-0000-0400-000098030000}"/>
            </a:ext>
          </a:extLst>
        </xdr:cNvPr>
        <xdr:cNvCxnSpPr/>
      </xdr:nvCxnSpPr>
      <xdr:spPr>
        <a:xfrm>
          <a:off x="23915076" y="62725786"/>
          <a:ext cx="104775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43960</xdr:colOff>
      <xdr:row>303</xdr:row>
      <xdr:rowOff>14654</xdr:rowOff>
    </xdr:from>
    <xdr:to>
      <xdr:col>41</xdr:col>
      <xdr:colOff>43960</xdr:colOff>
      <xdr:row>307</xdr:row>
      <xdr:rowOff>29307</xdr:rowOff>
    </xdr:to>
    <xdr:cxnSp macro="">
      <xdr:nvCxnSpPr>
        <xdr:cNvPr id="921" name="Straight Arrow Connector 920">
          <a:extLst>
            <a:ext uri="{FF2B5EF4-FFF2-40B4-BE49-F238E27FC236}">
              <a16:creationId xmlns:a16="http://schemas.microsoft.com/office/drawing/2014/main" xmlns="" id="{00000000-0008-0000-0400-000099030000}"/>
            </a:ext>
          </a:extLst>
        </xdr:cNvPr>
        <xdr:cNvCxnSpPr/>
      </xdr:nvCxnSpPr>
      <xdr:spPr>
        <a:xfrm flipV="1">
          <a:off x="24977479" y="61934481"/>
          <a:ext cx="0" cy="80596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433211</xdr:colOff>
      <xdr:row>318</xdr:row>
      <xdr:rowOff>15450</xdr:rowOff>
    </xdr:from>
    <xdr:to>
      <xdr:col>51</xdr:col>
      <xdr:colOff>256307</xdr:colOff>
      <xdr:row>323</xdr:row>
      <xdr:rowOff>87389</xdr:rowOff>
    </xdr:to>
    <xdr:grpSp>
      <xdr:nvGrpSpPr>
        <xdr:cNvPr id="922" name="Group 921">
          <a:extLst>
            <a:ext uri="{FF2B5EF4-FFF2-40B4-BE49-F238E27FC236}">
              <a16:creationId xmlns:a16="http://schemas.microsoft.com/office/drawing/2014/main" xmlns="" id="{00000000-0008-0000-0400-00009A030000}"/>
            </a:ext>
          </a:extLst>
        </xdr:cNvPr>
        <xdr:cNvGrpSpPr/>
      </xdr:nvGrpSpPr>
      <xdr:grpSpPr>
        <a:xfrm>
          <a:off x="31621423" y="60858909"/>
          <a:ext cx="1096084" cy="1031162"/>
          <a:chOff x="25270558" y="29007288"/>
          <a:chExt cx="1039366" cy="981684"/>
        </a:xfrm>
      </xdr:grpSpPr>
      <xdr:grpSp>
        <xdr:nvGrpSpPr>
          <xdr:cNvPr id="923" name="Group 922">
            <a:extLst>
              <a:ext uri="{FF2B5EF4-FFF2-40B4-BE49-F238E27FC236}">
                <a16:creationId xmlns:a16="http://schemas.microsoft.com/office/drawing/2014/main" xmlns="" id="{00000000-0008-0000-0400-00009B030000}"/>
              </a:ext>
            </a:extLst>
          </xdr:cNvPr>
          <xdr:cNvGrpSpPr/>
        </xdr:nvGrpSpPr>
        <xdr:grpSpPr>
          <a:xfrm>
            <a:off x="25270558" y="29007288"/>
            <a:ext cx="1039366" cy="981076"/>
            <a:chOff x="588526" y="190500"/>
            <a:chExt cx="1036410" cy="734695"/>
          </a:xfrm>
        </xdr:grpSpPr>
        <xdr:sp macro="" textlink="">
          <xdr:nvSpPr>
            <xdr:cNvPr id="925" name="Rectangle 924">
              <a:extLst>
                <a:ext uri="{FF2B5EF4-FFF2-40B4-BE49-F238E27FC236}">
                  <a16:creationId xmlns:a16="http://schemas.microsoft.com/office/drawing/2014/main" xmlns="" id="{00000000-0008-0000-0400-00009D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FTM1</a:t>
              </a:r>
            </a:p>
          </xdr:txBody>
        </xdr:sp>
        <xdr:sp macro="" textlink="">
          <xdr:nvSpPr>
            <xdr:cNvPr id="926" name="TextBox 925">
              <a:extLst>
                <a:ext uri="{FF2B5EF4-FFF2-40B4-BE49-F238E27FC236}">
                  <a16:creationId xmlns:a16="http://schemas.microsoft.com/office/drawing/2014/main" xmlns="" id="{00000000-0008-0000-0400-00009E030000}"/>
                </a:ext>
              </a:extLst>
            </xdr:cNvPr>
            <xdr:cNvSpPr txBox="1"/>
          </xdr:nvSpPr>
          <xdr:spPr>
            <a:xfrm>
              <a:off x="588526" y="208941"/>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924" name="TextBox 923">
            <a:extLst>
              <a:ext uri="{FF2B5EF4-FFF2-40B4-BE49-F238E27FC236}">
                <a16:creationId xmlns:a16="http://schemas.microsoft.com/office/drawing/2014/main" xmlns="" id="{00000000-0008-0000-0400-00009C03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300404</xdr:colOff>
      <xdr:row>318</xdr:row>
      <xdr:rowOff>40132</xdr:rowOff>
    </xdr:from>
    <xdr:to>
      <xdr:col>33</xdr:col>
      <xdr:colOff>391514</xdr:colOff>
      <xdr:row>318</xdr:row>
      <xdr:rowOff>40132</xdr:rowOff>
    </xdr:to>
    <xdr:cxnSp macro="">
      <xdr:nvCxnSpPr>
        <xdr:cNvPr id="927" name="Straight Arrow Connector 926">
          <a:extLst>
            <a:ext uri="{FF2B5EF4-FFF2-40B4-BE49-F238E27FC236}">
              <a16:creationId xmlns:a16="http://schemas.microsoft.com/office/drawing/2014/main" xmlns="" id="{00000000-0008-0000-0400-00009F030000}"/>
            </a:ext>
          </a:extLst>
        </xdr:cNvPr>
        <xdr:cNvCxnSpPr/>
      </xdr:nvCxnSpPr>
      <xdr:spPr>
        <a:xfrm>
          <a:off x="7598019" y="64949344"/>
          <a:ext cx="12861937"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391514</xdr:colOff>
      <xdr:row>316</xdr:row>
      <xdr:rowOff>73262</xdr:rowOff>
    </xdr:from>
    <xdr:to>
      <xdr:col>35</xdr:col>
      <xdr:colOff>192703</xdr:colOff>
      <xdr:row>320</xdr:row>
      <xdr:rowOff>170043</xdr:rowOff>
    </xdr:to>
    <xdr:sp macro="" textlink="">
      <xdr:nvSpPr>
        <xdr:cNvPr id="928" name="Rectangle 927">
          <a:extLst>
            <a:ext uri="{FF2B5EF4-FFF2-40B4-BE49-F238E27FC236}">
              <a16:creationId xmlns:a16="http://schemas.microsoft.com/office/drawing/2014/main" xmlns="" id="{00000000-0008-0000-0400-0000A0030000}"/>
            </a:ext>
          </a:extLst>
        </xdr:cNvPr>
        <xdr:cNvSpPr/>
      </xdr:nvSpPr>
      <xdr:spPr>
        <a:xfrm>
          <a:off x="20459956" y="64594147"/>
          <a:ext cx="1017459" cy="8661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FTM1 Clock</a:t>
          </a:r>
          <a:r>
            <a:rPr lang="en-US" sz="1100" baseline="0"/>
            <a:t> Enable</a:t>
          </a:r>
        </a:p>
        <a:p>
          <a:pPr algn="ctr"/>
          <a:r>
            <a:rPr lang="en-US" sz="900"/>
            <a:t>PCC_FTM1[CGC]</a:t>
          </a:r>
        </a:p>
      </xdr:txBody>
    </xdr:sp>
    <xdr:clientData/>
  </xdr:twoCellAnchor>
  <xdr:oneCellAnchor>
    <xdr:from>
      <xdr:col>33</xdr:col>
      <xdr:colOff>565448</xdr:colOff>
      <xdr:row>321</xdr:row>
      <xdr:rowOff>206421</xdr:rowOff>
    </xdr:from>
    <xdr:ext cx="860534" cy="367862"/>
    <xdr:sp macro="" textlink="">
      <xdr:nvSpPr>
        <xdr:cNvPr id="929" name="TextBox 928">
          <a:extLst>
            <a:ext uri="{FF2B5EF4-FFF2-40B4-BE49-F238E27FC236}">
              <a16:creationId xmlns:a16="http://schemas.microsoft.com/office/drawing/2014/main" xmlns="" id="{00000000-0008-0000-0400-0000A1030000}"/>
            </a:ext>
          </a:extLst>
        </xdr:cNvPr>
        <xdr:cNvSpPr txBox="1"/>
      </xdr:nvSpPr>
      <xdr:spPr>
        <a:xfrm>
          <a:off x="20633890" y="6569445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192731</xdr:colOff>
      <xdr:row>318</xdr:row>
      <xdr:rowOff>204510</xdr:rowOff>
    </xdr:from>
    <xdr:to>
      <xdr:col>49</xdr:col>
      <xdr:colOff>441209</xdr:colOff>
      <xdr:row>318</xdr:row>
      <xdr:rowOff>204510</xdr:rowOff>
    </xdr:to>
    <xdr:cxnSp macro="">
      <xdr:nvCxnSpPr>
        <xdr:cNvPr id="930" name="Straight Arrow Connector 929">
          <a:extLst>
            <a:ext uri="{FF2B5EF4-FFF2-40B4-BE49-F238E27FC236}">
              <a16:creationId xmlns:a16="http://schemas.microsoft.com/office/drawing/2014/main" xmlns="" id="{00000000-0008-0000-0400-0000A2030000}"/>
            </a:ext>
          </a:extLst>
        </xdr:cNvPr>
        <xdr:cNvCxnSpPr/>
      </xdr:nvCxnSpPr>
      <xdr:spPr>
        <a:xfrm>
          <a:off x="21477443" y="65121048"/>
          <a:ext cx="87623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399796</xdr:colOff>
      <xdr:row>323</xdr:row>
      <xdr:rowOff>78678</xdr:rowOff>
    </xdr:from>
    <xdr:to>
      <xdr:col>43</xdr:col>
      <xdr:colOff>200986</xdr:colOff>
      <xdr:row>327</xdr:row>
      <xdr:rowOff>192981</xdr:rowOff>
    </xdr:to>
    <xdr:sp macro="" textlink="">
      <xdr:nvSpPr>
        <xdr:cNvPr id="931" name="Rectangle 930">
          <a:extLst>
            <a:ext uri="{FF2B5EF4-FFF2-40B4-BE49-F238E27FC236}">
              <a16:creationId xmlns:a16="http://schemas.microsoft.com/office/drawing/2014/main" xmlns="" id="{00000000-0008-0000-0400-0000A3030000}"/>
            </a:ext>
          </a:extLst>
        </xdr:cNvPr>
        <xdr:cNvSpPr/>
      </xdr:nvSpPr>
      <xdr:spPr>
        <a:xfrm>
          <a:off x="25333315" y="66013659"/>
          <a:ext cx="1017459" cy="949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FTM1 Clock Select</a:t>
          </a:r>
        </a:p>
        <a:p>
          <a:pPr algn="ctr"/>
          <a:r>
            <a:rPr lang="en-US" sz="900"/>
            <a:t>FTM1_SC[CLKS]</a:t>
          </a:r>
        </a:p>
      </xdr:txBody>
    </xdr:sp>
    <xdr:clientData/>
  </xdr:twoCellAnchor>
  <xdr:oneCellAnchor>
    <xdr:from>
      <xdr:col>36</xdr:col>
      <xdr:colOff>374948</xdr:colOff>
      <xdr:row>316</xdr:row>
      <xdr:rowOff>131878</xdr:rowOff>
    </xdr:from>
    <xdr:ext cx="1209261" cy="266700"/>
    <xdr:sp macro="" textlink="">
      <xdr:nvSpPr>
        <xdr:cNvPr id="932" name="TextBox 931">
          <a:extLst>
            <a:ext uri="{FF2B5EF4-FFF2-40B4-BE49-F238E27FC236}">
              <a16:creationId xmlns:a16="http://schemas.microsoft.com/office/drawing/2014/main" xmlns="" id="{00000000-0008-0000-0400-0000A4030000}"/>
            </a:ext>
          </a:extLst>
        </xdr:cNvPr>
        <xdr:cNvSpPr txBox="1"/>
      </xdr:nvSpPr>
      <xdr:spPr>
        <a:xfrm>
          <a:off x="22267794" y="64652763"/>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oneCellAnchor>
    <xdr:from>
      <xdr:col>41</xdr:col>
      <xdr:colOff>557165</xdr:colOff>
      <xdr:row>328</xdr:row>
      <xdr:rowOff>183484</xdr:rowOff>
    </xdr:from>
    <xdr:ext cx="1192695" cy="637762"/>
    <xdr:sp macro="" textlink="">
      <xdr:nvSpPr>
        <xdr:cNvPr id="933" name="TextBox 932">
          <a:extLst>
            <a:ext uri="{FF2B5EF4-FFF2-40B4-BE49-F238E27FC236}">
              <a16:creationId xmlns:a16="http://schemas.microsoft.com/office/drawing/2014/main" xmlns="" id="{00000000-0008-0000-0400-0000A5030000}"/>
            </a:ext>
          </a:extLst>
        </xdr:cNvPr>
        <xdr:cNvSpPr txBox="1"/>
      </xdr:nvSpPr>
      <xdr:spPr>
        <a:xfrm>
          <a:off x="25490684" y="67166215"/>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201013</xdr:colOff>
      <xdr:row>324</xdr:row>
      <xdr:rowOff>25159</xdr:rowOff>
    </xdr:from>
    <xdr:to>
      <xdr:col>41</xdr:col>
      <xdr:colOff>391513</xdr:colOff>
      <xdr:row>324</xdr:row>
      <xdr:rowOff>25159</xdr:rowOff>
    </xdr:to>
    <xdr:cxnSp macro="">
      <xdr:nvCxnSpPr>
        <xdr:cNvPr id="934" name="Straight Arrow Connector 933">
          <a:extLst>
            <a:ext uri="{FF2B5EF4-FFF2-40B4-BE49-F238E27FC236}">
              <a16:creationId xmlns:a16="http://schemas.microsoft.com/office/drawing/2014/main" xmlns="" id="{00000000-0008-0000-0400-0000A6030000}"/>
            </a:ext>
          </a:extLst>
        </xdr:cNvPr>
        <xdr:cNvCxnSpPr/>
      </xdr:nvCxnSpPr>
      <xdr:spPr>
        <a:xfrm>
          <a:off x="22093859" y="66121332"/>
          <a:ext cx="323117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209296</xdr:colOff>
      <xdr:row>319</xdr:row>
      <xdr:rowOff>0</xdr:rowOff>
    </xdr:from>
    <xdr:to>
      <xdr:col>36</xdr:col>
      <xdr:colOff>209296</xdr:colOff>
      <xdr:row>324</xdr:row>
      <xdr:rowOff>21655</xdr:rowOff>
    </xdr:to>
    <xdr:cxnSp macro="">
      <xdr:nvCxnSpPr>
        <xdr:cNvPr id="935" name="Straight Arrow Connector 934">
          <a:extLst>
            <a:ext uri="{FF2B5EF4-FFF2-40B4-BE49-F238E27FC236}">
              <a16:creationId xmlns:a16="http://schemas.microsoft.com/office/drawing/2014/main" xmlns="" id="{00000000-0008-0000-0400-0000A7030000}"/>
            </a:ext>
          </a:extLst>
        </xdr:cNvPr>
        <xdr:cNvCxnSpPr/>
      </xdr:nvCxnSpPr>
      <xdr:spPr>
        <a:xfrm flipV="1">
          <a:off x="22102142" y="65129019"/>
          <a:ext cx="0" cy="102544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548883</xdr:colOff>
      <xdr:row>324</xdr:row>
      <xdr:rowOff>157683</xdr:rowOff>
    </xdr:from>
    <xdr:ext cx="717274" cy="266700"/>
    <xdr:sp macro="" textlink="">
      <xdr:nvSpPr>
        <xdr:cNvPr id="936" name="TextBox 935">
          <a:hlinkClick xmlns:r="http://schemas.openxmlformats.org/officeDocument/2006/relationships" r:id="rId17"/>
          <a:extLst>
            <a:ext uri="{FF2B5EF4-FFF2-40B4-BE49-F238E27FC236}">
              <a16:creationId xmlns:a16="http://schemas.microsoft.com/office/drawing/2014/main" xmlns="" id="{00000000-0008-0000-0400-0000A8030000}"/>
            </a:ext>
          </a:extLst>
        </xdr:cNvPr>
        <xdr:cNvSpPr txBox="1"/>
      </xdr:nvSpPr>
      <xdr:spPr>
        <a:xfrm>
          <a:off x="21833595" y="66253856"/>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399797</xdr:colOff>
      <xdr:row>324</xdr:row>
      <xdr:rowOff>97153</xdr:rowOff>
    </xdr:from>
    <xdr:to>
      <xdr:col>33</xdr:col>
      <xdr:colOff>200987</xdr:colOff>
      <xdr:row>328</xdr:row>
      <xdr:rowOff>185650</xdr:rowOff>
    </xdr:to>
    <xdr:sp macro="" textlink="">
      <xdr:nvSpPr>
        <xdr:cNvPr id="937" name="Rectangle 936">
          <a:extLst>
            <a:ext uri="{FF2B5EF4-FFF2-40B4-BE49-F238E27FC236}">
              <a16:creationId xmlns:a16="http://schemas.microsoft.com/office/drawing/2014/main" xmlns="" id="{00000000-0008-0000-0400-0000A9030000}"/>
            </a:ext>
          </a:extLst>
        </xdr:cNvPr>
        <xdr:cNvSpPr/>
      </xdr:nvSpPr>
      <xdr:spPr>
        <a:xfrm>
          <a:off x="19251970" y="66229961"/>
          <a:ext cx="1017459" cy="9384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FTM1 Ext.</a:t>
          </a:r>
          <a:r>
            <a:rPr lang="en-US" sz="1100" baseline="0"/>
            <a:t> Clk. Pin Select </a:t>
          </a:r>
          <a:r>
            <a:rPr lang="en-US" sz="900"/>
            <a:t>SIM_FTMOPT0[FTM1CLKSEL]</a:t>
          </a:r>
        </a:p>
      </xdr:txBody>
    </xdr:sp>
    <xdr:clientData/>
  </xdr:twoCellAnchor>
  <xdr:oneCellAnchor>
    <xdr:from>
      <xdr:col>31</xdr:col>
      <xdr:colOff>582013</xdr:colOff>
      <xdr:row>329</xdr:row>
      <xdr:rowOff>190813</xdr:rowOff>
    </xdr:from>
    <xdr:ext cx="1192695" cy="637762"/>
    <xdr:sp macro="" textlink="">
      <xdr:nvSpPr>
        <xdr:cNvPr id="938" name="TextBox 937">
          <a:extLst>
            <a:ext uri="{FF2B5EF4-FFF2-40B4-BE49-F238E27FC236}">
              <a16:creationId xmlns:a16="http://schemas.microsoft.com/office/drawing/2014/main" xmlns="" id="{00000000-0008-0000-0400-0000AA030000}"/>
            </a:ext>
          </a:extLst>
        </xdr:cNvPr>
        <xdr:cNvSpPr txBox="1"/>
      </xdr:nvSpPr>
      <xdr:spPr>
        <a:xfrm>
          <a:off x="19434186" y="67312755"/>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31</xdr:col>
      <xdr:colOff>27079</xdr:colOff>
      <xdr:row>325</xdr:row>
      <xdr:rowOff>95244</xdr:rowOff>
    </xdr:from>
    <xdr:to>
      <xdr:col>31</xdr:col>
      <xdr:colOff>396616</xdr:colOff>
      <xdr:row>325</xdr:row>
      <xdr:rowOff>95244</xdr:rowOff>
    </xdr:to>
    <xdr:cxnSp macro="">
      <xdr:nvCxnSpPr>
        <xdr:cNvPr id="939" name="Straight Arrow Connector 938">
          <a:extLst>
            <a:ext uri="{FF2B5EF4-FFF2-40B4-BE49-F238E27FC236}">
              <a16:creationId xmlns:a16="http://schemas.microsoft.com/office/drawing/2014/main" xmlns="" id="{00000000-0008-0000-0400-0000AB030000}"/>
            </a:ext>
          </a:extLst>
        </xdr:cNvPr>
        <xdr:cNvCxnSpPr/>
      </xdr:nvCxnSpPr>
      <xdr:spPr>
        <a:xfrm>
          <a:off x="18879252" y="66440532"/>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18796</xdr:colOff>
      <xdr:row>326</xdr:row>
      <xdr:rowOff>93331</xdr:rowOff>
    </xdr:from>
    <xdr:to>
      <xdr:col>31</xdr:col>
      <xdr:colOff>388333</xdr:colOff>
      <xdr:row>326</xdr:row>
      <xdr:rowOff>93331</xdr:rowOff>
    </xdr:to>
    <xdr:cxnSp macro="">
      <xdr:nvCxnSpPr>
        <xdr:cNvPr id="940" name="Straight Arrow Connector 939">
          <a:extLst>
            <a:ext uri="{FF2B5EF4-FFF2-40B4-BE49-F238E27FC236}">
              <a16:creationId xmlns:a16="http://schemas.microsoft.com/office/drawing/2014/main" xmlns="" id="{00000000-0008-0000-0400-0000AC030000}"/>
            </a:ext>
          </a:extLst>
        </xdr:cNvPr>
        <xdr:cNvCxnSpPr/>
      </xdr:nvCxnSpPr>
      <xdr:spPr>
        <a:xfrm>
          <a:off x="18870969" y="66636446"/>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27079</xdr:colOff>
      <xdr:row>327</xdr:row>
      <xdr:rowOff>117223</xdr:rowOff>
    </xdr:from>
    <xdr:to>
      <xdr:col>31</xdr:col>
      <xdr:colOff>396616</xdr:colOff>
      <xdr:row>327</xdr:row>
      <xdr:rowOff>117223</xdr:rowOff>
    </xdr:to>
    <xdr:cxnSp macro="">
      <xdr:nvCxnSpPr>
        <xdr:cNvPr id="941" name="Straight Arrow Connector 940">
          <a:extLst>
            <a:ext uri="{FF2B5EF4-FFF2-40B4-BE49-F238E27FC236}">
              <a16:creationId xmlns:a16="http://schemas.microsoft.com/office/drawing/2014/main" xmlns="" id="{00000000-0008-0000-0400-0000AD030000}"/>
            </a:ext>
          </a:extLst>
        </xdr:cNvPr>
        <xdr:cNvCxnSpPr/>
      </xdr:nvCxnSpPr>
      <xdr:spPr>
        <a:xfrm>
          <a:off x="18879252" y="66850838"/>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408080</xdr:colOff>
      <xdr:row>324</xdr:row>
      <xdr:rowOff>175202</xdr:rowOff>
    </xdr:from>
    <xdr:ext cx="847725" cy="266700"/>
    <xdr:sp macro="" textlink="">
      <xdr:nvSpPr>
        <xdr:cNvPr id="942" name="TextBox 941">
          <a:hlinkClick xmlns:r="http://schemas.openxmlformats.org/officeDocument/2006/relationships" r:id="rId24"/>
          <a:extLst>
            <a:ext uri="{FF2B5EF4-FFF2-40B4-BE49-F238E27FC236}">
              <a16:creationId xmlns:a16="http://schemas.microsoft.com/office/drawing/2014/main" xmlns="" id="{00000000-0008-0000-0400-0000AE030000}"/>
            </a:ext>
          </a:extLst>
        </xdr:cNvPr>
        <xdr:cNvSpPr txBox="1"/>
      </xdr:nvSpPr>
      <xdr:spPr>
        <a:xfrm>
          <a:off x="17435849" y="6630801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409990</xdr:colOff>
      <xdr:row>325</xdr:row>
      <xdr:rowOff>153222</xdr:rowOff>
    </xdr:from>
    <xdr:ext cx="847725" cy="266700"/>
    <xdr:sp macro="" textlink="">
      <xdr:nvSpPr>
        <xdr:cNvPr id="943" name="TextBox 942">
          <a:hlinkClick xmlns:r="http://schemas.openxmlformats.org/officeDocument/2006/relationships" r:id="rId25"/>
          <a:extLst>
            <a:ext uri="{FF2B5EF4-FFF2-40B4-BE49-F238E27FC236}">
              <a16:creationId xmlns:a16="http://schemas.microsoft.com/office/drawing/2014/main" xmlns="" id="{00000000-0008-0000-0400-0000AF030000}"/>
            </a:ext>
          </a:extLst>
        </xdr:cNvPr>
        <xdr:cNvSpPr txBox="1"/>
      </xdr:nvSpPr>
      <xdr:spPr>
        <a:xfrm>
          <a:off x="17437759" y="6649851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416361</xdr:colOff>
      <xdr:row>326</xdr:row>
      <xdr:rowOff>153221</xdr:rowOff>
    </xdr:from>
    <xdr:ext cx="847725" cy="266700"/>
    <xdr:sp macro="" textlink="">
      <xdr:nvSpPr>
        <xdr:cNvPr id="944" name="TextBox 943">
          <a:hlinkClick xmlns:r="http://schemas.openxmlformats.org/officeDocument/2006/relationships" r:id="rId26"/>
          <a:extLst>
            <a:ext uri="{FF2B5EF4-FFF2-40B4-BE49-F238E27FC236}">
              <a16:creationId xmlns:a16="http://schemas.microsoft.com/office/drawing/2014/main" xmlns="" id="{00000000-0008-0000-0400-0000B0030000}"/>
            </a:ext>
          </a:extLst>
        </xdr:cNvPr>
        <xdr:cNvSpPr txBox="1"/>
      </xdr:nvSpPr>
      <xdr:spPr>
        <a:xfrm>
          <a:off x="17444130" y="6669633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twoCellAnchor>
    <xdr:from>
      <xdr:col>33</xdr:col>
      <xdr:colOff>201015</xdr:colOff>
      <xdr:row>326</xdr:row>
      <xdr:rowOff>124551</xdr:rowOff>
    </xdr:from>
    <xdr:to>
      <xdr:col>34</xdr:col>
      <xdr:colOff>7009</xdr:colOff>
      <xdr:row>326</xdr:row>
      <xdr:rowOff>124551</xdr:rowOff>
    </xdr:to>
    <xdr:cxnSp macro="">
      <xdr:nvCxnSpPr>
        <xdr:cNvPr id="945" name="Straight Arrow Connector 944">
          <a:extLst>
            <a:ext uri="{FF2B5EF4-FFF2-40B4-BE49-F238E27FC236}">
              <a16:creationId xmlns:a16="http://schemas.microsoft.com/office/drawing/2014/main" xmlns="" id="{00000000-0008-0000-0400-0000B1030000}"/>
            </a:ext>
          </a:extLst>
        </xdr:cNvPr>
        <xdr:cNvCxnSpPr/>
      </xdr:nvCxnSpPr>
      <xdr:spPr>
        <a:xfrm>
          <a:off x="20269457" y="66631032"/>
          <a:ext cx="4141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27078</xdr:colOff>
      <xdr:row>325</xdr:row>
      <xdr:rowOff>76765</xdr:rowOff>
    </xdr:from>
    <xdr:to>
      <xdr:col>41</xdr:col>
      <xdr:colOff>379918</xdr:colOff>
      <xdr:row>325</xdr:row>
      <xdr:rowOff>76765</xdr:rowOff>
    </xdr:to>
    <xdr:cxnSp macro="">
      <xdr:nvCxnSpPr>
        <xdr:cNvPr id="946" name="Straight Arrow Connector 945">
          <a:extLst>
            <a:ext uri="{FF2B5EF4-FFF2-40B4-BE49-F238E27FC236}">
              <a16:creationId xmlns:a16="http://schemas.microsoft.com/office/drawing/2014/main" xmlns="" id="{00000000-0008-0000-0400-0000B2030000}"/>
            </a:ext>
          </a:extLst>
        </xdr:cNvPr>
        <xdr:cNvCxnSpPr/>
      </xdr:nvCxnSpPr>
      <xdr:spPr>
        <a:xfrm>
          <a:off x="23136193" y="66385419"/>
          <a:ext cx="2177244"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250709</xdr:colOff>
      <xdr:row>331</xdr:row>
      <xdr:rowOff>9869</xdr:rowOff>
    </xdr:from>
    <xdr:to>
      <xdr:col>38</xdr:col>
      <xdr:colOff>457747</xdr:colOff>
      <xdr:row>337</xdr:row>
      <xdr:rowOff>166920</xdr:rowOff>
    </xdr:to>
    <xdr:sp macro="" textlink="">
      <xdr:nvSpPr>
        <xdr:cNvPr id="947" name="Rectangle 946">
          <a:extLst>
            <a:ext uri="{FF2B5EF4-FFF2-40B4-BE49-F238E27FC236}">
              <a16:creationId xmlns:a16="http://schemas.microsoft.com/office/drawing/2014/main" xmlns="" id="{00000000-0008-0000-0400-0000B3030000}"/>
            </a:ext>
          </a:extLst>
        </xdr:cNvPr>
        <xdr:cNvSpPr/>
      </xdr:nvSpPr>
      <xdr:spPr>
        <a:xfrm>
          <a:off x="22143555" y="67505484"/>
          <a:ext cx="1423307" cy="13000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FTM1 Ext.</a:t>
          </a:r>
          <a:r>
            <a:rPr lang="en-US" sz="1100" baseline="0"/>
            <a:t> Clk. Select </a:t>
          </a:r>
          <a:r>
            <a:rPr lang="en-US" sz="900"/>
            <a:t>PCC_FTM1[PCS]</a:t>
          </a:r>
        </a:p>
      </xdr:txBody>
    </xdr:sp>
    <xdr:clientData/>
  </xdr:twoCellAnchor>
  <xdr:twoCellAnchor>
    <xdr:from>
      <xdr:col>34</xdr:col>
      <xdr:colOff>10514</xdr:colOff>
      <xdr:row>332</xdr:row>
      <xdr:rowOff>23250</xdr:rowOff>
    </xdr:from>
    <xdr:to>
      <xdr:col>36</xdr:col>
      <xdr:colOff>225861</xdr:colOff>
      <xdr:row>332</xdr:row>
      <xdr:rowOff>23250</xdr:rowOff>
    </xdr:to>
    <xdr:cxnSp macro="">
      <xdr:nvCxnSpPr>
        <xdr:cNvPr id="948" name="Straight Arrow Connector 947">
          <a:extLst>
            <a:ext uri="{FF2B5EF4-FFF2-40B4-BE49-F238E27FC236}">
              <a16:creationId xmlns:a16="http://schemas.microsoft.com/office/drawing/2014/main" xmlns="" id="{00000000-0008-0000-0400-0000B4030000}"/>
            </a:ext>
          </a:extLst>
        </xdr:cNvPr>
        <xdr:cNvCxnSpPr/>
      </xdr:nvCxnSpPr>
      <xdr:spPr>
        <a:xfrm>
          <a:off x="20687091" y="67709365"/>
          <a:ext cx="143161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606862</xdr:colOff>
      <xdr:row>326</xdr:row>
      <xdr:rowOff>124553</xdr:rowOff>
    </xdr:from>
    <xdr:to>
      <xdr:col>33</xdr:col>
      <xdr:colOff>606862</xdr:colOff>
      <xdr:row>332</xdr:row>
      <xdr:rowOff>21981</xdr:rowOff>
    </xdr:to>
    <xdr:cxnSp macro="">
      <xdr:nvCxnSpPr>
        <xdr:cNvPr id="949" name="Straight Arrow Connector 948">
          <a:extLst>
            <a:ext uri="{FF2B5EF4-FFF2-40B4-BE49-F238E27FC236}">
              <a16:creationId xmlns:a16="http://schemas.microsoft.com/office/drawing/2014/main" xmlns="" id="{00000000-0008-0000-0400-0000B5030000}"/>
            </a:ext>
          </a:extLst>
        </xdr:cNvPr>
        <xdr:cNvCxnSpPr/>
      </xdr:nvCxnSpPr>
      <xdr:spPr>
        <a:xfrm flipV="1">
          <a:off x="20675304" y="66667668"/>
          <a:ext cx="0" cy="104042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349613</xdr:colOff>
      <xdr:row>333</xdr:row>
      <xdr:rowOff>169691</xdr:rowOff>
    </xdr:from>
    <xdr:to>
      <xdr:col>36</xdr:col>
      <xdr:colOff>203937</xdr:colOff>
      <xdr:row>333</xdr:row>
      <xdr:rowOff>169691</xdr:rowOff>
    </xdr:to>
    <xdr:cxnSp macro="">
      <xdr:nvCxnSpPr>
        <xdr:cNvPr id="950" name="Straight Arrow Connector 949">
          <a:extLst>
            <a:ext uri="{FF2B5EF4-FFF2-40B4-BE49-F238E27FC236}">
              <a16:creationId xmlns:a16="http://schemas.microsoft.com/office/drawing/2014/main" xmlns="" id="{00000000-0008-0000-0400-0000B6030000}"/>
            </a:ext>
          </a:extLst>
        </xdr:cNvPr>
        <xdr:cNvCxnSpPr/>
      </xdr:nvCxnSpPr>
      <xdr:spPr>
        <a:xfrm>
          <a:off x="16161113" y="68009672"/>
          <a:ext cx="593567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584937</xdr:colOff>
      <xdr:row>338</xdr:row>
      <xdr:rowOff>183485</xdr:rowOff>
    </xdr:from>
    <xdr:ext cx="1152526" cy="1116726"/>
    <xdr:sp macro="" textlink="">
      <xdr:nvSpPr>
        <xdr:cNvPr id="951" name="TextBox 950">
          <a:extLst>
            <a:ext uri="{FF2B5EF4-FFF2-40B4-BE49-F238E27FC236}">
              <a16:creationId xmlns:a16="http://schemas.microsoft.com/office/drawing/2014/main" xmlns="" id="{00000000-0008-0000-0400-0000B7030000}"/>
            </a:ext>
          </a:extLst>
        </xdr:cNvPr>
        <xdr:cNvSpPr txBox="1"/>
      </xdr:nvSpPr>
      <xdr:spPr>
        <a:xfrm>
          <a:off x="22477783" y="68975966"/>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324615</xdr:colOff>
      <xdr:row>334</xdr:row>
      <xdr:rowOff>181037</xdr:rowOff>
    </xdr:from>
    <xdr:to>
      <xdr:col>36</xdr:col>
      <xdr:colOff>200058</xdr:colOff>
      <xdr:row>334</xdr:row>
      <xdr:rowOff>181038</xdr:rowOff>
    </xdr:to>
    <xdr:cxnSp macro="">
      <xdr:nvCxnSpPr>
        <xdr:cNvPr id="952" name="Straight Arrow Connector 951">
          <a:extLst>
            <a:ext uri="{FF2B5EF4-FFF2-40B4-BE49-F238E27FC236}">
              <a16:creationId xmlns:a16="http://schemas.microsoft.com/office/drawing/2014/main" xmlns="" id="{00000000-0008-0000-0400-0000B8030000}"/>
            </a:ext>
          </a:extLst>
        </xdr:cNvPr>
        <xdr:cNvCxnSpPr/>
      </xdr:nvCxnSpPr>
      <xdr:spPr>
        <a:xfrm flipV="1">
          <a:off x="13703577" y="68211518"/>
          <a:ext cx="8389327"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302635</xdr:colOff>
      <xdr:row>336</xdr:row>
      <xdr:rowOff>312</xdr:rowOff>
    </xdr:from>
    <xdr:to>
      <xdr:col>36</xdr:col>
      <xdr:colOff>200058</xdr:colOff>
      <xdr:row>336</xdr:row>
      <xdr:rowOff>312</xdr:rowOff>
    </xdr:to>
    <xdr:cxnSp macro="">
      <xdr:nvCxnSpPr>
        <xdr:cNvPr id="953" name="Straight Arrow Connector 952">
          <a:extLst>
            <a:ext uri="{FF2B5EF4-FFF2-40B4-BE49-F238E27FC236}">
              <a16:creationId xmlns:a16="http://schemas.microsoft.com/office/drawing/2014/main" xmlns="" id="{00000000-0008-0000-0400-0000B9030000}"/>
            </a:ext>
          </a:extLst>
        </xdr:cNvPr>
        <xdr:cNvCxnSpPr/>
      </xdr:nvCxnSpPr>
      <xdr:spPr>
        <a:xfrm>
          <a:off x="11249058" y="68411793"/>
          <a:ext cx="10843846"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353924</xdr:colOff>
      <xdr:row>336</xdr:row>
      <xdr:rowOff>176158</xdr:rowOff>
    </xdr:from>
    <xdr:to>
      <xdr:col>36</xdr:col>
      <xdr:colOff>214712</xdr:colOff>
      <xdr:row>336</xdr:row>
      <xdr:rowOff>176159</xdr:rowOff>
    </xdr:to>
    <xdr:cxnSp macro="">
      <xdr:nvCxnSpPr>
        <xdr:cNvPr id="954" name="Straight Arrow Connector 953">
          <a:extLst>
            <a:ext uri="{FF2B5EF4-FFF2-40B4-BE49-F238E27FC236}">
              <a16:creationId xmlns:a16="http://schemas.microsoft.com/office/drawing/2014/main" xmlns="" id="{00000000-0008-0000-0400-0000BA030000}"/>
            </a:ext>
          </a:extLst>
        </xdr:cNvPr>
        <xdr:cNvCxnSpPr/>
      </xdr:nvCxnSpPr>
      <xdr:spPr>
        <a:xfrm flipV="1">
          <a:off x="8867809" y="68587639"/>
          <a:ext cx="13239749"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456501</xdr:colOff>
      <xdr:row>335</xdr:row>
      <xdr:rowOff>29620</xdr:rowOff>
    </xdr:from>
    <xdr:to>
      <xdr:col>40</xdr:col>
      <xdr:colOff>185404</xdr:colOff>
      <xdr:row>335</xdr:row>
      <xdr:rowOff>29620</xdr:rowOff>
    </xdr:to>
    <xdr:cxnSp macro="">
      <xdr:nvCxnSpPr>
        <xdr:cNvPr id="955" name="Straight Arrow Connector 954">
          <a:extLst>
            <a:ext uri="{FF2B5EF4-FFF2-40B4-BE49-F238E27FC236}">
              <a16:creationId xmlns:a16="http://schemas.microsoft.com/office/drawing/2014/main" xmlns="" id="{00000000-0008-0000-0400-0000BB030000}"/>
            </a:ext>
          </a:extLst>
        </xdr:cNvPr>
        <xdr:cNvCxnSpPr/>
      </xdr:nvCxnSpPr>
      <xdr:spPr>
        <a:xfrm>
          <a:off x="23565616" y="68287235"/>
          <a:ext cx="9451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192731</xdr:colOff>
      <xdr:row>327</xdr:row>
      <xdr:rowOff>88235</xdr:rowOff>
    </xdr:from>
    <xdr:to>
      <xdr:col>40</xdr:col>
      <xdr:colOff>192731</xdr:colOff>
      <xdr:row>335</xdr:row>
      <xdr:rowOff>36635</xdr:rowOff>
    </xdr:to>
    <xdr:cxnSp macro="">
      <xdr:nvCxnSpPr>
        <xdr:cNvPr id="956" name="Straight Arrow Connector 955">
          <a:extLst>
            <a:ext uri="{FF2B5EF4-FFF2-40B4-BE49-F238E27FC236}">
              <a16:creationId xmlns:a16="http://schemas.microsoft.com/office/drawing/2014/main" xmlns="" id="{00000000-0008-0000-0400-0000BC030000}"/>
            </a:ext>
          </a:extLst>
        </xdr:cNvPr>
        <xdr:cNvCxnSpPr/>
      </xdr:nvCxnSpPr>
      <xdr:spPr>
        <a:xfrm flipV="1">
          <a:off x="24518116" y="66821850"/>
          <a:ext cx="0" cy="147240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178077</xdr:colOff>
      <xdr:row>327</xdr:row>
      <xdr:rowOff>73581</xdr:rowOff>
    </xdr:from>
    <xdr:to>
      <xdr:col>41</xdr:col>
      <xdr:colOff>405212</xdr:colOff>
      <xdr:row>327</xdr:row>
      <xdr:rowOff>73581</xdr:rowOff>
    </xdr:to>
    <xdr:cxnSp macro="">
      <xdr:nvCxnSpPr>
        <xdr:cNvPr id="957" name="Straight Arrow Connector 956">
          <a:extLst>
            <a:ext uri="{FF2B5EF4-FFF2-40B4-BE49-F238E27FC236}">
              <a16:creationId xmlns:a16="http://schemas.microsoft.com/office/drawing/2014/main" xmlns="" id="{00000000-0008-0000-0400-0000BD030000}"/>
            </a:ext>
          </a:extLst>
        </xdr:cNvPr>
        <xdr:cNvCxnSpPr/>
      </xdr:nvCxnSpPr>
      <xdr:spPr>
        <a:xfrm>
          <a:off x="24503462" y="66770562"/>
          <a:ext cx="8352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339270</xdr:colOff>
      <xdr:row>332</xdr:row>
      <xdr:rowOff>80908</xdr:rowOff>
    </xdr:from>
    <xdr:ext cx="1209261" cy="266700"/>
    <xdr:sp macro="" textlink="">
      <xdr:nvSpPr>
        <xdr:cNvPr id="958" name="TextBox 957">
          <a:extLst>
            <a:ext uri="{FF2B5EF4-FFF2-40B4-BE49-F238E27FC236}">
              <a16:creationId xmlns:a16="http://schemas.microsoft.com/office/drawing/2014/main" xmlns="" id="{00000000-0008-0000-0400-0000BE030000}"/>
            </a:ext>
          </a:extLst>
        </xdr:cNvPr>
        <xdr:cNvSpPr txBox="1"/>
      </xdr:nvSpPr>
      <xdr:spPr>
        <a:xfrm>
          <a:off x="23448385" y="67730389"/>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18796</xdr:colOff>
      <xdr:row>322</xdr:row>
      <xdr:rowOff>176158</xdr:rowOff>
    </xdr:from>
    <xdr:to>
      <xdr:col>49</xdr:col>
      <xdr:colOff>452363</xdr:colOff>
      <xdr:row>322</xdr:row>
      <xdr:rowOff>176158</xdr:rowOff>
    </xdr:to>
    <xdr:cxnSp macro="">
      <xdr:nvCxnSpPr>
        <xdr:cNvPr id="959" name="Straight Arrow Connector 958">
          <a:extLst>
            <a:ext uri="{FF2B5EF4-FFF2-40B4-BE49-F238E27FC236}">
              <a16:creationId xmlns:a16="http://schemas.microsoft.com/office/drawing/2014/main" xmlns="" id="{00000000-0008-0000-0400-0000BF030000}"/>
            </a:ext>
          </a:extLst>
        </xdr:cNvPr>
        <xdr:cNvCxnSpPr/>
      </xdr:nvCxnSpPr>
      <xdr:spPr>
        <a:xfrm>
          <a:off x="29817392" y="65876677"/>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29633</xdr:colOff>
      <xdr:row>322</xdr:row>
      <xdr:rowOff>175846</xdr:rowOff>
    </xdr:from>
    <xdr:to>
      <xdr:col>49</xdr:col>
      <xdr:colOff>29633</xdr:colOff>
      <xdr:row>326</xdr:row>
      <xdr:rowOff>36947</xdr:rowOff>
    </xdr:to>
    <xdr:cxnSp macro="">
      <xdr:nvCxnSpPr>
        <xdr:cNvPr id="960" name="Straight Arrow Connector 959">
          <a:extLst>
            <a:ext uri="{FF2B5EF4-FFF2-40B4-BE49-F238E27FC236}">
              <a16:creationId xmlns:a16="http://schemas.microsoft.com/office/drawing/2014/main" xmlns="" id="{00000000-0008-0000-0400-0000C0030000}"/>
            </a:ext>
          </a:extLst>
        </xdr:cNvPr>
        <xdr:cNvCxnSpPr/>
      </xdr:nvCxnSpPr>
      <xdr:spPr>
        <a:xfrm flipV="1">
          <a:off x="29828229" y="65913000"/>
          <a:ext cx="0" cy="68171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222039</xdr:colOff>
      <xdr:row>326</xdr:row>
      <xdr:rowOff>22293</xdr:rowOff>
    </xdr:from>
    <xdr:to>
      <xdr:col>45</xdr:col>
      <xdr:colOff>391514</xdr:colOff>
      <xdr:row>326</xdr:row>
      <xdr:rowOff>22293</xdr:rowOff>
    </xdr:to>
    <xdr:cxnSp macro="">
      <xdr:nvCxnSpPr>
        <xdr:cNvPr id="961" name="Straight Arrow Connector 960">
          <a:extLst>
            <a:ext uri="{FF2B5EF4-FFF2-40B4-BE49-F238E27FC236}">
              <a16:creationId xmlns:a16="http://schemas.microsoft.com/office/drawing/2014/main" xmlns="" id="{00000000-0008-0000-0400-0000C1030000}"/>
            </a:ext>
          </a:extLst>
        </xdr:cNvPr>
        <xdr:cNvCxnSpPr/>
      </xdr:nvCxnSpPr>
      <xdr:spPr>
        <a:xfrm>
          <a:off x="26371827" y="66528774"/>
          <a:ext cx="13857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416362</xdr:colOff>
      <xdr:row>323</xdr:row>
      <xdr:rowOff>70395</xdr:rowOff>
    </xdr:from>
    <xdr:to>
      <xdr:col>47</xdr:col>
      <xdr:colOff>217552</xdr:colOff>
      <xdr:row>327</xdr:row>
      <xdr:rowOff>184698</xdr:rowOff>
    </xdr:to>
    <xdr:sp macro="" textlink="">
      <xdr:nvSpPr>
        <xdr:cNvPr id="962" name="Rectangle 961">
          <a:extLst>
            <a:ext uri="{FF2B5EF4-FFF2-40B4-BE49-F238E27FC236}">
              <a16:creationId xmlns:a16="http://schemas.microsoft.com/office/drawing/2014/main" xmlns="" id="{00000000-0008-0000-0400-0000C2030000}"/>
            </a:ext>
          </a:extLst>
        </xdr:cNvPr>
        <xdr:cNvSpPr/>
      </xdr:nvSpPr>
      <xdr:spPr>
        <a:xfrm>
          <a:off x="27782420" y="66005376"/>
          <a:ext cx="1017459" cy="949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FTM1 Clock Prescaler</a:t>
          </a:r>
        </a:p>
        <a:p>
          <a:pPr algn="ctr"/>
          <a:r>
            <a:rPr lang="en-US" sz="900"/>
            <a:t>FTM1_SC[PS]</a:t>
          </a:r>
        </a:p>
      </xdr:txBody>
    </xdr:sp>
    <xdr:clientData/>
  </xdr:twoCellAnchor>
  <xdr:oneCellAnchor>
    <xdr:from>
      <xdr:col>45</xdr:col>
      <xdr:colOff>582014</xdr:colOff>
      <xdr:row>328</xdr:row>
      <xdr:rowOff>191766</xdr:rowOff>
    </xdr:from>
    <xdr:ext cx="1432891" cy="1143001"/>
    <xdr:sp macro="" textlink="">
      <xdr:nvSpPr>
        <xdr:cNvPr id="963" name="TextBox 962">
          <a:extLst>
            <a:ext uri="{FF2B5EF4-FFF2-40B4-BE49-F238E27FC236}">
              <a16:creationId xmlns:a16="http://schemas.microsoft.com/office/drawing/2014/main" xmlns="" id="{00000000-0008-0000-0400-0000C3030000}"/>
            </a:ext>
          </a:extLst>
        </xdr:cNvPr>
        <xdr:cNvSpPr txBox="1"/>
      </xdr:nvSpPr>
      <xdr:spPr>
        <a:xfrm>
          <a:off x="27948072" y="67174497"/>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234144</xdr:colOff>
      <xdr:row>326</xdr:row>
      <xdr:rowOff>33442</xdr:rowOff>
    </xdr:from>
    <xdr:to>
      <xdr:col>49</xdr:col>
      <xdr:colOff>36635</xdr:colOff>
      <xdr:row>326</xdr:row>
      <xdr:rowOff>33442</xdr:rowOff>
    </xdr:to>
    <xdr:cxnSp macro="">
      <xdr:nvCxnSpPr>
        <xdr:cNvPr id="964" name="Straight Arrow Connector 963">
          <a:extLst>
            <a:ext uri="{FF2B5EF4-FFF2-40B4-BE49-F238E27FC236}">
              <a16:creationId xmlns:a16="http://schemas.microsoft.com/office/drawing/2014/main" xmlns="" id="{00000000-0008-0000-0400-0000C4030000}"/>
            </a:ext>
          </a:extLst>
        </xdr:cNvPr>
        <xdr:cNvCxnSpPr/>
      </xdr:nvCxnSpPr>
      <xdr:spPr>
        <a:xfrm>
          <a:off x="28816471" y="66591211"/>
          <a:ext cx="101876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7327</xdr:colOff>
      <xdr:row>329</xdr:row>
      <xdr:rowOff>175846</xdr:rowOff>
    </xdr:from>
    <xdr:ext cx="596347" cy="266700"/>
    <xdr:sp macro="" textlink="">
      <xdr:nvSpPr>
        <xdr:cNvPr id="965" name="TextBox 964">
          <a:extLst>
            <a:ext uri="{FF2B5EF4-FFF2-40B4-BE49-F238E27FC236}">
              <a16:creationId xmlns:a16="http://schemas.microsoft.com/office/drawing/2014/main" xmlns="" id="{00000000-0008-0000-0400-0000C5030000}"/>
            </a:ext>
          </a:extLst>
        </xdr:cNvPr>
        <xdr:cNvSpPr txBox="1"/>
      </xdr:nvSpPr>
      <xdr:spPr>
        <a:xfrm>
          <a:off x="20683904" y="67371058"/>
          <a:ext cx="596347"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twoCellAnchor>
    <xdr:from>
      <xdr:col>49</xdr:col>
      <xdr:colOff>433211</xdr:colOff>
      <xdr:row>344</xdr:row>
      <xdr:rowOff>30105</xdr:rowOff>
    </xdr:from>
    <xdr:to>
      <xdr:col>51</xdr:col>
      <xdr:colOff>256307</xdr:colOff>
      <xdr:row>349</xdr:row>
      <xdr:rowOff>175314</xdr:rowOff>
    </xdr:to>
    <xdr:grpSp>
      <xdr:nvGrpSpPr>
        <xdr:cNvPr id="980" name="Group 979">
          <a:extLst>
            <a:ext uri="{FF2B5EF4-FFF2-40B4-BE49-F238E27FC236}">
              <a16:creationId xmlns:a16="http://schemas.microsoft.com/office/drawing/2014/main" xmlns="" id="{00000000-0008-0000-0400-0000D4030000}"/>
            </a:ext>
          </a:extLst>
        </xdr:cNvPr>
        <xdr:cNvGrpSpPr/>
      </xdr:nvGrpSpPr>
      <xdr:grpSpPr>
        <a:xfrm>
          <a:off x="31621423" y="65857940"/>
          <a:ext cx="1096084" cy="1104433"/>
          <a:chOff x="25270558" y="29007288"/>
          <a:chExt cx="1039366" cy="981684"/>
        </a:xfrm>
      </xdr:grpSpPr>
      <xdr:grpSp>
        <xdr:nvGrpSpPr>
          <xdr:cNvPr id="981" name="Group 980">
            <a:extLst>
              <a:ext uri="{FF2B5EF4-FFF2-40B4-BE49-F238E27FC236}">
                <a16:creationId xmlns:a16="http://schemas.microsoft.com/office/drawing/2014/main" xmlns="" id="{00000000-0008-0000-0400-0000D5030000}"/>
              </a:ext>
            </a:extLst>
          </xdr:cNvPr>
          <xdr:cNvGrpSpPr/>
        </xdr:nvGrpSpPr>
        <xdr:grpSpPr>
          <a:xfrm>
            <a:off x="25270558" y="29007288"/>
            <a:ext cx="1039366" cy="981076"/>
            <a:chOff x="588526" y="190500"/>
            <a:chExt cx="1036410" cy="734695"/>
          </a:xfrm>
        </xdr:grpSpPr>
        <xdr:sp macro="" textlink="">
          <xdr:nvSpPr>
            <xdr:cNvPr id="983" name="Rectangle 982">
              <a:extLst>
                <a:ext uri="{FF2B5EF4-FFF2-40B4-BE49-F238E27FC236}">
                  <a16:creationId xmlns:a16="http://schemas.microsoft.com/office/drawing/2014/main" xmlns="" id="{00000000-0008-0000-0400-0000D7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FTM2</a:t>
              </a:r>
            </a:p>
          </xdr:txBody>
        </xdr:sp>
        <xdr:sp macro="" textlink="">
          <xdr:nvSpPr>
            <xdr:cNvPr id="984" name="TextBox 983">
              <a:extLst>
                <a:ext uri="{FF2B5EF4-FFF2-40B4-BE49-F238E27FC236}">
                  <a16:creationId xmlns:a16="http://schemas.microsoft.com/office/drawing/2014/main" xmlns="" id="{00000000-0008-0000-0400-0000D8030000}"/>
                </a:ext>
              </a:extLst>
            </xdr:cNvPr>
            <xdr:cNvSpPr txBox="1"/>
          </xdr:nvSpPr>
          <xdr:spPr>
            <a:xfrm>
              <a:off x="588526" y="208941"/>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982" name="TextBox 981">
            <a:extLst>
              <a:ext uri="{FF2B5EF4-FFF2-40B4-BE49-F238E27FC236}">
                <a16:creationId xmlns:a16="http://schemas.microsoft.com/office/drawing/2014/main" xmlns="" id="{00000000-0008-0000-0400-0000D603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337039</xdr:colOff>
      <xdr:row>344</xdr:row>
      <xdr:rowOff>10825</xdr:rowOff>
    </xdr:from>
    <xdr:to>
      <xdr:col>33</xdr:col>
      <xdr:colOff>391514</xdr:colOff>
      <xdr:row>344</xdr:row>
      <xdr:rowOff>10825</xdr:rowOff>
    </xdr:to>
    <xdr:cxnSp macro="">
      <xdr:nvCxnSpPr>
        <xdr:cNvPr id="985" name="Straight Arrow Connector 984">
          <a:extLst>
            <a:ext uri="{FF2B5EF4-FFF2-40B4-BE49-F238E27FC236}">
              <a16:creationId xmlns:a16="http://schemas.microsoft.com/office/drawing/2014/main" xmlns="" id="{00000000-0008-0000-0400-0000D9030000}"/>
            </a:ext>
          </a:extLst>
        </xdr:cNvPr>
        <xdr:cNvCxnSpPr/>
      </xdr:nvCxnSpPr>
      <xdr:spPr>
        <a:xfrm>
          <a:off x="7634654" y="70217402"/>
          <a:ext cx="12825302"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391514</xdr:colOff>
      <xdr:row>342</xdr:row>
      <xdr:rowOff>29302</xdr:rowOff>
    </xdr:from>
    <xdr:to>
      <xdr:col>35</xdr:col>
      <xdr:colOff>192703</xdr:colOff>
      <xdr:row>346</xdr:row>
      <xdr:rowOff>170044</xdr:rowOff>
    </xdr:to>
    <xdr:sp macro="" textlink="">
      <xdr:nvSpPr>
        <xdr:cNvPr id="986" name="Rectangle 985">
          <a:extLst>
            <a:ext uri="{FF2B5EF4-FFF2-40B4-BE49-F238E27FC236}">
              <a16:creationId xmlns:a16="http://schemas.microsoft.com/office/drawing/2014/main" xmlns="" id="{00000000-0008-0000-0400-0000DA030000}"/>
            </a:ext>
          </a:extLst>
        </xdr:cNvPr>
        <xdr:cNvSpPr/>
      </xdr:nvSpPr>
      <xdr:spPr>
        <a:xfrm>
          <a:off x="20459956" y="69847552"/>
          <a:ext cx="1017459" cy="9027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FTM2 Clock</a:t>
          </a:r>
          <a:r>
            <a:rPr lang="en-US" sz="1100" baseline="0"/>
            <a:t> Enable</a:t>
          </a:r>
        </a:p>
        <a:p>
          <a:pPr algn="ctr"/>
          <a:r>
            <a:rPr lang="en-US" sz="900"/>
            <a:t>PCC_FTM2[CGC]</a:t>
          </a:r>
        </a:p>
      </xdr:txBody>
    </xdr:sp>
    <xdr:clientData/>
  </xdr:twoCellAnchor>
  <xdr:oneCellAnchor>
    <xdr:from>
      <xdr:col>33</xdr:col>
      <xdr:colOff>565448</xdr:colOff>
      <xdr:row>347</xdr:row>
      <xdr:rowOff>199095</xdr:rowOff>
    </xdr:from>
    <xdr:ext cx="860534" cy="367862"/>
    <xdr:sp macro="" textlink="">
      <xdr:nvSpPr>
        <xdr:cNvPr id="987" name="TextBox 986">
          <a:extLst>
            <a:ext uri="{FF2B5EF4-FFF2-40B4-BE49-F238E27FC236}">
              <a16:creationId xmlns:a16="http://schemas.microsoft.com/office/drawing/2014/main" xmlns="" id="{00000000-0008-0000-0400-0000DB030000}"/>
            </a:ext>
          </a:extLst>
        </xdr:cNvPr>
        <xdr:cNvSpPr txBox="1"/>
      </xdr:nvSpPr>
      <xdr:spPr>
        <a:xfrm>
          <a:off x="20633890" y="70977172"/>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192731</xdr:colOff>
      <xdr:row>345</xdr:row>
      <xdr:rowOff>14011</xdr:rowOff>
    </xdr:from>
    <xdr:to>
      <xdr:col>49</xdr:col>
      <xdr:colOff>441209</xdr:colOff>
      <xdr:row>345</xdr:row>
      <xdr:rowOff>14011</xdr:rowOff>
    </xdr:to>
    <xdr:cxnSp macro="">
      <xdr:nvCxnSpPr>
        <xdr:cNvPr id="988" name="Straight Arrow Connector 987">
          <a:extLst>
            <a:ext uri="{FF2B5EF4-FFF2-40B4-BE49-F238E27FC236}">
              <a16:creationId xmlns:a16="http://schemas.microsoft.com/office/drawing/2014/main" xmlns="" id="{00000000-0008-0000-0400-0000DC030000}"/>
            </a:ext>
          </a:extLst>
        </xdr:cNvPr>
        <xdr:cNvCxnSpPr/>
      </xdr:nvCxnSpPr>
      <xdr:spPr>
        <a:xfrm>
          <a:off x="21477443" y="70433069"/>
          <a:ext cx="87623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399796</xdr:colOff>
      <xdr:row>349</xdr:row>
      <xdr:rowOff>166603</xdr:rowOff>
    </xdr:from>
    <xdr:to>
      <xdr:col>43</xdr:col>
      <xdr:colOff>200986</xdr:colOff>
      <xdr:row>354</xdr:row>
      <xdr:rowOff>163675</xdr:rowOff>
    </xdr:to>
    <xdr:sp macro="" textlink="">
      <xdr:nvSpPr>
        <xdr:cNvPr id="989" name="Rectangle 988">
          <a:extLst>
            <a:ext uri="{FF2B5EF4-FFF2-40B4-BE49-F238E27FC236}">
              <a16:creationId xmlns:a16="http://schemas.microsoft.com/office/drawing/2014/main" xmlns="" id="{00000000-0008-0000-0400-0000DD030000}"/>
            </a:ext>
          </a:extLst>
        </xdr:cNvPr>
        <xdr:cNvSpPr/>
      </xdr:nvSpPr>
      <xdr:spPr>
        <a:xfrm>
          <a:off x="25333315" y="71391622"/>
          <a:ext cx="1017459" cy="9862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FTM2 Clock Select</a:t>
          </a:r>
        </a:p>
        <a:p>
          <a:pPr algn="ctr"/>
          <a:r>
            <a:rPr lang="en-US" sz="900"/>
            <a:t>FTM2_SC[CLKS]</a:t>
          </a:r>
        </a:p>
      </xdr:txBody>
    </xdr:sp>
    <xdr:clientData/>
  </xdr:twoCellAnchor>
  <xdr:oneCellAnchor>
    <xdr:from>
      <xdr:col>41</xdr:col>
      <xdr:colOff>557165</xdr:colOff>
      <xdr:row>355</xdr:row>
      <xdr:rowOff>198140</xdr:rowOff>
    </xdr:from>
    <xdr:ext cx="1192695" cy="637762"/>
    <xdr:sp macro="" textlink="">
      <xdr:nvSpPr>
        <xdr:cNvPr id="990" name="TextBox 989">
          <a:extLst>
            <a:ext uri="{FF2B5EF4-FFF2-40B4-BE49-F238E27FC236}">
              <a16:creationId xmlns:a16="http://schemas.microsoft.com/office/drawing/2014/main" xmlns="" id="{00000000-0008-0000-0400-0000DE030000}"/>
            </a:ext>
          </a:extLst>
        </xdr:cNvPr>
        <xdr:cNvSpPr txBox="1"/>
      </xdr:nvSpPr>
      <xdr:spPr>
        <a:xfrm>
          <a:off x="25490684" y="72661409"/>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219808</xdr:colOff>
      <xdr:row>350</xdr:row>
      <xdr:rowOff>69122</xdr:rowOff>
    </xdr:from>
    <xdr:to>
      <xdr:col>41</xdr:col>
      <xdr:colOff>391513</xdr:colOff>
      <xdr:row>350</xdr:row>
      <xdr:rowOff>69122</xdr:rowOff>
    </xdr:to>
    <xdr:cxnSp macro="">
      <xdr:nvCxnSpPr>
        <xdr:cNvPr id="991" name="Straight Arrow Connector 990">
          <a:extLst>
            <a:ext uri="{FF2B5EF4-FFF2-40B4-BE49-F238E27FC236}">
              <a16:creationId xmlns:a16="http://schemas.microsoft.com/office/drawing/2014/main" xmlns="" id="{00000000-0008-0000-0400-0000DF030000}"/>
            </a:ext>
          </a:extLst>
        </xdr:cNvPr>
        <xdr:cNvCxnSpPr/>
      </xdr:nvCxnSpPr>
      <xdr:spPr>
        <a:xfrm>
          <a:off x="22112654" y="71484641"/>
          <a:ext cx="32123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209296</xdr:colOff>
      <xdr:row>345</xdr:row>
      <xdr:rowOff>0</xdr:rowOff>
    </xdr:from>
    <xdr:to>
      <xdr:col>36</xdr:col>
      <xdr:colOff>209296</xdr:colOff>
      <xdr:row>350</xdr:row>
      <xdr:rowOff>65618</xdr:rowOff>
    </xdr:to>
    <xdr:cxnSp macro="">
      <xdr:nvCxnSpPr>
        <xdr:cNvPr id="992" name="Straight Arrow Connector 991">
          <a:extLst>
            <a:ext uri="{FF2B5EF4-FFF2-40B4-BE49-F238E27FC236}">
              <a16:creationId xmlns:a16="http://schemas.microsoft.com/office/drawing/2014/main" xmlns="" id="{00000000-0008-0000-0400-0000E0030000}"/>
            </a:ext>
          </a:extLst>
        </xdr:cNvPr>
        <xdr:cNvCxnSpPr/>
      </xdr:nvCxnSpPr>
      <xdr:spPr>
        <a:xfrm flipV="1">
          <a:off x="22102142" y="70419058"/>
          <a:ext cx="0" cy="106207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548883</xdr:colOff>
      <xdr:row>350</xdr:row>
      <xdr:rowOff>165011</xdr:rowOff>
    </xdr:from>
    <xdr:ext cx="717274" cy="266700"/>
    <xdr:sp macro="" textlink="">
      <xdr:nvSpPr>
        <xdr:cNvPr id="993" name="TextBox 992">
          <a:hlinkClick xmlns:r="http://schemas.openxmlformats.org/officeDocument/2006/relationships" r:id="rId17"/>
          <a:extLst>
            <a:ext uri="{FF2B5EF4-FFF2-40B4-BE49-F238E27FC236}">
              <a16:creationId xmlns:a16="http://schemas.microsoft.com/office/drawing/2014/main" xmlns="" id="{00000000-0008-0000-0400-0000E1030000}"/>
            </a:ext>
          </a:extLst>
        </xdr:cNvPr>
        <xdr:cNvSpPr txBox="1"/>
      </xdr:nvSpPr>
      <xdr:spPr>
        <a:xfrm>
          <a:off x="21833595" y="71580530"/>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399797</xdr:colOff>
      <xdr:row>350</xdr:row>
      <xdr:rowOff>177751</xdr:rowOff>
    </xdr:from>
    <xdr:to>
      <xdr:col>33</xdr:col>
      <xdr:colOff>200987</xdr:colOff>
      <xdr:row>355</xdr:row>
      <xdr:rowOff>163671</xdr:rowOff>
    </xdr:to>
    <xdr:sp macro="" textlink="">
      <xdr:nvSpPr>
        <xdr:cNvPr id="994" name="Rectangle 993">
          <a:extLst>
            <a:ext uri="{FF2B5EF4-FFF2-40B4-BE49-F238E27FC236}">
              <a16:creationId xmlns:a16="http://schemas.microsoft.com/office/drawing/2014/main" xmlns="" id="{00000000-0008-0000-0400-0000E2030000}"/>
            </a:ext>
          </a:extLst>
        </xdr:cNvPr>
        <xdr:cNvSpPr/>
      </xdr:nvSpPr>
      <xdr:spPr>
        <a:xfrm>
          <a:off x="19251970" y="71593270"/>
          <a:ext cx="1017459" cy="9750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FTM2 Ext.</a:t>
          </a:r>
          <a:r>
            <a:rPr lang="en-US" sz="1100" baseline="0"/>
            <a:t> Clk. Pin Select </a:t>
          </a:r>
          <a:r>
            <a:rPr lang="en-US" sz="900"/>
            <a:t>SIM_FTMOPT0[FTM2CLKSEL]</a:t>
          </a:r>
        </a:p>
      </xdr:txBody>
    </xdr:sp>
    <xdr:clientData/>
  </xdr:twoCellAnchor>
  <xdr:oneCellAnchor>
    <xdr:from>
      <xdr:col>31</xdr:col>
      <xdr:colOff>582013</xdr:colOff>
      <xdr:row>356</xdr:row>
      <xdr:rowOff>183488</xdr:rowOff>
    </xdr:from>
    <xdr:ext cx="1192695" cy="637762"/>
    <xdr:sp macro="" textlink="">
      <xdr:nvSpPr>
        <xdr:cNvPr id="995" name="TextBox 994">
          <a:extLst>
            <a:ext uri="{FF2B5EF4-FFF2-40B4-BE49-F238E27FC236}">
              <a16:creationId xmlns:a16="http://schemas.microsoft.com/office/drawing/2014/main" xmlns="" id="{00000000-0008-0000-0400-0000E3030000}"/>
            </a:ext>
          </a:extLst>
        </xdr:cNvPr>
        <xdr:cNvSpPr txBox="1"/>
      </xdr:nvSpPr>
      <xdr:spPr>
        <a:xfrm>
          <a:off x="19434186" y="72859238"/>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31</xdr:col>
      <xdr:colOff>27079</xdr:colOff>
      <xdr:row>352</xdr:row>
      <xdr:rowOff>87919</xdr:rowOff>
    </xdr:from>
    <xdr:to>
      <xdr:col>31</xdr:col>
      <xdr:colOff>396616</xdr:colOff>
      <xdr:row>352</xdr:row>
      <xdr:rowOff>87919</xdr:rowOff>
    </xdr:to>
    <xdr:cxnSp macro="">
      <xdr:nvCxnSpPr>
        <xdr:cNvPr id="996" name="Straight Arrow Connector 995">
          <a:extLst>
            <a:ext uri="{FF2B5EF4-FFF2-40B4-BE49-F238E27FC236}">
              <a16:creationId xmlns:a16="http://schemas.microsoft.com/office/drawing/2014/main" xmlns="" id="{00000000-0008-0000-0400-0000E4030000}"/>
            </a:ext>
          </a:extLst>
        </xdr:cNvPr>
        <xdr:cNvCxnSpPr/>
      </xdr:nvCxnSpPr>
      <xdr:spPr>
        <a:xfrm>
          <a:off x="18879252" y="71913746"/>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18796</xdr:colOff>
      <xdr:row>353</xdr:row>
      <xdr:rowOff>86006</xdr:rowOff>
    </xdr:from>
    <xdr:to>
      <xdr:col>31</xdr:col>
      <xdr:colOff>388333</xdr:colOff>
      <xdr:row>353</xdr:row>
      <xdr:rowOff>86006</xdr:rowOff>
    </xdr:to>
    <xdr:cxnSp macro="">
      <xdr:nvCxnSpPr>
        <xdr:cNvPr id="997" name="Straight Arrow Connector 996">
          <a:extLst>
            <a:ext uri="{FF2B5EF4-FFF2-40B4-BE49-F238E27FC236}">
              <a16:creationId xmlns:a16="http://schemas.microsoft.com/office/drawing/2014/main" xmlns="" id="{00000000-0008-0000-0400-0000E5030000}"/>
            </a:ext>
          </a:extLst>
        </xdr:cNvPr>
        <xdr:cNvCxnSpPr/>
      </xdr:nvCxnSpPr>
      <xdr:spPr>
        <a:xfrm>
          <a:off x="18870969" y="72109660"/>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19752</xdr:colOff>
      <xdr:row>354</xdr:row>
      <xdr:rowOff>87917</xdr:rowOff>
    </xdr:from>
    <xdr:to>
      <xdr:col>31</xdr:col>
      <xdr:colOff>389289</xdr:colOff>
      <xdr:row>354</xdr:row>
      <xdr:rowOff>87917</xdr:rowOff>
    </xdr:to>
    <xdr:cxnSp macro="">
      <xdr:nvCxnSpPr>
        <xdr:cNvPr id="998" name="Straight Arrow Connector 997">
          <a:extLst>
            <a:ext uri="{FF2B5EF4-FFF2-40B4-BE49-F238E27FC236}">
              <a16:creationId xmlns:a16="http://schemas.microsoft.com/office/drawing/2014/main" xmlns="" id="{00000000-0008-0000-0400-0000E6030000}"/>
            </a:ext>
          </a:extLst>
        </xdr:cNvPr>
        <xdr:cNvCxnSpPr/>
      </xdr:nvCxnSpPr>
      <xdr:spPr>
        <a:xfrm>
          <a:off x="18871925" y="72302071"/>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408080</xdr:colOff>
      <xdr:row>351</xdr:row>
      <xdr:rowOff>167878</xdr:rowOff>
    </xdr:from>
    <xdr:ext cx="847725" cy="266700"/>
    <xdr:sp macro="" textlink="">
      <xdr:nvSpPr>
        <xdr:cNvPr id="999" name="TextBox 998">
          <a:hlinkClick xmlns:r="http://schemas.openxmlformats.org/officeDocument/2006/relationships" r:id="rId24"/>
          <a:extLst>
            <a:ext uri="{FF2B5EF4-FFF2-40B4-BE49-F238E27FC236}">
              <a16:creationId xmlns:a16="http://schemas.microsoft.com/office/drawing/2014/main" xmlns="" id="{00000000-0008-0000-0400-0000E7030000}"/>
            </a:ext>
          </a:extLst>
        </xdr:cNvPr>
        <xdr:cNvSpPr txBox="1"/>
      </xdr:nvSpPr>
      <xdr:spPr>
        <a:xfrm>
          <a:off x="17435849" y="71781224"/>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409990</xdr:colOff>
      <xdr:row>352</xdr:row>
      <xdr:rowOff>145897</xdr:rowOff>
    </xdr:from>
    <xdr:ext cx="847725" cy="266700"/>
    <xdr:sp macro="" textlink="">
      <xdr:nvSpPr>
        <xdr:cNvPr id="1000" name="TextBox 999">
          <a:hlinkClick xmlns:r="http://schemas.openxmlformats.org/officeDocument/2006/relationships" r:id="rId25"/>
          <a:extLst>
            <a:ext uri="{FF2B5EF4-FFF2-40B4-BE49-F238E27FC236}">
              <a16:creationId xmlns:a16="http://schemas.microsoft.com/office/drawing/2014/main" xmlns="" id="{00000000-0008-0000-0400-0000E8030000}"/>
            </a:ext>
          </a:extLst>
        </xdr:cNvPr>
        <xdr:cNvSpPr txBox="1"/>
      </xdr:nvSpPr>
      <xdr:spPr>
        <a:xfrm>
          <a:off x="17437759" y="71971724"/>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416361</xdr:colOff>
      <xdr:row>353</xdr:row>
      <xdr:rowOff>153223</xdr:rowOff>
    </xdr:from>
    <xdr:ext cx="847725" cy="266700"/>
    <xdr:sp macro="" textlink="">
      <xdr:nvSpPr>
        <xdr:cNvPr id="1001" name="TextBox 1000">
          <a:hlinkClick xmlns:r="http://schemas.openxmlformats.org/officeDocument/2006/relationships" r:id="rId26"/>
          <a:extLst>
            <a:ext uri="{FF2B5EF4-FFF2-40B4-BE49-F238E27FC236}">
              <a16:creationId xmlns:a16="http://schemas.microsoft.com/office/drawing/2014/main" xmlns="" id="{00000000-0008-0000-0400-0000E9030000}"/>
            </a:ext>
          </a:extLst>
        </xdr:cNvPr>
        <xdr:cNvSpPr txBox="1"/>
      </xdr:nvSpPr>
      <xdr:spPr>
        <a:xfrm>
          <a:off x="17444130" y="72176877"/>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twoCellAnchor>
    <xdr:from>
      <xdr:col>33</xdr:col>
      <xdr:colOff>201015</xdr:colOff>
      <xdr:row>353</xdr:row>
      <xdr:rowOff>21975</xdr:rowOff>
    </xdr:from>
    <xdr:to>
      <xdr:col>34</xdr:col>
      <xdr:colOff>7009</xdr:colOff>
      <xdr:row>353</xdr:row>
      <xdr:rowOff>21975</xdr:rowOff>
    </xdr:to>
    <xdr:cxnSp macro="">
      <xdr:nvCxnSpPr>
        <xdr:cNvPr id="1002" name="Straight Arrow Connector 1001">
          <a:extLst>
            <a:ext uri="{FF2B5EF4-FFF2-40B4-BE49-F238E27FC236}">
              <a16:creationId xmlns:a16="http://schemas.microsoft.com/office/drawing/2014/main" xmlns="" id="{00000000-0008-0000-0400-0000EA030000}"/>
            </a:ext>
          </a:extLst>
        </xdr:cNvPr>
        <xdr:cNvCxnSpPr/>
      </xdr:nvCxnSpPr>
      <xdr:spPr>
        <a:xfrm>
          <a:off x="20269457" y="71935725"/>
          <a:ext cx="4141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27078</xdr:colOff>
      <xdr:row>351</xdr:row>
      <xdr:rowOff>106073</xdr:rowOff>
    </xdr:from>
    <xdr:to>
      <xdr:col>41</xdr:col>
      <xdr:colOff>379918</xdr:colOff>
      <xdr:row>351</xdr:row>
      <xdr:rowOff>106073</xdr:rowOff>
    </xdr:to>
    <xdr:cxnSp macro="">
      <xdr:nvCxnSpPr>
        <xdr:cNvPr id="1003" name="Straight Arrow Connector 1002">
          <a:extLst>
            <a:ext uri="{FF2B5EF4-FFF2-40B4-BE49-F238E27FC236}">
              <a16:creationId xmlns:a16="http://schemas.microsoft.com/office/drawing/2014/main" xmlns="" id="{00000000-0008-0000-0400-0000EB030000}"/>
            </a:ext>
          </a:extLst>
        </xdr:cNvPr>
        <xdr:cNvCxnSpPr/>
      </xdr:nvCxnSpPr>
      <xdr:spPr>
        <a:xfrm>
          <a:off x="23136193" y="71712092"/>
          <a:ext cx="2177244"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243382</xdr:colOff>
      <xdr:row>357</xdr:row>
      <xdr:rowOff>134427</xdr:rowOff>
    </xdr:from>
    <xdr:to>
      <xdr:col>38</xdr:col>
      <xdr:colOff>450420</xdr:colOff>
      <xdr:row>364</xdr:row>
      <xdr:rowOff>166920</xdr:rowOff>
    </xdr:to>
    <xdr:sp macro="" textlink="">
      <xdr:nvSpPr>
        <xdr:cNvPr id="1004" name="Rectangle 1003">
          <a:extLst>
            <a:ext uri="{FF2B5EF4-FFF2-40B4-BE49-F238E27FC236}">
              <a16:creationId xmlns:a16="http://schemas.microsoft.com/office/drawing/2014/main" xmlns="" id="{00000000-0008-0000-0400-0000EC030000}"/>
            </a:ext>
          </a:extLst>
        </xdr:cNvPr>
        <xdr:cNvSpPr/>
      </xdr:nvSpPr>
      <xdr:spPr>
        <a:xfrm>
          <a:off x="22136228" y="72920081"/>
          <a:ext cx="1423307" cy="13659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FTM2 Ext.</a:t>
          </a:r>
          <a:r>
            <a:rPr lang="en-US" sz="1100" baseline="0"/>
            <a:t> Clk. Select </a:t>
          </a:r>
          <a:r>
            <a:rPr lang="en-US" sz="900"/>
            <a:t>PCC_FTM2[PCS]</a:t>
          </a:r>
        </a:p>
      </xdr:txBody>
    </xdr:sp>
    <xdr:clientData/>
  </xdr:twoCellAnchor>
  <xdr:twoCellAnchor>
    <xdr:from>
      <xdr:col>34</xdr:col>
      <xdr:colOff>10514</xdr:colOff>
      <xdr:row>359</xdr:row>
      <xdr:rowOff>52559</xdr:rowOff>
    </xdr:from>
    <xdr:to>
      <xdr:col>36</xdr:col>
      <xdr:colOff>225861</xdr:colOff>
      <xdr:row>359</xdr:row>
      <xdr:rowOff>52559</xdr:rowOff>
    </xdr:to>
    <xdr:cxnSp macro="">
      <xdr:nvCxnSpPr>
        <xdr:cNvPr id="1005" name="Straight Arrow Connector 1004">
          <a:extLst>
            <a:ext uri="{FF2B5EF4-FFF2-40B4-BE49-F238E27FC236}">
              <a16:creationId xmlns:a16="http://schemas.microsoft.com/office/drawing/2014/main" xmlns="" id="{00000000-0008-0000-0400-0000ED030000}"/>
            </a:ext>
          </a:extLst>
        </xdr:cNvPr>
        <xdr:cNvCxnSpPr/>
      </xdr:nvCxnSpPr>
      <xdr:spPr>
        <a:xfrm>
          <a:off x="20687091" y="73109309"/>
          <a:ext cx="143161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606862</xdr:colOff>
      <xdr:row>353</xdr:row>
      <xdr:rowOff>21977</xdr:rowOff>
    </xdr:from>
    <xdr:to>
      <xdr:col>33</xdr:col>
      <xdr:colOff>606862</xdr:colOff>
      <xdr:row>359</xdr:row>
      <xdr:rowOff>51290</xdr:rowOff>
    </xdr:to>
    <xdr:cxnSp macro="">
      <xdr:nvCxnSpPr>
        <xdr:cNvPr id="1006" name="Straight Arrow Connector 1005">
          <a:extLst>
            <a:ext uri="{FF2B5EF4-FFF2-40B4-BE49-F238E27FC236}">
              <a16:creationId xmlns:a16="http://schemas.microsoft.com/office/drawing/2014/main" xmlns="" id="{00000000-0008-0000-0400-0000EE030000}"/>
            </a:ext>
          </a:extLst>
        </xdr:cNvPr>
        <xdr:cNvCxnSpPr/>
      </xdr:nvCxnSpPr>
      <xdr:spPr>
        <a:xfrm flipV="1">
          <a:off x="20675304" y="71935727"/>
          <a:ext cx="0" cy="117231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349613</xdr:colOff>
      <xdr:row>361</xdr:row>
      <xdr:rowOff>15827</xdr:rowOff>
    </xdr:from>
    <xdr:to>
      <xdr:col>36</xdr:col>
      <xdr:colOff>203937</xdr:colOff>
      <xdr:row>361</xdr:row>
      <xdr:rowOff>15827</xdr:rowOff>
    </xdr:to>
    <xdr:cxnSp macro="">
      <xdr:nvCxnSpPr>
        <xdr:cNvPr id="1007" name="Straight Arrow Connector 1006">
          <a:extLst>
            <a:ext uri="{FF2B5EF4-FFF2-40B4-BE49-F238E27FC236}">
              <a16:creationId xmlns:a16="http://schemas.microsoft.com/office/drawing/2014/main" xmlns="" id="{00000000-0008-0000-0400-0000EF030000}"/>
            </a:ext>
          </a:extLst>
        </xdr:cNvPr>
        <xdr:cNvCxnSpPr/>
      </xdr:nvCxnSpPr>
      <xdr:spPr>
        <a:xfrm>
          <a:off x="16161113" y="73453577"/>
          <a:ext cx="593567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584937</xdr:colOff>
      <xdr:row>365</xdr:row>
      <xdr:rowOff>183484</xdr:rowOff>
    </xdr:from>
    <xdr:ext cx="1152526" cy="1116726"/>
    <xdr:sp macro="" textlink="">
      <xdr:nvSpPr>
        <xdr:cNvPr id="1008" name="TextBox 1007">
          <a:extLst>
            <a:ext uri="{FF2B5EF4-FFF2-40B4-BE49-F238E27FC236}">
              <a16:creationId xmlns:a16="http://schemas.microsoft.com/office/drawing/2014/main" xmlns="" id="{00000000-0008-0000-0400-0000F0030000}"/>
            </a:ext>
          </a:extLst>
        </xdr:cNvPr>
        <xdr:cNvSpPr txBox="1"/>
      </xdr:nvSpPr>
      <xdr:spPr>
        <a:xfrm>
          <a:off x="22477783" y="74610369"/>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324615</xdr:colOff>
      <xdr:row>362</xdr:row>
      <xdr:rowOff>34500</xdr:rowOff>
    </xdr:from>
    <xdr:to>
      <xdr:col>36</xdr:col>
      <xdr:colOff>200058</xdr:colOff>
      <xdr:row>362</xdr:row>
      <xdr:rowOff>34501</xdr:rowOff>
    </xdr:to>
    <xdr:cxnSp macro="">
      <xdr:nvCxnSpPr>
        <xdr:cNvPr id="1009" name="Straight Arrow Connector 1008">
          <a:extLst>
            <a:ext uri="{FF2B5EF4-FFF2-40B4-BE49-F238E27FC236}">
              <a16:creationId xmlns:a16="http://schemas.microsoft.com/office/drawing/2014/main" xmlns="" id="{00000000-0008-0000-0400-0000F1030000}"/>
            </a:ext>
          </a:extLst>
        </xdr:cNvPr>
        <xdr:cNvCxnSpPr/>
      </xdr:nvCxnSpPr>
      <xdr:spPr>
        <a:xfrm flipV="1">
          <a:off x="13703577" y="73662750"/>
          <a:ext cx="8389327"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302635</xdr:colOff>
      <xdr:row>363</xdr:row>
      <xdr:rowOff>73582</xdr:rowOff>
    </xdr:from>
    <xdr:to>
      <xdr:col>36</xdr:col>
      <xdr:colOff>200058</xdr:colOff>
      <xdr:row>363</xdr:row>
      <xdr:rowOff>73582</xdr:rowOff>
    </xdr:to>
    <xdr:cxnSp macro="">
      <xdr:nvCxnSpPr>
        <xdr:cNvPr id="1010" name="Straight Arrow Connector 1009">
          <a:extLst>
            <a:ext uri="{FF2B5EF4-FFF2-40B4-BE49-F238E27FC236}">
              <a16:creationId xmlns:a16="http://schemas.microsoft.com/office/drawing/2014/main" xmlns="" id="{00000000-0008-0000-0400-0000F2030000}"/>
            </a:ext>
          </a:extLst>
        </xdr:cNvPr>
        <xdr:cNvCxnSpPr/>
      </xdr:nvCxnSpPr>
      <xdr:spPr>
        <a:xfrm>
          <a:off x="11249058" y="73892332"/>
          <a:ext cx="10843846"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353924</xdr:colOff>
      <xdr:row>364</xdr:row>
      <xdr:rowOff>58928</xdr:rowOff>
    </xdr:from>
    <xdr:to>
      <xdr:col>36</xdr:col>
      <xdr:colOff>214712</xdr:colOff>
      <xdr:row>364</xdr:row>
      <xdr:rowOff>58929</xdr:rowOff>
    </xdr:to>
    <xdr:cxnSp macro="">
      <xdr:nvCxnSpPr>
        <xdr:cNvPr id="1011" name="Straight Arrow Connector 1010">
          <a:extLst>
            <a:ext uri="{FF2B5EF4-FFF2-40B4-BE49-F238E27FC236}">
              <a16:creationId xmlns:a16="http://schemas.microsoft.com/office/drawing/2014/main" xmlns="" id="{00000000-0008-0000-0400-0000F3030000}"/>
            </a:ext>
          </a:extLst>
        </xdr:cNvPr>
        <xdr:cNvCxnSpPr/>
      </xdr:nvCxnSpPr>
      <xdr:spPr>
        <a:xfrm flipV="1">
          <a:off x="8867809" y="74068178"/>
          <a:ext cx="13239749"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456501</xdr:colOff>
      <xdr:row>362</xdr:row>
      <xdr:rowOff>14966</xdr:rowOff>
    </xdr:from>
    <xdr:to>
      <xdr:col>40</xdr:col>
      <xdr:colOff>185404</xdr:colOff>
      <xdr:row>362</xdr:row>
      <xdr:rowOff>14966</xdr:rowOff>
    </xdr:to>
    <xdr:cxnSp macro="">
      <xdr:nvCxnSpPr>
        <xdr:cNvPr id="1012" name="Straight Arrow Connector 1011">
          <a:extLst>
            <a:ext uri="{FF2B5EF4-FFF2-40B4-BE49-F238E27FC236}">
              <a16:creationId xmlns:a16="http://schemas.microsoft.com/office/drawing/2014/main" xmlns="" id="{00000000-0008-0000-0400-0000F4030000}"/>
            </a:ext>
          </a:extLst>
        </xdr:cNvPr>
        <xdr:cNvCxnSpPr/>
      </xdr:nvCxnSpPr>
      <xdr:spPr>
        <a:xfrm>
          <a:off x="23565616" y="73753120"/>
          <a:ext cx="9451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192731</xdr:colOff>
      <xdr:row>353</xdr:row>
      <xdr:rowOff>190500</xdr:rowOff>
    </xdr:from>
    <xdr:to>
      <xdr:col>40</xdr:col>
      <xdr:colOff>192731</xdr:colOff>
      <xdr:row>362</xdr:row>
      <xdr:rowOff>21982</xdr:rowOff>
    </xdr:to>
    <xdr:cxnSp macro="">
      <xdr:nvCxnSpPr>
        <xdr:cNvPr id="1013" name="Straight Arrow Connector 1012">
          <a:extLst>
            <a:ext uri="{FF2B5EF4-FFF2-40B4-BE49-F238E27FC236}">
              <a16:creationId xmlns:a16="http://schemas.microsoft.com/office/drawing/2014/main" xmlns="" id="{00000000-0008-0000-0400-0000F5030000}"/>
            </a:ext>
          </a:extLst>
        </xdr:cNvPr>
        <xdr:cNvCxnSpPr/>
      </xdr:nvCxnSpPr>
      <xdr:spPr>
        <a:xfrm flipV="1">
          <a:off x="24518116" y="72228808"/>
          <a:ext cx="0" cy="164123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183173</xdr:colOff>
      <xdr:row>353</xdr:row>
      <xdr:rowOff>183486</xdr:rowOff>
    </xdr:from>
    <xdr:to>
      <xdr:col>41</xdr:col>
      <xdr:colOff>405212</xdr:colOff>
      <xdr:row>353</xdr:row>
      <xdr:rowOff>183486</xdr:rowOff>
    </xdr:to>
    <xdr:cxnSp macro="">
      <xdr:nvCxnSpPr>
        <xdr:cNvPr id="1014" name="Straight Arrow Connector 1013">
          <a:extLst>
            <a:ext uri="{FF2B5EF4-FFF2-40B4-BE49-F238E27FC236}">
              <a16:creationId xmlns:a16="http://schemas.microsoft.com/office/drawing/2014/main" xmlns="" id="{00000000-0008-0000-0400-0000F6030000}"/>
            </a:ext>
          </a:extLst>
        </xdr:cNvPr>
        <xdr:cNvCxnSpPr/>
      </xdr:nvCxnSpPr>
      <xdr:spPr>
        <a:xfrm>
          <a:off x="24508558" y="72221794"/>
          <a:ext cx="83017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339270</xdr:colOff>
      <xdr:row>359</xdr:row>
      <xdr:rowOff>110217</xdr:rowOff>
    </xdr:from>
    <xdr:ext cx="1209261" cy="266700"/>
    <xdr:sp macro="" textlink="">
      <xdr:nvSpPr>
        <xdr:cNvPr id="1015" name="TextBox 1014">
          <a:extLst>
            <a:ext uri="{FF2B5EF4-FFF2-40B4-BE49-F238E27FC236}">
              <a16:creationId xmlns:a16="http://schemas.microsoft.com/office/drawing/2014/main" xmlns="" id="{00000000-0008-0000-0400-0000F7030000}"/>
            </a:ext>
          </a:extLst>
        </xdr:cNvPr>
        <xdr:cNvSpPr txBox="1"/>
      </xdr:nvSpPr>
      <xdr:spPr>
        <a:xfrm>
          <a:off x="23448385" y="73166967"/>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18796</xdr:colOff>
      <xdr:row>349</xdr:row>
      <xdr:rowOff>66256</xdr:rowOff>
    </xdr:from>
    <xdr:to>
      <xdr:col>49</xdr:col>
      <xdr:colOff>452363</xdr:colOff>
      <xdr:row>349</xdr:row>
      <xdr:rowOff>66256</xdr:rowOff>
    </xdr:to>
    <xdr:cxnSp macro="">
      <xdr:nvCxnSpPr>
        <xdr:cNvPr id="1016" name="Straight Arrow Connector 1015">
          <a:extLst>
            <a:ext uri="{FF2B5EF4-FFF2-40B4-BE49-F238E27FC236}">
              <a16:creationId xmlns:a16="http://schemas.microsoft.com/office/drawing/2014/main" xmlns="" id="{00000000-0008-0000-0400-0000F8030000}"/>
            </a:ext>
          </a:extLst>
        </xdr:cNvPr>
        <xdr:cNvCxnSpPr/>
      </xdr:nvCxnSpPr>
      <xdr:spPr>
        <a:xfrm>
          <a:off x="29817392" y="71291275"/>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29633</xdr:colOff>
      <xdr:row>349</xdr:row>
      <xdr:rowOff>73269</xdr:rowOff>
    </xdr:from>
    <xdr:to>
      <xdr:col>49</xdr:col>
      <xdr:colOff>29633</xdr:colOff>
      <xdr:row>353</xdr:row>
      <xdr:rowOff>14968</xdr:rowOff>
    </xdr:to>
    <xdr:cxnSp macro="">
      <xdr:nvCxnSpPr>
        <xdr:cNvPr id="1017" name="Straight Arrow Connector 1016">
          <a:extLst>
            <a:ext uri="{FF2B5EF4-FFF2-40B4-BE49-F238E27FC236}">
              <a16:creationId xmlns:a16="http://schemas.microsoft.com/office/drawing/2014/main" xmlns="" id="{00000000-0008-0000-0400-0000F9030000}"/>
            </a:ext>
          </a:extLst>
        </xdr:cNvPr>
        <xdr:cNvCxnSpPr/>
      </xdr:nvCxnSpPr>
      <xdr:spPr>
        <a:xfrm flipV="1">
          <a:off x="29828229" y="71298288"/>
          <a:ext cx="0" cy="74033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222039</xdr:colOff>
      <xdr:row>353</xdr:row>
      <xdr:rowOff>14968</xdr:rowOff>
    </xdr:from>
    <xdr:to>
      <xdr:col>45</xdr:col>
      <xdr:colOff>391514</xdr:colOff>
      <xdr:row>353</xdr:row>
      <xdr:rowOff>14968</xdr:rowOff>
    </xdr:to>
    <xdr:cxnSp macro="">
      <xdr:nvCxnSpPr>
        <xdr:cNvPr id="1018" name="Straight Arrow Connector 1017">
          <a:extLst>
            <a:ext uri="{FF2B5EF4-FFF2-40B4-BE49-F238E27FC236}">
              <a16:creationId xmlns:a16="http://schemas.microsoft.com/office/drawing/2014/main" xmlns="" id="{00000000-0008-0000-0400-0000FA030000}"/>
            </a:ext>
          </a:extLst>
        </xdr:cNvPr>
        <xdr:cNvCxnSpPr/>
      </xdr:nvCxnSpPr>
      <xdr:spPr>
        <a:xfrm>
          <a:off x="26371827" y="72053276"/>
          <a:ext cx="13857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416362</xdr:colOff>
      <xdr:row>349</xdr:row>
      <xdr:rowOff>165647</xdr:rowOff>
    </xdr:from>
    <xdr:to>
      <xdr:col>47</xdr:col>
      <xdr:colOff>217552</xdr:colOff>
      <xdr:row>354</xdr:row>
      <xdr:rowOff>162719</xdr:rowOff>
    </xdr:to>
    <xdr:sp macro="" textlink="">
      <xdr:nvSpPr>
        <xdr:cNvPr id="1019" name="Rectangle 1018">
          <a:extLst>
            <a:ext uri="{FF2B5EF4-FFF2-40B4-BE49-F238E27FC236}">
              <a16:creationId xmlns:a16="http://schemas.microsoft.com/office/drawing/2014/main" xmlns="" id="{00000000-0008-0000-0400-0000FB030000}"/>
            </a:ext>
          </a:extLst>
        </xdr:cNvPr>
        <xdr:cNvSpPr/>
      </xdr:nvSpPr>
      <xdr:spPr>
        <a:xfrm>
          <a:off x="27782420" y="71390666"/>
          <a:ext cx="1017459" cy="9862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FTM2 Clock Prescaler</a:t>
          </a:r>
        </a:p>
        <a:p>
          <a:pPr algn="ctr"/>
          <a:r>
            <a:rPr lang="en-US" sz="900"/>
            <a:t>FTM2_SC[PS]</a:t>
          </a:r>
        </a:p>
      </xdr:txBody>
    </xdr:sp>
    <xdr:clientData/>
  </xdr:twoCellAnchor>
  <xdr:oneCellAnchor>
    <xdr:from>
      <xdr:col>45</xdr:col>
      <xdr:colOff>582014</xdr:colOff>
      <xdr:row>355</xdr:row>
      <xdr:rowOff>184441</xdr:rowOff>
    </xdr:from>
    <xdr:ext cx="1432891" cy="1143001"/>
    <xdr:sp macro="" textlink="">
      <xdr:nvSpPr>
        <xdr:cNvPr id="1020" name="TextBox 1019">
          <a:extLst>
            <a:ext uri="{FF2B5EF4-FFF2-40B4-BE49-F238E27FC236}">
              <a16:creationId xmlns:a16="http://schemas.microsoft.com/office/drawing/2014/main" xmlns="" id="{00000000-0008-0000-0400-0000FC030000}"/>
            </a:ext>
          </a:extLst>
        </xdr:cNvPr>
        <xdr:cNvSpPr txBox="1"/>
      </xdr:nvSpPr>
      <xdr:spPr>
        <a:xfrm>
          <a:off x="27948072" y="72647710"/>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234144</xdr:colOff>
      <xdr:row>353</xdr:row>
      <xdr:rowOff>18790</xdr:rowOff>
    </xdr:from>
    <xdr:to>
      <xdr:col>49</xdr:col>
      <xdr:colOff>36635</xdr:colOff>
      <xdr:row>353</xdr:row>
      <xdr:rowOff>18790</xdr:rowOff>
    </xdr:to>
    <xdr:cxnSp macro="">
      <xdr:nvCxnSpPr>
        <xdr:cNvPr id="1021" name="Straight Arrow Connector 1020">
          <a:extLst>
            <a:ext uri="{FF2B5EF4-FFF2-40B4-BE49-F238E27FC236}">
              <a16:creationId xmlns:a16="http://schemas.microsoft.com/office/drawing/2014/main" xmlns="" id="{00000000-0008-0000-0400-0000FD030000}"/>
            </a:ext>
          </a:extLst>
        </xdr:cNvPr>
        <xdr:cNvCxnSpPr/>
      </xdr:nvCxnSpPr>
      <xdr:spPr>
        <a:xfrm>
          <a:off x="28816471" y="72042444"/>
          <a:ext cx="101876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7327</xdr:colOff>
      <xdr:row>356</xdr:row>
      <xdr:rowOff>139213</xdr:rowOff>
    </xdr:from>
    <xdr:ext cx="596347" cy="266700"/>
    <xdr:sp macro="" textlink="">
      <xdr:nvSpPr>
        <xdr:cNvPr id="1022" name="TextBox 1021">
          <a:extLst>
            <a:ext uri="{FF2B5EF4-FFF2-40B4-BE49-F238E27FC236}">
              <a16:creationId xmlns:a16="http://schemas.microsoft.com/office/drawing/2014/main" xmlns="" id="{00000000-0008-0000-0400-0000FE030000}"/>
            </a:ext>
          </a:extLst>
        </xdr:cNvPr>
        <xdr:cNvSpPr txBox="1"/>
      </xdr:nvSpPr>
      <xdr:spPr>
        <a:xfrm>
          <a:off x="20683904" y="72624463"/>
          <a:ext cx="596347"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oneCellAnchor>
    <xdr:from>
      <xdr:col>39</xdr:col>
      <xdr:colOff>300404</xdr:colOff>
      <xdr:row>342</xdr:row>
      <xdr:rowOff>124558</xdr:rowOff>
    </xdr:from>
    <xdr:ext cx="1209261" cy="266700"/>
    <xdr:sp macro="" textlink="">
      <xdr:nvSpPr>
        <xdr:cNvPr id="1023" name="TextBox 1022">
          <a:extLst>
            <a:ext uri="{FF2B5EF4-FFF2-40B4-BE49-F238E27FC236}">
              <a16:creationId xmlns:a16="http://schemas.microsoft.com/office/drawing/2014/main" xmlns="" id="{00000000-0008-0000-0400-0000FF030000}"/>
            </a:ext>
          </a:extLst>
        </xdr:cNvPr>
        <xdr:cNvSpPr txBox="1"/>
      </xdr:nvSpPr>
      <xdr:spPr>
        <a:xfrm>
          <a:off x="24017654" y="69942808"/>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twoCellAnchor>
    <xdr:from>
      <xdr:col>49</xdr:col>
      <xdr:colOff>430978</xdr:colOff>
      <xdr:row>373</xdr:row>
      <xdr:rowOff>9078</xdr:rowOff>
    </xdr:from>
    <xdr:to>
      <xdr:col>51</xdr:col>
      <xdr:colOff>254074</xdr:colOff>
      <xdr:row>379</xdr:row>
      <xdr:rowOff>21766</xdr:rowOff>
    </xdr:to>
    <xdr:grpSp>
      <xdr:nvGrpSpPr>
        <xdr:cNvPr id="966" name="Group 965">
          <a:extLst>
            <a:ext uri="{FF2B5EF4-FFF2-40B4-BE49-F238E27FC236}">
              <a16:creationId xmlns:a16="http://schemas.microsoft.com/office/drawing/2014/main" xmlns="" id="{00000000-0008-0000-0400-0000C6030000}"/>
            </a:ext>
          </a:extLst>
        </xdr:cNvPr>
        <xdr:cNvGrpSpPr/>
      </xdr:nvGrpSpPr>
      <xdr:grpSpPr>
        <a:xfrm>
          <a:off x="31619190" y="71377102"/>
          <a:ext cx="1096084" cy="1160170"/>
          <a:chOff x="25270558" y="29007288"/>
          <a:chExt cx="1039366" cy="981684"/>
        </a:xfrm>
      </xdr:grpSpPr>
      <xdr:grpSp>
        <xdr:nvGrpSpPr>
          <xdr:cNvPr id="967" name="Group 966">
            <a:extLst>
              <a:ext uri="{FF2B5EF4-FFF2-40B4-BE49-F238E27FC236}">
                <a16:creationId xmlns:a16="http://schemas.microsoft.com/office/drawing/2014/main" xmlns="" id="{00000000-0008-0000-0400-0000C7030000}"/>
              </a:ext>
            </a:extLst>
          </xdr:cNvPr>
          <xdr:cNvGrpSpPr/>
        </xdr:nvGrpSpPr>
        <xdr:grpSpPr>
          <a:xfrm>
            <a:off x="25270558" y="29007288"/>
            <a:ext cx="1039366" cy="981076"/>
            <a:chOff x="588526" y="190500"/>
            <a:chExt cx="1036410" cy="734695"/>
          </a:xfrm>
        </xdr:grpSpPr>
        <xdr:sp macro="" textlink="">
          <xdr:nvSpPr>
            <xdr:cNvPr id="969" name="Rectangle 968">
              <a:extLst>
                <a:ext uri="{FF2B5EF4-FFF2-40B4-BE49-F238E27FC236}">
                  <a16:creationId xmlns:a16="http://schemas.microsoft.com/office/drawing/2014/main" xmlns="" id="{00000000-0008-0000-0400-0000C903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FTM3</a:t>
              </a:r>
            </a:p>
          </xdr:txBody>
        </xdr:sp>
        <xdr:sp macro="" textlink="">
          <xdr:nvSpPr>
            <xdr:cNvPr id="970" name="TextBox 969">
              <a:extLst>
                <a:ext uri="{FF2B5EF4-FFF2-40B4-BE49-F238E27FC236}">
                  <a16:creationId xmlns:a16="http://schemas.microsoft.com/office/drawing/2014/main" xmlns="" id="{00000000-0008-0000-0400-0000CA030000}"/>
                </a:ext>
              </a:extLst>
            </xdr:cNvPr>
            <xdr:cNvSpPr txBox="1"/>
          </xdr:nvSpPr>
          <xdr:spPr>
            <a:xfrm>
              <a:off x="588526" y="208941"/>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968" name="TextBox 967">
            <a:extLst>
              <a:ext uri="{FF2B5EF4-FFF2-40B4-BE49-F238E27FC236}">
                <a16:creationId xmlns:a16="http://schemas.microsoft.com/office/drawing/2014/main" xmlns="" id="{00000000-0008-0000-0400-0000C803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322385</xdr:colOff>
      <xdr:row>372</xdr:row>
      <xdr:rowOff>172015</xdr:rowOff>
    </xdr:from>
    <xdr:to>
      <xdr:col>33</xdr:col>
      <xdr:colOff>389281</xdr:colOff>
      <xdr:row>372</xdr:row>
      <xdr:rowOff>172015</xdr:rowOff>
    </xdr:to>
    <xdr:cxnSp macro="">
      <xdr:nvCxnSpPr>
        <xdr:cNvPr id="971" name="Straight Arrow Connector 970">
          <a:extLst>
            <a:ext uri="{FF2B5EF4-FFF2-40B4-BE49-F238E27FC236}">
              <a16:creationId xmlns:a16="http://schemas.microsoft.com/office/drawing/2014/main" xmlns="" id="{00000000-0008-0000-0400-0000CB030000}"/>
            </a:ext>
          </a:extLst>
        </xdr:cNvPr>
        <xdr:cNvCxnSpPr/>
      </xdr:nvCxnSpPr>
      <xdr:spPr>
        <a:xfrm>
          <a:off x="7620000" y="76064284"/>
          <a:ext cx="1283772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389281</xdr:colOff>
      <xdr:row>370</xdr:row>
      <xdr:rowOff>190493</xdr:rowOff>
    </xdr:from>
    <xdr:to>
      <xdr:col>35</xdr:col>
      <xdr:colOff>190470</xdr:colOff>
      <xdr:row>375</xdr:row>
      <xdr:rowOff>173865</xdr:rowOff>
    </xdr:to>
    <xdr:sp macro="" textlink="">
      <xdr:nvSpPr>
        <xdr:cNvPr id="972" name="Rectangle 971">
          <a:extLst>
            <a:ext uri="{FF2B5EF4-FFF2-40B4-BE49-F238E27FC236}">
              <a16:creationId xmlns:a16="http://schemas.microsoft.com/office/drawing/2014/main" xmlns="" id="{00000000-0008-0000-0400-0000CC030000}"/>
            </a:ext>
          </a:extLst>
        </xdr:cNvPr>
        <xdr:cNvSpPr/>
      </xdr:nvSpPr>
      <xdr:spPr>
        <a:xfrm>
          <a:off x="20615411" y="74750536"/>
          <a:ext cx="1027016" cy="9690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FTM3 Clock</a:t>
          </a:r>
          <a:r>
            <a:rPr lang="en-US" sz="1100" baseline="0"/>
            <a:t> Enable</a:t>
          </a:r>
        </a:p>
        <a:p>
          <a:pPr algn="ctr"/>
          <a:r>
            <a:rPr lang="en-US" sz="900"/>
            <a:t>PCC_FTM3[CGC]</a:t>
          </a:r>
        </a:p>
      </xdr:txBody>
    </xdr:sp>
    <xdr:clientData/>
  </xdr:twoCellAnchor>
  <xdr:oneCellAnchor>
    <xdr:from>
      <xdr:col>33</xdr:col>
      <xdr:colOff>563215</xdr:colOff>
      <xdr:row>376</xdr:row>
      <xdr:rowOff>202915</xdr:rowOff>
    </xdr:from>
    <xdr:ext cx="860534" cy="367862"/>
    <xdr:sp macro="" textlink="">
      <xdr:nvSpPr>
        <xdr:cNvPr id="973" name="TextBox 972">
          <a:extLst>
            <a:ext uri="{FF2B5EF4-FFF2-40B4-BE49-F238E27FC236}">
              <a16:creationId xmlns:a16="http://schemas.microsoft.com/office/drawing/2014/main" xmlns="" id="{00000000-0008-0000-0400-0000CD030000}"/>
            </a:ext>
          </a:extLst>
        </xdr:cNvPr>
        <xdr:cNvSpPr txBox="1"/>
      </xdr:nvSpPr>
      <xdr:spPr>
        <a:xfrm>
          <a:off x="20789345" y="75914241"/>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190498</xdr:colOff>
      <xdr:row>374</xdr:row>
      <xdr:rowOff>9550</xdr:rowOff>
    </xdr:from>
    <xdr:to>
      <xdr:col>49</xdr:col>
      <xdr:colOff>438976</xdr:colOff>
      <xdr:row>374</xdr:row>
      <xdr:rowOff>9550</xdr:rowOff>
    </xdr:to>
    <xdr:cxnSp macro="">
      <xdr:nvCxnSpPr>
        <xdr:cNvPr id="974" name="Straight Arrow Connector 973">
          <a:extLst>
            <a:ext uri="{FF2B5EF4-FFF2-40B4-BE49-F238E27FC236}">
              <a16:creationId xmlns:a16="http://schemas.microsoft.com/office/drawing/2014/main" xmlns="" id="{00000000-0008-0000-0400-0000CE030000}"/>
            </a:ext>
          </a:extLst>
        </xdr:cNvPr>
        <xdr:cNvCxnSpPr/>
      </xdr:nvCxnSpPr>
      <xdr:spPr>
        <a:xfrm>
          <a:off x="21642455" y="75331593"/>
          <a:ext cx="88292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397563</xdr:colOff>
      <xdr:row>377</xdr:row>
      <xdr:rowOff>129008</xdr:rowOff>
    </xdr:from>
    <xdr:to>
      <xdr:col>43</xdr:col>
      <xdr:colOff>198753</xdr:colOff>
      <xdr:row>382</xdr:row>
      <xdr:rowOff>175776</xdr:rowOff>
    </xdr:to>
    <xdr:sp macro="" textlink="">
      <xdr:nvSpPr>
        <xdr:cNvPr id="975" name="Rectangle 974">
          <a:extLst>
            <a:ext uri="{FF2B5EF4-FFF2-40B4-BE49-F238E27FC236}">
              <a16:creationId xmlns:a16="http://schemas.microsoft.com/office/drawing/2014/main" xmlns="" id="{00000000-0008-0000-0400-0000CF030000}"/>
            </a:ext>
          </a:extLst>
        </xdr:cNvPr>
        <xdr:cNvSpPr/>
      </xdr:nvSpPr>
      <xdr:spPr>
        <a:xfrm>
          <a:off x="25526998" y="76080530"/>
          <a:ext cx="1027016" cy="104896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FTM3 Clock Select</a:t>
          </a:r>
        </a:p>
        <a:p>
          <a:pPr algn="ctr"/>
          <a:r>
            <a:rPr lang="en-US" sz="900"/>
            <a:t>FTM3_SC[CLKS]</a:t>
          </a:r>
        </a:p>
      </xdr:txBody>
    </xdr:sp>
    <xdr:clientData/>
  </xdr:twoCellAnchor>
  <xdr:oneCellAnchor>
    <xdr:from>
      <xdr:col>41</xdr:col>
      <xdr:colOff>579780</xdr:colOff>
      <xdr:row>383</xdr:row>
      <xdr:rowOff>177113</xdr:rowOff>
    </xdr:from>
    <xdr:ext cx="1192695" cy="637762"/>
    <xdr:sp macro="" textlink="">
      <xdr:nvSpPr>
        <xdr:cNvPr id="976" name="TextBox 975">
          <a:extLst>
            <a:ext uri="{FF2B5EF4-FFF2-40B4-BE49-F238E27FC236}">
              <a16:creationId xmlns:a16="http://schemas.microsoft.com/office/drawing/2014/main" xmlns="" id="{00000000-0008-0000-0400-0000D0030000}"/>
            </a:ext>
          </a:extLst>
        </xdr:cNvPr>
        <xdr:cNvSpPr txBox="1"/>
      </xdr:nvSpPr>
      <xdr:spPr>
        <a:xfrm>
          <a:off x="25709215" y="77279917"/>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217575</xdr:colOff>
      <xdr:row>378</xdr:row>
      <xdr:rowOff>106073</xdr:rowOff>
    </xdr:from>
    <xdr:to>
      <xdr:col>41</xdr:col>
      <xdr:colOff>389280</xdr:colOff>
      <xdr:row>378</xdr:row>
      <xdr:rowOff>106073</xdr:rowOff>
    </xdr:to>
    <xdr:cxnSp macro="">
      <xdr:nvCxnSpPr>
        <xdr:cNvPr id="977" name="Straight Arrow Connector 976">
          <a:extLst>
            <a:ext uri="{FF2B5EF4-FFF2-40B4-BE49-F238E27FC236}">
              <a16:creationId xmlns:a16="http://schemas.microsoft.com/office/drawing/2014/main" xmlns="" id="{00000000-0008-0000-0400-0000D1030000}"/>
            </a:ext>
          </a:extLst>
        </xdr:cNvPr>
        <xdr:cNvCxnSpPr/>
      </xdr:nvCxnSpPr>
      <xdr:spPr>
        <a:xfrm>
          <a:off x="22282445" y="76256377"/>
          <a:ext cx="32362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207063</xdr:colOff>
      <xdr:row>374</xdr:row>
      <xdr:rowOff>12105</xdr:rowOff>
    </xdr:from>
    <xdr:to>
      <xdr:col>36</xdr:col>
      <xdr:colOff>207063</xdr:colOff>
      <xdr:row>378</xdr:row>
      <xdr:rowOff>115957</xdr:rowOff>
    </xdr:to>
    <xdr:cxnSp macro="">
      <xdr:nvCxnSpPr>
        <xdr:cNvPr id="978" name="Straight Arrow Connector 977">
          <a:extLst>
            <a:ext uri="{FF2B5EF4-FFF2-40B4-BE49-F238E27FC236}">
              <a16:creationId xmlns:a16="http://schemas.microsoft.com/office/drawing/2014/main" xmlns="" id="{00000000-0008-0000-0400-0000D2030000}"/>
            </a:ext>
          </a:extLst>
        </xdr:cNvPr>
        <xdr:cNvCxnSpPr/>
      </xdr:nvCxnSpPr>
      <xdr:spPr>
        <a:xfrm flipV="1">
          <a:off x="22271933" y="75358996"/>
          <a:ext cx="0" cy="90726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530084</xdr:colOff>
      <xdr:row>379</xdr:row>
      <xdr:rowOff>135699</xdr:rowOff>
    </xdr:from>
    <xdr:ext cx="717274" cy="266700"/>
    <xdr:sp macro="" textlink="">
      <xdr:nvSpPr>
        <xdr:cNvPr id="979" name="TextBox 978">
          <a:hlinkClick xmlns:r="http://schemas.openxmlformats.org/officeDocument/2006/relationships" r:id="rId17"/>
          <a:extLst>
            <a:ext uri="{FF2B5EF4-FFF2-40B4-BE49-F238E27FC236}">
              <a16:creationId xmlns:a16="http://schemas.microsoft.com/office/drawing/2014/main" xmlns="" id="{00000000-0008-0000-0400-0000D3030000}"/>
            </a:ext>
          </a:extLst>
        </xdr:cNvPr>
        <xdr:cNvSpPr txBox="1"/>
      </xdr:nvSpPr>
      <xdr:spPr>
        <a:xfrm>
          <a:off x="21982041" y="76476503"/>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397564</xdr:colOff>
      <xdr:row>379</xdr:row>
      <xdr:rowOff>115314</xdr:rowOff>
    </xdr:from>
    <xdr:to>
      <xdr:col>33</xdr:col>
      <xdr:colOff>198754</xdr:colOff>
      <xdr:row>384</xdr:row>
      <xdr:rowOff>175776</xdr:rowOff>
    </xdr:to>
    <xdr:sp macro="" textlink="">
      <xdr:nvSpPr>
        <xdr:cNvPr id="1024" name="Rectangle 1023">
          <a:extLst>
            <a:ext uri="{FF2B5EF4-FFF2-40B4-BE49-F238E27FC236}">
              <a16:creationId xmlns:a16="http://schemas.microsoft.com/office/drawing/2014/main" xmlns="" id="{00000000-0008-0000-0400-000000040000}"/>
            </a:ext>
          </a:extLst>
        </xdr:cNvPr>
        <xdr:cNvSpPr/>
      </xdr:nvSpPr>
      <xdr:spPr>
        <a:xfrm>
          <a:off x="19397868" y="76456118"/>
          <a:ext cx="1027016" cy="10875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FTM3 Ext.</a:t>
          </a:r>
          <a:r>
            <a:rPr lang="en-US" sz="1100" baseline="0"/>
            <a:t> Clk. Pin Select </a:t>
          </a:r>
          <a:r>
            <a:rPr lang="en-US" sz="900"/>
            <a:t>SIM_FTMOPT0[FTM3CLKSEL]</a:t>
          </a:r>
        </a:p>
      </xdr:txBody>
    </xdr:sp>
    <xdr:clientData/>
  </xdr:twoCellAnchor>
  <xdr:oneCellAnchor>
    <xdr:from>
      <xdr:col>31</xdr:col>
      <xdr:colOff>571497</xdr:colOff>
      <xdr:row>385</xdr:row>
      <xdr:rowOff>187311</xdr:rowOff>
    </xdr:from>
    <xdr:ext cx="1192695" cy="637762"/>
    <xdr:sp macro="" textlink="">
      <xdr:nvSpPr>
        <xdr:cNvPr id="1025" name="TextBox 1024">
          <a:extLst>
            <a:ext uri="{FF2B5EF4-FFF2-40B4-BE49-F238E27FC236}">
              <a16:creationId xmlns:a16="http://schemas.microsoft.com/office/drawing/2014/main" xmlns="" id="{00000000-0008-0000-0400-000001040000}"/>
            </a:ext>
          </a:extLst>
        </xdr:cNvPr>
        <xdr:cNvSpPr txBox="1"/>
      </xdr:nvSpPr>
      <xdr:spPr>
        <a:xfrm>
          <a:off x="19571801" y="77762224"/>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38</xdr:col>
      <xdr:colOff>24845</xdr:colOff>
      <xdr:row>380</xdr:row>
      <xdr:rowOff>85043</xdr:rowOff>
    </xdr:from>
    <xdr:to>
      <xdr:col>41</xdr:col>
      <xdr:colOff>377685</xdr:colOff>
      <xdr:row>380</xdr:row>
      <xdr:rowOff>85043</xdr:rowOff>
    </xdr:to>
    <xdr:cxnSp macro="">
      <xdr:nvCxnSpPr>
        <xdr:cNvPr id="1029" name="Straight Arrow Connector 1028">
          <a:extLst>
            <a:ext uri="{FF2B5EF4-FFF2-40B4-BE49-F238E27FC236}">
              <a16:creationId xmlns:a16="http://schemas.microsoft.com/office/drawing/2014/main" xmlns="" id="{00000000-0008-0000-0400-000005040000}"/>
            </a:ext>
          </a:extLst>
        </xdr:cNvPr>
        <xdr:cNvCxnSpPr/>
      </xdr:nvCxnSpPr>
      <xdr:spPr>
        <a:xfrm>
          <a:off x="23315541" y="76616347"/>
          <a:ext cx="2191579"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241149</xdr:colOff>
      <xdr:row>388</xdr:row>
      <xdr:rowOff>47138</xdr:rowOff>
    </xdr:from>
    <xdr:to>
      <xdr:col>38</xdr:col>
      <xdr:colOff>448187</xdr:colOff>
      <xdr:row>395</xdr:row>
      <xdr:rowOff>162456</xdr:rowOff>
    </xdr:to>
    <xdr:sp macro="" textlink="">
      <xdr:nvSpPr>
        <xdr:cNvPr id="1030" name="Rectangle 1029">
          <a:extLst>
            <a:ext uri="{FF2B5EF4-FFF2-40B4-BE49-F238E27FC236}">
              <a16:creationId xmlns:a16="http://schemas.microsoft.com/office/drawing/2014/main" xmlns="" id="{00000000-0008-0000-0400-000006040000}"/>
            </a:ext>
          </a:extLst>
        </xdr:cNvPr>
        <xdr:cNvSpPr/>
      </xdr:nvSpPr>
      <xdr:spPr>
        <a:xfrm>
          <a:off x="22306019" y="78226681"/>
          <a:ext cx="1432864" cy="1473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FTM3 Ext.</a:t>
          </a:r>
          <a:r>
            <a:rPr lang="en-US" sz="1100" baseline="0"/>
            <a:t> Clk. Select </a:t>
          </a:r>
          <a:r>
            <a:rPr lang="en-US" sz="900"/>
            <a:t>PCC_FTM3[PCS]</a:t>
          </a:r>
        </a:p>
      </xdr:txBody>
    </xdr:sp>
    <xdr:clientData/>
  </xdr:twoCellAnchor>
  <xdr:twoCellAnchor>
    <xdr:from>
      <xdr:col>26</xdr:col>
      <xdr:colOff>347380</xdr:colOff>
      <xdr:row>390</xdr:row>
      <xdr:rowOff>127318</xdr:rowOff>
    </xdr:from>
    <xdr:to>
      <xdr:col>36</xdr:col>
      <xdr:colOff>201704</xdr:colOff>
      <xdr:row>390</xdr:row>
      <xdr:rowOff>127318</xdr:rowOff>
    </xdr:to>
    <xdr:cxnSp macro="">
      <xdr:nvCxnSpPr>
        <xdr:cNvPr id="1031" name="Straight Arrow Connector 1030">
          <a:extLst>
            <a:ext uri="{FF2B5EF4-FFF2-40B4-BE49-F238E27FC236}">
              <a16:creationId xmlns:a16="http://schemas.microsoft.com/office/drawing/2014/main" xmlns="" id="{00000000-0008-0000-0400-000007040000}"/>
            </a:ext>
          </a:extLst>
        </xdr:cNvPr>
        <xdr:cNvCxnSpPr/>
      </xdr:nvCxnSpPr>
      <xdr:spPr>
        <a:xfrm>
          <a:off x="16283119" y="78712709"/>
          <a:ext cx="5983455"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582704</xdr:colOff>
      <xdr:row>396</xdr:row>
      <xdr:rowOff>179024</xdr:rowOff>
    </xdr:from>
    <xdr:ext cx="1152526" cy="1116726"/>
    <xdr:sp macro="" textlink="">
      <xdr:nvSpPr>
        <xdr:cNvPr id="1032" name="TextBox 1031">
          <a:extLst>
            <a:ext uri="{FF2B5EF4-FFF2-40B4-BE49-F238E27FC236}">
              <a16:creationId xmlns:a16="http://schemas.microsoft.com/office/drawing/2014/main" xmlns="" id="{00000000-0008-0000-0400-000008040000}"/>
            </a:ext>
          </a:extLst>
        </xdr:cNvPr>
        <xdr:cNvSpPr txBox="1"/>
      </xdr:nvSpPr>
      <xdr:spPr>
        <a:xfrm>
          <a:off x="22647574" y="79907415"/>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322382</xdr:colOff>
      <xdr:row>391</xdr:row>
      <xdr:rowOff>179122</xdr:rowOff>
    </xdr:from>
    <xdr:to>
      <xdr:col>36</xdr:col>
      <xdr:colOff>197825</xdr:colOff>
      <xdr:row>391</xdr:row>
      <xdr:rowOff>179123</xdr:rowOff>
    </xdr:to>
    <xdr:cxnSp macro="">
      <xdr:nvCxnSpPr>
        <xdr:cNvPr id="1033" name="Straight Arrow Connector 1032">
          <a:extLst>
            <a:ext uri="{FF2B5EF4-FFF2-40B4-BE49-F238E27FC236}">
              <a16:creationId xmlns:a16="http://schemas.microsoft.com/office/drawing/2014/main" xmlns="" id="{00000000-0008-0000-0400-000009040000}"/>
            </a:ext>
          </a:extLst>
        </xdr:cNvPr>
        <xdr:cNvCxnSpPr/>
      </xdr:nvCxnSpPr>
      <xdr:spPr>
        <a:xfrm flipV="1">
          <a:off x="13806469" y="78955013"/>
          <a:ext cx="8456226"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300402</xdr:colOff>
      <xdr:row>393</xdr:row>
      <xdr:rowOff>35987</xdr:rowOff>
    </xdr:from>
    <xdr:to>
      <xdr:col>36</xdr:col>
      <xdr:colOff>197825</xdr:colOff>
      <xdr:row>393</xdr:row>
      <xdr:rowOff>35987</xdr:rowOff>
    </xdr:to>
    <xdr:cxnSp macro="">
      <xdr:nvCxnSpPr>
        <xdr:cNvPr id="1034" name="Straight Arrow Connector 1033">
          <a:extLst>
            <a:ext uri="{FF2B5EF4-FFF2-40B4-BE49-F238E27FC236}">
              <a16:creationId xmlns:a16="http://schemas.microsoft.com/office/drawing/2014/main" xmlns="" id="{00000000-0008-0000-0400-00000A040000}"/>
            </a:ext>
          </a:extLst>
        </xdr:cNvPr>
        <xdr:cNvCxnSpPr/>
      </xdr:nvCxnSpPr>
      <xdr:spPr>
        <a:xfrm>
          <a:off x="11332837" y="79192878"/>
          <a:ext cx="10929858"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351691</xdr:colOff>
      <xdr:row>394</xdr:row>
      <xdr:rowOff>62748</xdr:rowOff>
    </xdr:from>
    <xdr:to>
      <xdr:col>36</xdr:col>
      <xdr:colOff>212479</xdr:colOff>
      <xdr:row>394</xdr:row>
      <xdr:rowOff>62749</xdr:rowOff>
    </xdr:to>
    <xdr:cxnSp macro="">
      <xdr:nvCxnSpPr>
        <xdr:cNvPr id="1035" name="Straight Arrow Connector 1034">
          <a:extLst>
            <a:ext uri="{FF2B5EF4-FFF2-40B4-BE49-F238E27FC236}">
              <a16:creationId xmlns:a16="http://schemas.microsoft.com/office/drawing/2014/main" xmlns="" id="{00000000-0008-0000-0400-00000B040000}"/>
            </a:ext>
          </a:extLst>
        </xdr:cNvPr>
        <xdr:cNvCxnSpPr/>
      </xdr:nvCxnSpPr>
      <xdr:spPr>
        <a:xfrm flipV="1">
          <a:off x="8932474" y="79410139"/>
          <a:ext cx="13344875"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337037</xdr:colOff>
      <xdr:row>388</xdr:row>
      <xdr:rowOff>172013</xdr:rowOff>
    </xdr:from>
    <xdr:ext cx="1209261" cy="266700"/>
    <xdr:sp macro="" textlink="">
      <xdr:nvSpPr>
        <xdr:cNvPr id="1036" name="TextBox 1035">
          <a:extLst>
            <a:ext uri="{FF2B5EF4-FFF2-40B4-BE49-F238E27FC236}">
              <a16:creationId xmlns:a16="http://schemas.microsoft.com/office/drawing/2014/main" xmlns="" id="{00000000-0008-0000-0400-00000C040000}"/>
            </a:ext>
          </a:extLst>
        </xdr:cNvPr>
        <xdr:cNvSpPr txBox="1"/>
      </xdr:nvSpPr>
      <xdr:spPr>
        <a:xfrm>
          <a:off x="23627733" y="78351556"/>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16563</xdr:colOff>
      <xdr:row>378</xdr:row>
      <xdr:rowOff>103208</xdr:rowOff>
    </xdr:from>
    <xdr:to>
      <xdr:col>49</xdr:col>
      <xdr:colOff>450130</xdr:colOff>
      <xdr:row>378</xdr:row>
      <xdr:rowOff>103208</xdr:rowOff>
    </xdr:to>
    <xdr:cxnSp macro="">
      <xdr:nvCxnSpPr>
        <xdr:cNvPr id="1037" name="Straight Arrow Connector 1036">
          <a:extLst>
            <a:ext uri="{FF2B5EF4-FFF2-40B4-BE49-F238E27FC236}">
              <a16:creationId xmlns:a16="http://schemas.microsoft.com/office/drawing/2014/main" xmlns="" id="{00000000-0008-0000-0400-00000D040000}"/>
            </a:ext>
          </a:extLst>
        </xdr:cNvPr>
        <xdr:cNvCxnSpPr/>
      </xdr:nvCxnSpPr>
      <xdr:spPr>
        <a:xfrm>
          <a:off x="30049302" y="76187251"/>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27400</xdr:colOff>
      <xdr:row>378</xdr:row>
      <xdr:rowOff>110221</xdr:rowOff>
    </xdr:from>
    <xdr:to>
      <xdr:col>49</xdr:col>
      <xdr:colOff>27400</xdr:colOff>
      <xdr:row>381</xdr:row>
      <xdr:rowOff>24848</xdr:rowOff>
    </xdr:to>
    <xdr:cxnSp macro="">
      <xdr:nvCxnSpPr>
        <xdr:cNvPr id="1038" name="Straight Arrow Connector 1037">
          <a:extLst>
            <a:ext uri="{FF2B5EF4-FFF2-40B4-BE49-F238E27FC236}">
              <a16:creationId xmlns:a16="http://schemas.microsoft.com/office/drawing/2014/main" xmlns="" id="{00000000-0008-0000-0400-00000E040000}"/>
            </a:ext>
          </a:extLst>
        </xdr:cNvPr>
        <xdr:cNvCxnSpPr/>
      </xdr:nvCxnSpPr>
      <xdr:spPr>
        <a:xfrm flipV="1">
          <a:off x="30060139" y="76260525"/>
          <a:ext cx="0" cy="48612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414129</xdr:colOff>
      <xdr:row>377</xdr:row>
      <xdr:rowOff>136337</xdr:rowOff>
    </xdr:from>
    <xdr:to>
      <xdr:col>47</xdr:col>
      <xdr:colOff>215319</xdr:colOff>
      <xdr:row>382</xdr:row>
      <xdr:rowOff>183105</xdr:rowOff>
    </xdr:to>
    <xdr:sp macro="" textlink="">
      <xdr:nvSpPr>
        <xdr:cNvPr id="1039" name="Rectangle 1038">
          <a:extLst>
            <a:ext uri="{FF2B5EF4-FFF2-40B4-BE49-F238E27FC236}">
              <a16:creationId xmlns:a16="http://schemas.microsoft.com/office/drawing/2014/main" xmlns="" id="{00000000-0008-0000-0400-00000F040000}"/>
            </a:ext>
          </a:extLst>
        </xdr:cNvPr>
        <xdr:cNvSpPr/>
      </xdr:nvSpPr>
      <xdr:spPr>
        <a:xfrm>
          <a:off x="27995216" y="76087859"/>
          <a:ext cx="1027016" cy="104896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FTM3 Clock Prescaler</a:t>
          </a:r>
        </a:p>
        <a:p>
          <a:pPr algn="ctr"/>
          <a:r>
            <a:rPr lang="en-US" sz="900"/>
            <a:t>FTM3_SC[PS]</a:t>
          </a:r>
        </a:p>
      </xdr:txBody>
    </xdr:sp>
    <xdr:clientData/>
  </xdr:twoCellAnchor>
  <xdr:oneCellAnchor>
    <xdr:from>
      <xdr:col>45</xdr:col>
      <xdr:colOff>579781</xdr:colOff>
      <xdr:row>383</xdr:row>
      <xdr:rowOff>188262</xdr:rowOff>
    </xdr:from>
    <xdr:ext cx="1432891" cy="1143001"/>
    <xdr:sp macro="" textlink="">
      <xdr:nvSpPr>
        <xdr:cNvPr id="1040" name="TextBox 1039">
          <a:extLst>
            <a:ext uri="{FF2B5EF4-FFF2-40B4-BE49-F238E27FC236}">
              <a16:creationId xmlns:a16="http://schemas.microsoft.com/office/drawing/2014/main" xmlns="" id="{00000000-0008-0000-0400-000010040000}"/>
            </a:ext>
          </a:extLst>
        </xdr:cNvPr>
        <xdr:cNvSpPr txBox="1"/>
      </xdr:nvSpPr>
      <xdr:spPr>
        <a:xfrm>
          <a:off x="28160868" y="77291066"/>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231911</xdr:colOff>
      <xdr:row>381</xdr:row>
      <xdr:rowOff>22614</xdr:rowOff>
    </xdr:from>
    <xdr:to>
      <xdr:col>49</xdr:col>
      <xdr:colOff>34402</xdr:colOff>
      <xdr:row>381</xdr:row>
      <xdr:rowOff>22614</xdr:rowOff>
    </xdr:to>
    <xdr:cxnSp macro="">
      <xdr:nvCxnSpPr>
        <xdr:cNvPr id="1041" name="Straight Arrow Connector 1040">
          <a:extLst>
            <a:ext uri="{FF2B5EF4-FFF2-40B4-BE49-F238E27FC236}">
              <a16:creationId xmlns:a16="http://schemas.microsoft.com/office/drawing/2014/main" xmlns="" id="{00000000-0008-0000-0400-000011040000}"/>
            </a:ext>
          </a:extLst>
        </xdr:cNvPr>
        <xdr:cNvCxnSpPr/>
      </xdr:nvCxnSpPr>
      <xdr:spPr>
        <a:xfrm>
          <a:off x="29038824" y="76744418"/>
          <a:ext cx="102831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5094</xdr:colOff>
      <xdr:row>386</xdr:row>
      <xdr:rowOff>143037</xdr:rowOff>
    </xdr:from>
    <xdr:ext cx="596347" cy="266700"/>
    <xdr:sp macro="" textlink="">
      <xdr:nvSpPr>
        <xdr:cNvPr id="1042" name="TextBox 1041">
          <a:extLst>
            <a:ext uri="{FF2B5EF4-FFF2-40B4-BE49-F238E27FC236}">
              <a16:creationId xmlns:a16="http://schemas.microsoft.com/office/drawing/2014/main" xmlns="" id="{00000000-0008-0000-0400-000012040000}"/>
            </a:ext>
          </a:extLst>
        </xdr:cNvPr>
        <xdr:cNvSpPr txBox="1"/>
      </xdr:nvSpPr>
      <xdr:spPr>
        <a:xfrm>
          <a:off x="20844137" y="77925015"/>
          <a:ext cx="596347"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oneCellAnchor>
    <xdr:from>
      <xdr:col>39</xdr:col>
      <xdr:colOff>298171</xdr:colOff>
      <xdr:row>371</xdr:row>
      <xdr:rowOff>95249</xdr:rowOff>
    </xdr:from>
    <xdr:ext cx="1209261" cy="266700"/>
    <xdr:sp macro="" textlink="">
      <xdr:nvSpPr>
        <xdr:cNvPr id="1043" name="TextBox 1042">
          <a:extLst>
            <a:ext uri="{FF2B5EF4-FFF2-40B4-BE49-F238E27FC236}">
              <a16:creationId xmlns:a16="http://schemas.microsoft.com/office/drawing/2014/main" xmlns="" id="{00000000-0008-0000-0400-000013040000}"/>
            </a:ext>
          </a:extLst>
        </xdr:cNvPr>
        <xdr:cNvSpPr txBox="1"/>
      </xdr:nvSpPr>
      <xdr:spPr>
        <a:xfrm>
          <a:off x="24201780" y="74845792"/>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twoCellAnchor>
    <xdr:from>
      <xdr:col>38</xdr:col>
      <xdr:colOff>463826</xdr:colOff>
      <xdr:row>391</xdr:row>
      <xdr:rowOff>5414</xdr:rowOff>
    </xdr:from>
    <xdr:to>
      <xdr:col>40</xdr:col>
      <xdr:colOff>192729</xdr:colOff>
      <xdr:row>391</xdr:row>
      <xdr:rowOff>5414</xdr:rowOff>
    </xdr:to>
    <xdr:cxnSp macro="">
      <xdr:nvCxnSpPr>
        <xdr:cNvPr id="1044" name="Straight Arrow Connector 1043">
          <a:extLst>
            <a:ext uri="{FF2B5EF4-FFF2-40B4-BE49-F238E27FC236}">
              <a16:creationId xmlns:a16="http://schemas.microsoft.com/office/drawing/2014/main" xmlns="" id="{00000000-0008-0000-0400-000014040000}"/>
            </a:ext>
          </a:extLst>
        </xdr:cNvPr>
        <xdr:cNvCxnSpPr/>
      </xdr:nvCxnSpPr>
      <xdr:spPr>
        <a:xfrm>
          <a:off x="23754522" y="78632218"/>
          <a:ext cx="9547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200056</xdr:colOff>
      <xdr:row>382</xdr:row>
      <xdr:rowOff>48427</xdr:rowOff>
    </xdr:from>
    <xdr:to>
      <xdr:col>40</xdr:col>
      <xdr:colOff>200056</xdr:colOff>
      <xdr:row>391</xdr:row>
      <xdr:rowOff>12430</xdr:rowOff>
    </xdr:to>
    <xdr:cxnSp macro="">
      <xdr:nvCxnSpPr>
        <xdr:cNvPr id="1045" name="Straight Arrow Connector 1044">
          <a:extLst>
            <a:ext uri="{FF2B5EF4-FFF2-40B4-BE49-F238E27FC236}">
              <a16:creationId xmlns:a16="http://schemas.microsoft.com/office/drawing/2014/main" xmlns="" id="{00000000-0008-0000-0400-000015040000}"/>
            </a:ext>
          </a:extLst>
        </xdr:cNvPr>
        <xdr:cNvCxnSpPr/>
      </xdr:nvCxnSpPr>
      <xdr:spPr>
        <a:xfrm flipV="1">
          <a:off x="24716578" y="76960731"/>
          <a:ext cx="0" cy="167850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190498</xdr:colOff>
      <xdr:row>382</xdr:row>
      <xdr:rowOff>41413</xdr:rowOff>
    </xdr:from>
    <xdr:to>
      <xdr:col>41</xdr:col>
      <xdr:colOff>412537</xdr:colOff>
      <xdr:row>382</xdr:row>
      <xdr:rowOff>41413</xdr:rowOff>
    </xdr:to>
    <xdr:cxnSp macro="">
      <xdr:nvCxnSpPr>
        <xdr:cNvPr id="1046" name="Straight Arrow Connector 1045">
          <a:extLst>
            <a:ext uri="{FF2B5EF4-FFF2-40B4-BE49-F238E27FC236}">
              <a16:creationId xmlns:a16="http://schemas.microsoft.com/office/drawing/2014/main" xmlns="" id="{00000000-0008-0000-0400-000016040000}"/>
            </a:ext>
          </a:extLst>
        </xdr:cNvPr>
        <xdr:cNvCxnSpPr/>
      </xdr:nvCxnSpPr>
      <xdr:spPr>
        <a:xfrm>
          <a:off x="24707020" y="76953717"/>
          <a:ext cx="8349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41414</xdr:colOff>
      <xdr:row>381</xdr:row>
      <xdr:rowOff>99389</xdr:rowOff>
    </xdr:from>
    <xdr:to>
      <xdr:col>31</xdr:col>
      <xdr:colOff>410951</xdr:colOff>
      <xdr:row>381</xdr:row>
      <xdr:rowOff>99389</xdr:rowOff>
    </xdr:to>
    <xdr:cxnSp macro="">
      <xdr:nvCxnSpPr>
        <xdr:cNvPr id="1047" name="Straight Arrow Connector 1046">
          <a:extLst>
            <a:ext uri="{FF2B5EF4-FFF2-40B4-BE49-F238E27FC236}">
              <a16:creationId xmlns:a16="http://schemas.microsoft.com/office/drawing/2014/main" xmlns="" id="{00000000-0008-0000-0400-000017040000}"/>
            </a:ext>
          </a:extLst>
        </xdr:cNvPr>
        <xdr:cNvCxnSpPr/>
      </xdr:nvCxnSpPr>
      <xdr:spPr>
        <a:xfrm>
          <a:off x="19041718" y="76846041"/>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33131</xdr:colOff>
      <xdr:row>382</xdr:row>
      <xdr:rowOff>105759</xdr:rowOff>
    </xdr:from>
    <xdr:to>
      <xdr:col>31</xdr:col>
      <xdr:colOff>402668</xdr:colOff>
      <xdr:row>382</xdr:row>
      <xdr:rowOff>105759</xdr:rowOff>
    </xdr:to>
    <xdr:cxnSp macro="">
      <xdr:nvCxnSpPr>
        <xdr:cNvPr id="1048" name="Straight Arrow Connector 1047">
          <a:extLst>
            <a:ext uri="{FF2B5EF4-FFF2-40B4-BE49-F238E27FC236}">
              <a16:creationId xmlns:a16="http://schemas.microsoft.com/office/drawing/2014/main" xmlns="" id="{00000000-0008-0000-0400-000018040000}"/>
            </a:ext>
          </a:extLst>
        </xdr:cNvPr>
        <xdr:cNvCxnSpPr/>
      </xdr:nvCxnSpPr>
      <xdr:spPr>
        <a:xfrm>
          <a:off x="19033435" y="77051194"/>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34087</xdr:colOff>
      <xdr:row>383</xdr:row>
      <xdr:rowOff>124235</xdr:rowOff>
    </xdr:from>
    <xdr:to>
      <xdr:col>31</xdr:col>
      <xdr:colOff>403624</xdr:colOff>
      <xdr:row>383</xdr:row>
      <xdr:rowOff>124235</xdr:rowOff>
    </xdr:to>
    <xdr:cxnSp macro="">
      <xdr:nvCxnSpPr>
        <xdr:cNvPr id="1049" name="Straight Arrow Connector 1048">
          <a:extLst>
            <a:ext uri="{FF2B5EF4-FFF2-40B4-BE49-F238E27FC236}">
              <a16:creationId xmlns:a16="http://schemas.microsoft.com/office/drawing/2014/main" xmlns="" id="{00000000-0008-0000-0400-000019040000}"/>
            </a:ext>
          </a:extLst>
        </xdr:cNvPr>
        <xdr:cNvCxnSpPr/>
      </xdr:nvCxnSpPr>
      <xdr:spPr>
        <a:xfrm>
          <a:off x="19034391" y="77260170"/>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215350</xdr:colOff>
      <xdr:row>382</xdr:row>
      <xdr:rowOff>83143</xdr:rowOff>
    </xdr:from>
    <xdr:to>
      <xdr:col>34</xdr:col>
      <xdr:colOff>21344</xdr:colOff>
      <xdr:row>382</xdr:row>
      <xdr:rowOff>83143</xdr:rowOff>
    </xdr:to>
    <xdr:cxnSp macro="">
      <xdr:nvCxnSpPr>
        <xdr:cNvPr id="1050" name="Straight Arrow Connector 1049">
          <a:extLst>
            <a:ext uri="{FF2B5EF4-FFF2-40B4-BE49-F238E27FC236}">
              <a16:creationId xmlns:a16="http://schemas.microsoft.com/office/drawing/2014/main" xmlns="" id="{00000000-0008-0000-0400-00001A040000}"/>
            </a:ext>
          </a:extLst>
        </xdr:cNvPr>
        <xdr:cNvCxnSpPr/>
      </xdr:nvCxnSpPr>
      <xdr:spPr>
        <a:xfrm>
          <a:off x="20441480" y="76995447"/>
          <a:ext cx="41890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8283</xdr:colOff>
      <xdr:row>389</xdr:row>
      <xdr:rowOff>22618</xdr:rowOff>
    </xdr:from>
    <xdr:to>
      <xdr:col>36</xdr:col>
      <xdr:colOff>240196</xdr:colOff>
      <xdr:row>389</xdr:row>
      <xdr:rowOff>22618</xdr:rowOff>
    </xdr:to>
    <xdr:cxnSp macro="">
      <xdr:nvCxnSpPr>
        <xdr:cNvPr id="1051" name="Straight Arrow Connector 1050">
          <a:extLst>
            <a:ext uri="{FF2B5EF4-FFF2-40B4-BE49-F238E27FC236}">
              <a16:creationId xmlns:a16="http://schemas.microsoft.com/office/drawing/2014/main" xmlns="" id="{00000000-0008-0000-0400-00001B040000}"/>
            </a:ext>
          </a:extLst>
        </xdr:cNvPr>
        <xdr:cNvCxnSpPr/>
      </xdr:nvCxnSpPr>
      <xdr:spPr>
        <a:xfrm>
          <a:off x="20847326" y="78384379"/>
          <a:ext cx="145774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8284</xdr:colOff>
      <xdr:row>382</xdr:row>
      <xdr:rowOff>83145</xdr:rowOff>
    </xdr:from>
    <xdr:to>
      <xdr:col>34</xdr:col>
      <xdr:colOff>8284</xdr:colOff>
      <xdr:row>389</xdr:row>
      <xdr:rowOff>21349</xdr:rowOff>
    </xdr:to>
    <xdr:cxnSp macro="">
      <xdr:nvCxnSpPr>
        <xdr:cNvPr id="1052" name="Straight Arrow Connector 1051">
          <a:extLst>
            <a:ext uri="{FF2B5EF4-FFF2-40B4-BE49-F238E27FC236}">
              <a16:creationId xmlns:a16="http://schemas.microsoft.com/office/drawing/2014/main" xmlns="" id="{00000000-0008-0000-0400-00001C040000}"/>
            </a:ext>
          </a:extLst>
        </xdr:cNvPr>
        <xdr:cNvCxnSpPr/>
      </xdr:nvCxnSpPr>
      <xdr:spPr>
        <a:xfrm flipV="1">
          <a:off x="20847327" y="76995449"/>
          <a:ext cx="0" cy="127170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223630</xdr:colOff>
      <xdr:row>380</xdr:row>
      <xdr:rowOff>24847</xdr:rowOff>
    </xdr:from>
    <xdr:to>
      <xdr:col>45</xdr:col>
      <xdr:colOff>393105</xdr:colOff>
      <xdr:row>380</xdr:row>
      <xdr:rowOff>24847</xdr:rowOff>
    </xdr:to>
    <xdr:cxnSp macro="">
      <xdr:nvCxnSpPr>
        <xdr:cNvPr id="1053" name="Straight Arrow Connector 1052">
          <a:extLst>
            <a:ext uri="{FF2B5EF4-FFF2-40B4-BE49-F238E27FC236}">
              <a16:creationId xmlns:a16="http://schemas.microsoft.com/office/drawing/2014/main" xmlns="" id="{00000000-0008-0000-0400-00001D040000}"/>
            </a:ext>
          </a:extLst>
        </xdr:cNvPr>
        <xdr:cNvCxnSpPr/>
      </xdr:nvCxnSpPr>
      <xdr:spPr>
        <a:xfrm>
          <a:off x="26578891" y="76556151"/>
          <a:ext cx="13953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439267</xdr:colOff>
      <xdr:row>403</xdr:row>
      <xdr:rowOff>49679</xdr:rowOff>
    </xdr:from>
    <xdr:to>
      <xdr:col>51</xdr:col>
      <xdr:colOff>262363</xdr:colOff>
      <xdr:row>409</xdr:row>
      <xdr:rowOff>54897</xdr:rowOff>
    </xdr:to>
    <xdr:grpSp>
      <xdr:nvGrpSpPr>
        <xdr:cNvPr id="1068" name="Group 1067">
          <a:extLst>
            <a:ext uri="{FF2B5EF4-FFF2-40B4-BE49-F238E27FC236}">
              <a16:creationId xmlns:a16="http://schemas.microsoft.com/office/drawing/2014/main" xmlns="" id="{00000000-0008-0000-0400-00002C040000}"/>
            </a:ext>
          </a:extLst>
        </xdr:cNvPr>
        <xdr:cNvGrpSpPr/>
      </xdr:nvGrpSpPr>
      <xdr:grpSpPr>
        <a:xfrm>
          <a:off x="31627479" y="77119255"/>
          <a:ext cx="1096084" cy="1143736"/>
          <a:chOff x="25270558" y="29069787"/>
          <a:chExt cx="1039366" cy="919185"/>
        </a:xfrm>
      </xdr:grpSpPr>
      <xdr:grpSp>
        <xdr:nvGrpSpPr>
          <xdr:cNvPr id="1069" name="Group 1068">
            <a:extLst>
              <a:ext uri="{FF2B5EF4-FFF2-40B4-BE49-F238E27FC236}">
                <a16:creationId xmlns:a16="http://schemas.microsoft.com/office/drawing/2014/main" xmlns="" id="{00000000-0008-0000-0400-00002D040000}"/>
              </a:ext>
            </a:extLst>
          </xdr:cNvPr>
          <xdr:cNvGrpSpPr/>
        </xdr:nvGrpSpPr>
        <xdr:grpSpPr>
          <a:xfrm>
            <a:off x="25270558" y="29069787"/>
            <a:ext cx="1039366" cy="918578"/>
            <a:chOff x="588526" y="237303"/>
            <a:chExt cx="1036410" cy="687892"/>
          </a:xfrm>
        </xdr:grpSpPr>
        <xdr:sp macro="" textlink="">
          <xdr:nvSpPr>
            <xdr:cNvPr id="1071" name="Rectangle 1070">
              <a:extLst>
                <a:ext uri="{FF2B5EF4-FFF2-40B4-BE49-F238E27FC236}">
                  <a16:creationId xmlns:a16="http://schemas.microsoft.com/office/drawing/2014/main" xmlns="" id="{00000000-0008-0000-0400-00002F040000}"/>
                </a:ext>
              </a:extLst>
            </xdr:cNvPr>
            <xdr:cNvSpPr/>
          </xdr:nvSpPr>
          <xdr:spPr>
            <a:xfrm>
              <a:off x="610115" y="237313"/>
              <a:ext cx="1014821" cy="6878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FTM4</a:t>
              </a:r>
            </a:p>
          </xdr:txBody>
        </xdr:sp>
        <xdr:sp macro="" textlink="">
          <xdr:nvSpPr>
            <xdr:cNvPr id="1072" name="TextBox 1071">
              <a:extLst>
                <a:ext uri="{FF2B5EF4-FFF2-40B4-BE49-F238E27FC236}">
                  <a16:creationId xmlns:a16="http://schemas.microsoft.com/office/drawing/2014/main" xmlns="" id="{00000000-0008-0000-0400-000030040000}"/>
                </a:ext>
              </a:extLst>
            </xdr:cNvPr>
            <xdr:cNvSpPr txBox="1"/>
          </xdr:nvSpPr>
          <xdr:spPr>
            <a:xfrm>
              <a:off x="588526" y="237303"/>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1070" name="TextBox 1069">
            <a:extLst>
              <a:ext uri="{FF2B5EF4-FFF2-40B4-BE49-F238E27FC236}">
                <a16:creationId xmlns:a16="http://schemas.microsoft.com/office/drawing/2014/main" xmlns="" id="{00000000-0008-0000-0400-00002E04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306460</xdr:colOff>
      <xdr:row>402</xdr:row>
      <xdr:rowOff>130602</xdr:rowOff>
    </xdr:from>
    <xdr:to>
      <xdr:col>33</xdr:col>
      <xdr:colOff>397570</xdr:colOff>
      <xdr:row>402</xdr:row>
      <xdr:rowOff>130602</xdr:rowOff>
    </xdr:to>
    <xdr:cxnSp macro="">
      <xdr:nvCxnSpPr>
        <xdr:cNvPr id="1073" name="Straight Arrow Connector 1072">
          <a:extLst>
            <a:ext uri="{FF2B5EF4-FFF2-40B4-BE49-F238E27FC236}">
              <a16:creationId xmlns:a16="http://schemas.microsoft.com/office/drawing/2014/main" xmlns="" id="{00000000-0008-0000-0400-000031040000}"/>
            </a:ext>
          </a:extLst>
        </xdr:cNvPr>
        <xdr:cNvCxnSpPr/>
      </xdr:nvCxnSpPr>
      <xdr:spPr>
        <a:xfrm>
          <a:off x="7661417" y="81084819"/>
          <a:ext cx="1296228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397570</xdr:colOff>
      <xdr:row>400</xdr:row>
      <xdr:rowOff>149080</xdr:rowOff>
    </xdr:from>
    <xdr:to>
      <xdr:col>35</xdr:col>
      <xdr:colOff>198759</xdr:colOff>
      <xdr:row>405</xdr:row>
      <xdr:rowOff>165583</xdr:rowOff>
    </xdr:to>
    <xdr:sp macro="" textlink="">
      <xdr:nvSpPr>
        <xdr:cNvPr id="1074" name="Rectangle 1073">
          <a:extLst>
            <a:ext uri="{FF2B5EF4-FFF2-40B4-BE49-F238E27FC236}">
              <a16:creationId xmlns:a16="http://schemas.microsoft.com/office/drawing/2014/main" xmlns="" id="{00000000-0008-0000-0400-000032040000}"/>
            </a:ext>
          </a:extLst>
        </xdr:cNvPr>
        <xdr:cNvSpPr/>
      </xdr:nvSpPr>
      <xdr:spPr>
        <a:xfrm>
          <a:off x="20623700" y="80722297"/>
          <a:ext cx="1027016" cy="9690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FTM4 Clock</a:t>
          </a:r>
          <a:r>
            <a:rPr lang="en-US" sz="1100" baseline="0"/>
            <a:t> Enable</a:t>
          </a:r>
        </a:p>
        <a:p>
          <a:pPr algn="ctr"/>
          <a:r>
            <a:rPr lang="en-US" sz="900"/>
            <a:t>PCC_FTM4[CGC]</a:t>
          </a:r>
        </a:p>
      </xdr:txBody>
    </xdr:sp>
    <xdr:clientData/>
  </xdr:twoCellAnchor>
  <xdr:oneCellAnchor>
    <xdr:from>
      <xdr:col>33</xdr:col>
      <xdr:colOff>571504</xdr:colOff>
      <xdr:row>406</xdr:row>
      <xdr:rowOff>186349</xdr:rowOff>
    </xdr:from>
    <xdr:ext cx="860534" cy="367862"/>
    <xdr:sp macro="" textlink="">
      <xdr:nvSpPr>
        <xdr:cNvPr id="1075" name="TextBox 1074">
          <a:extLst>
            <a:ext uri="{FF2B5EF4-FFF2-40B4-BE49-F238E27FC236}">
              <a16:creationId xmlns:a16="http://schemas.microsoft.com/office/drawing/2014/main" xmlns="" id="{00000000-0008-0000-0400-000033040000}"/>
            </a:ext>
          </a:extLst>
        </xdr:cNvPr>
        <xdr:cNvSpPr txBox="1"/>
      </xdr:nvSpPr>
      <xdr:spPr>
        <a:xfrm>
          <a:off x="20797634" y="81910849"/>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35</xdr:col>
      <xdr:colOff>198787</xdr:colOff>
      <xdr:row>404</xdr:row>
      <xdr:rowOff>26118</xdr:rowOff>
    </xdr:from>
    <xdr:to>
      <xdr:col>49</xdr:col>
      <xdr:colOff>447265</xdr:colOff>
      <xdr:row>404</xdr:row>
      <xdr:rowOff>26118</xdr:rowOff>
    </xdr:to>
    <xdr:cxnSp macro="">
      <xdr:nvCxnSpPr>
        <xdr:cNvPr id="1076" name="Straight Arrow Connector 1075">
          <a:extLst>
            <a:ext uri="{FF2B5EF4-FFF2-40B4-BE49-F238E27FC236}">
              <a16:creationId xmlns:a16="http://schemas.microsoft.com/office/drawing/2014/main" xmlns="" id="{00000000-0008-0000-0400-000034040000}"/>
            </a:ext>
          </a:extLst>
        </xdr:cNvPr>
        <xdr:cNvCxnSpPr/>
      </xdr:nvCxnSpPr>
      <xdr:spPr>
        <a:xfrm>
          <a:off x="21650744" y="81386183"/>
          <a:ext cx="88292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405852</xdr:colOff>
      <xdr:row>408</xdr:row>
      <xdr:rowOff>62754</xdr:rowOff>
    </xdr:from>
    <xdr:to>
      <xdr:col>43</xdr:col>
      <xdr:colOff>207042</xdr:colOff>
      <xdr:row>413</xdr:row>
      <xdr:rowOff>184065</xdr:rowOff>
    </xdr:to>
    <xdr:sp macro="" textlink="">
      <xdr:nvSpPr>
        <xdr:cNvPr id="1077" name="Rectangle 1076">
          <a:extLst>
            <a:ext uri="{FF2B5EF4-FFF2-40B4-BE49-F238E27FC236}">
              <a16:creationId xmlns:a16="http://schemas.microsoft.com/office/drawing/2014/main" xmlns="" id="{00000000-0008-0000-0400-000035040000}"/>
            </a:ext>
          </a:extLst>
        </xdr:cNvPr>
        <xdr:cNvSpPr/>
      </xdr:nvSpPr>
      <xdr:spPr>
        <a:xfrm>
          <a:off x="25535287" y="82226232"/>
          <a:ext cx="1027016" cy="1131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FTM4 Clock Select</a:t>
          </a:r>
        </a:p>
        <a:p>
          <a:pPr algn="ctr"/>
          <a:r>
            <a:rPr lang="en-US" sz="900"/>
            <a:t>FTM4_SC[CLKS]</a:t>
          </a:r>
        </a:p>
      </xdr:txBody>
    </xdr:sp>
    <xdr:clientData/>
  </xdr:twoCellAnchor>
  <xdr:oneCellAnchor>
    <xdr:from>
      <xdr:col>41</xdr:col>
      <xdr:colOff>588069</xdr:colOff>
      <xdr:row>414</xdr:row>
      <xdr:rowOff>193684</xdr:rowOff>
    </xdr:from>
    <xdr:ext cx="1192695" cy="637762"/>
    <xdr:sp macro="" textlink="">
      <xdr:nvSpPr>
        <xdr:cNvPr id="1078" name="TextBox 1077">
          <a:extLst>
            <a:ext uri="{FF2B5EF4-FFF2-40B4-BE49-F238E27FC236}">
              <a16:creationId xmlns:a16="http://schemas.microsoft.com/office/drawing/2014/main" xmlns="" id="{00000000-0008-0000-0400-000036040000}"/>
            </a:ext>
          </a:extLst>
        </xdr:cNvPr>
        <xdr:cNvSpPr txBox="1"/>
      </xdr:nvSpPr>
      <xdr:spPr>
        <a:xfrm>
          <a:off x="25717504" y="83574706"/>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225864</xdr:colOff>
      <xdr:row>408</xdr:row>
      <xdr:rowOff>130921</xdr:rowOff>
    </xdr:from>
    <xdr:to>
      <xdr:col>41</xdr:col>
      <xdr:colOff>397569</xdr:colOff>
      <xdr:row>408</xdr:row>
      <xdr:rowOff>130921</xdr:rowOff>
    </xdr:to>
    <xdr:cxnSp macro="">
      <xdr:nvCxnSpPr>
        <xdr:cNvPr id="1079" name="Straight Arrow Connector 1078">
          <a:extLst>
            <a:ext uri="{FF2B5EF4-FFF2-40B4-BE49-F238E27FC236}">
              <a16:creationId xmlns:a16="http://schemas.microsoft.com/office/drawing/2014/main" xmlns="" id="{00000000-0008-0000-0400-000037040000}"/>
            </a:ext>
          </a:extLst>
        </xdr:cNvPr>
        <xdr:cNvCxnSpPr/>
      </xdr:nvCxnSpPr>
      <xdr:spPr>
        <a:xfrm>
          <a:off x="22290734" y="82228138"/>
          <a:ext cx="32362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215352</xdr:colOff>
      <xdr:row>404</xdr:row>
      <xdr:rowOff>24848</xdr:rowOff>
    </xdr:from>
    <xdr:to>
      <xdr:col>36</xdr:col>
      <xdr:colOff>215352</xdr:colOff>
      <xdr:row>408</xdr:row>
      <xdr:rowOff>140806</xdr:rowOff>
    </xdr:to>
    <xdr:cxnSp macro="">
      <xdr:nvCxnSpPr>
        <xdr:cNvPr id="1080" name="Straight Arrow Connector 1079">
          <a:extLst>
            <a:ext uri="{FF2B5EF4-FFF2-40B4-BE49-F238E27FC236}">
              <a16:creationId xmlns:a16="http://schemas.microsoft.com/office/drawing/2014/main" xmlns="" id="{00000000-0008-0000-0400-000038040000}"/>
            </a:ext>
          </a:extLst>
        </xdr:cNvPr>
        <xdr:cNvCxnSpPr/>
      </xdr:nvCxnSpPr>
      <xdr:spPr>
        <a:xfrm flipV="1">
          <a:off x="22280222" y="81384913"/>
          <a:ext cx="0" cy="91937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538373</xdr:colOff>
      <xdr:row>409</xdr:row>
      <xdr:rowOff>143981</xdr:rowOff>
    </xdr:from>
    <xdr:ext cx="717274" cy="266700"/>
    <xdr:sp macro="" textlink="">
      <xdr:nvSpPr>
        <xdr:cNvPr id="1081" name="TextBox 1080">
          <a:hlinkClick xmlns:r="http://schemas.openxmlformats.org/officeDocument/2006/relationships" r:id="rId17"/>
          <a:extLst>
            <a:ext uri="{FF2B5EF4-FFF2-40B4-BE49-F238E27FC236}">
              <a16:creationId xmlns:a16="http://schemas.microsoft.com/office/drawing/2014/main" xmlns="" id="{00000000-0008-0000-0400-000039040000}"/>
            </a:ext>
          </a:extLst>
        </xdr:cNvPr>
        <xdr:cNvSpPr txBox="1"/>
      </xdr:nvSpPr>
      <xdr:spPr>
        <a:xfrm>
          <a:off x="21990330" y="82497959"/>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405853</xdr:colOff>
      <xdr:row>410</xdr:row>
      <xdr:rowOff>15926</xdr:rowOff>
    </xdr:from>
    <xdr:to>
      <xdr:col>33</xdr:col>
      <xdr:colOff>207043</xdr:colOff>
      <xdr:row>415</xdr:row>
      <xdr:rowOff>167497</xdr:rowOff>
    </xdr:to>
    <xdr:sp macro="" textlink="">
      <xdr:nvSpPr>
        <xdr:cNvPr id="1082" name="Rectangle 1081">
          <a:extLst>
            <a:ext uri="{FF2B5EF4-FFF2-40B4-BE49-F238E27FC236}">
              <a16:creationId xmlns:a16="http://schemas.microsoft.com/office/drawing/2014/main" xmlns="" id="{00000000-0008-0000-0400-00003A040000}"/>
            </a:ext>
          </a:extLst>
        </xdr:cNvPr>
        <xdr:cNvSpPr/>
      </xdr:nvSpPr>
      <xdr:spPr>
        <a:xfrm>
          <a:off x="19406157" y="82568687"/>
          <a:ext cx="1027016" cy="11786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FTM4 Ext.</a:t>
          </a:r>
          <a:r>
            <a:rPr lang="en-US" sz="1100" baseline="0"/>
            <a:t> Clk. Pin Select </a:t>
          </a:r>
          <a:r>
            <a:rPr lang="en-US" sz="900"/>
            <a:t>SIM_FTMOPT0[FTM4CLKSEL]</a:t>
          </a:r>
        </a:p>
      </xdr:txBody>
    </xdr:sp>
    <xdr:clientData/>
  </xdr:twoCellAnchor>
  <xdr:oneCellAnchor>
    <xdr:from>
      <xdr:col>31</xdr:col>
      <xdr:colOff>579786</xdr:colOff>
      <xdr:row>416</xdr:row>
      <xdr:rowOff>187314</xdr:rowOff>
    </xdr:from>
    <xdr:ext cx="1192695" cy="637762"/>
    <xdr:sp macro="" textlink="">
      <xdr:nvSpPr>
        <xdr:cNvPr id="1083" name="TextBox 1082">
          <a:extLst>
            <a:ext uri="{FF2B5EF4-FFF2-40B4-BE49-F238E27FC236}">
              <a16:creationId xmlns:a16="http://schemas.microsoft.com/office/drawing/2014/main" xmlns="" id="{00000000-0008-0000-0400-00003B040000}"/>
            </a:ext>
          </a:extLst>
        </xdr:cNvPr>
        <xdr:cNvSpPr txBox="1"/>
      </xdr:nvSpPr>
      <xdr:spPr>
        <a:xfrm>
          <a:off x="19580090" y="83965901"/>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38</xdr:col>
      <xdr:colOff>33134</xdr:colOff>
      <xdr:row>410</xdr:row>
      <xdr:rowOff>101607</xdr:rowOff>
    </xdr:from>
    <xdr:to>
      <xdr:col>41</xdr:col>
      <xdr:colOff>385974</xdr:colOff>
      <xdr:row>410</xdr:row>
      <xdr:rowOff>101607</xdr:rowOff>
    </xdr:to>
    <xdr:cxnSp macro="">
      <xdr:nvCxnSpPr>
        <xdr:cNvPr id="1087" name="Straight Arrow Connector 1086">
          <a:extLst>
            <a:ext uri="{FF2B5EF4-FFF2-40B4-BE49-F238E27FC236}">
              <a16:creationId xmlns:a16="http://schemas.microsoft.com/office/drawing/2014/main" xmlns="" id="{00000000-0008-0000-0400-00003F040000}"/>
            </a:ext>
          </a:extLst>
        </xdr:cNvPr>
        <xdr:cNvCxnSpPr/>
      </xdr:nvCxnSpPr>
      <xdr:spPr>
        <a:xfrm>
          <a:off x="23323830" y="82646085"/>
          <a:ext cx="2191579"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249438</xdr:colOff>
      <xdr:row>418</xdr:row>
      <xdr:rowOff>187941</xdr:rowOff>
    </xdr:from>
    <xdr:to>
      <xdr:col>38</xdr:col>
      <xdr:colOff>456476</xdr:colOff>
      <xdr:row>426</xdr:row>
      <xdr:rowOff>162455</xdr:rowOff>
    </xdr:to>
    <xdr:sp macro="" textlink="">
      <xdr:nvSpPr>
        <xdr:cNvPr id="1088" name="Rectangle 1087">
          <a:extLst>
            <a:ext uri="{FF2B5EF4-FFF2-40B4-BE49-F238E27FC236}">
              <a16:creationId xmlns:a16="http://schemas.microsoft.com/office/drawing/2014/main" xmlns="" id="{00000000-0008-0000-0400-000040040000}"/>
            </a:ext>
          </a:extLst>
        </xdr:cNvPr>
        <xdr:cNvSpPr/>
      </xdr:nvSpPr>
      <xdr:spPr>
        <a:xfrm>
          <a:off x="22314308" y="84372376"/>
          <a:ext cx="1432864" cy="15316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FTM4 Ext.</a:t>
          </a:r>
          <a:r>
            <a:rPr lang="en-US" sz="1100" baseline="0"/>
            <a:t> Clk. Select </a:t>
          </a:r>
          <a:r>
            <a:rPr lang="en-US" sz="900"/>
            <a:t>PCC_FTM4[PCS]</a:t>
          </a:r>
        </a:p>
      </xdr:txBody>
    </xdr:sp>
    <xdr:clientData/>
  </xdr:twoCellAnchor>
  <xdr:twoCellAnchor>
    <xdr:from>
      <xdr:col>26</xdr:col>
      <xdr:colOff>355669</xdr:colOff>
      <xdr:row>421</xdr:row>
      <xdr:rowOff>135601</xdr:rowOff>
    </xdr:from>
    <xdr:to>
      <xdr:col>36</xdr:col>
      <xdr:colOff>209993</xdr:colOff>
      <xdr:row>421</xdr:row>
      <xdr:rowOff>135601</xdr:rowOff>
    </xdr:to>
    <xdr:cxnSp macro="">
      <xdr:nvCxnSpPr>
        <xdr:cNvPr id="1089" name="Straight Arrow Connector 1088">
          <a:extLst>
            <a:ext uri="{FF2B5EF4-FFF2-40B4-BE49-F238E27FC236}">
              <a16:creationId xmlns:a16="http://schemas.microsoft.com/office/drawing/2014/main" xmlns="" id="{00000000-0008-0000-0400-000041040000}"/>
            </a:ext>
          </a:extLst>
        </xdr:cNvPr>
        <xdr:cNvCxnSpPr/>
      </xdr:nvCxnSpPr>
      <xdr:spPr>
        <a:xfrm>
          <a:off x="16291408" y="84709318"/>
          <a:ext cx="5983455"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590993</xdr:colOff>
      <xdr:row>427</xdr:row>
      <xdr:rowOff>187306</xdr:rowOff>
    </xdr:from>
    <xdr:ext cx="1152526" cy="1116726"/>
    <xdr:sp macro="" textlink="">
      <xdr:nvSpPr>
        <xdr:cNvPr id="1090" name="TextBox 1089">
          <a:extLst>
            <a:ext uri="{FF2B5EF4-FFF2-40B4-BE49-F238E27FC236}">
              <a16:creationId xmlns:a16="http://schemas.microsoft.com/office/drawing/2014/main" xmlns="" id="{00000000-0008-0000-0400-000042040000}"/>
            </a:ext>
          </a:extLst>
        </xdr:cNvPr>
        <xdr:cNvSpPr txBox="1"/>
      </xdr:nvSpPr>
      <xdr:spPr>
        <a:xfrm>
          <a:off x="22655863" y="86119371"/>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330671</xdr:colOff>
      <xdr:row>423</xdr:row>
      <xdr:rowOff>13470</xdr:rowOff>
    </xdr:from>
    <xdr:to>
      <xdr:col>36</xdr:col>
      <xdr:colOff>206114</xdr:colOff>
      <xdr:row>423</xdr:row>
      <xdr:rowOff>13471</xdr:rowOff>
    </xdr:to>
    <xdr:cxnSp macro="">
      <xdr:nvCxnSpPr>
        <xdr:cNvPr id="1091" name="Straight Arrow Connector 1090">
          <a:extLst>
            <a:ext uri="{FF2B5EF4-FFF2-40B4-BE49-F238E27FC236}">
              <a16:creationId xmlns:a16="http://schemas.microsoft.com/office/drawing/2014/main" xmlns="" id="{00000000-0008-0000-0400-000043040000}"/>
            </a:ext>
          </a:extLst>
        </xdr:cNvPr>
        <xdr:cNvCxnSpPr/>
      </xdr:nvCxnSpPr>
      <xdr:spPr>
        <a:xfrm flipV="1">
          <a:off x="13814758" y="84968187"/>
          <a:ext cx="8456226"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308691</xdr:colOff>
      <xdr:row>424</xdr:row>
      <xdr:rowOff>69118</xdr:rowOff>
    </xdr:from>
    <xdr:to>
      <xdr:col>36</xdr:col>
      <xdr:colOff>206114</xdr:colOff>
      <xdr:row>424</xdr:row>
      <xdr:rowOff>69118</xdr:rowOff>
    </xdr:to>
    <xdr:cxnSp macro="">
      <xdr:nvCxnSpPr>
        <xdr:cNvPr id="1092" name="Straight Arrow Connector 1091">
          <a:extLst>
            <a:ext uri="{FF2B5EF4-FFF2-40B4-BE49-F238E27FC236}">
              <a16:creationId xmlns:a16="http://schemas.microsoft.com/office/drawing/2014/main" xmlns="" id="{00000000-0008-0000-0400-000044040000}"/>
            </a:ext>
          </a:extLst>
        </xdr:cNvPr>
        <xdr:cNvCxnSpPr/>
      </xdr:nvCxnSpPr>
      <xdr:spPr>
        <a:xfrm>
          <a:off x="11341126" y="85214335"/>
          <a:ext cx="10929858"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359980</xdr:colOff>
      <xdr:row>425</xdr:row>
      <xdr:rowOff>95879</xdr:rowOff>
    </xdr:from>
    <xdr:to>
      <xdr:col>36</xdr:col>
      <xdr:colOff>220768</xdr:colOff>
      <xdr:row>425</xdr:row>
      <xdr:rowOff>95880</xdr:rowOff>
    </xdr:to>
    <xdr:cxnSp macro="">
      <xdr:nvCxnSpPr>
        <xdr:cNvPr id="1093" name="Straight Arrow Connector 1092">
          <a:extLst>
            <a:ext uri="{FF2B5EF4-FFF2-40B4-BE49-F238E27FC236}">
              <a16:creationId xmlns:a16="http://schemas.microsoft.com/office/drawing/2014/main" xmlns="" id="{00000000-0008-0000-0400-000045040000}"/>
            </a:ext>
          </a:extLst>
        </xdr:cNvPr>
        <xdr:cNvCxnSpPr/>
      </xdr:nvCxnSpPr>
      <xdr:spPr>
        <a:xfrm flipV="1">
          <a:off x="8940763" y="85431596"/>
          <a:ext cx="13344875"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345326</xdr:colOff>
      <xdr:row>419</xdr:row>
      <xdr:rowOff>147166</xdr:rowOff>
    </xdr:from>
    <xdr:ext cx="1209261" cy="266700"/>
    <xdr:sp macro="" textlink="">
      <xdr:nvSpPr>
        <xdr:cNvPr id="1094" name="TextBox 1093">
          <a:extLst>
            <a:ext uri="{FF2B5EF4-FFF2-40B4-BE49-F238E27FC236}">
              <a16:creationId xmlns:a16="http://schemas.microsoft.com/office/drawing/2014/main" xmlns="" id="{00000000-0008-0000-0400-000046040000}"/>
            </a:ext>
          </a:extLst>
        </xdr:cNvPr>
        <xdr:cNvSpPr txBox="1"/>
      </xdr:nvSpPr>
      <xdr:spPr>
        <a:xfrm>
          <a:off x="23636022" y="84339883"/>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24852</xdr:colOff>
      <xdr:row>408</xdr:row>
      <xdr:rowOff>128056</xdr:rowOff>
    </xdr:from>
    <xdr:to>
      <xdr:col>49</xdr:col>
      <xdr:colOff>458419</xdr:colOff>
      <xdr:row>408</xdr:row>
      <xdr:rowOff>128056</xdr:rowOff>
    </xdr:to>
    <xdr:cxnSp macro="">
      <xdr:nvCxnSpPr>
        <xdr:cNvPr id="1095" name="Straight Arrow Connector 1094">
          <a:extLst>
            <a:ext uri="{FF2B5EF4-FFF2-40B4-BE49-F238E27FC236}">
              <a16:creationId xmlns:a16="http://schemas.microsoft.com/office/drawing/2014/main" xmlns="" id="{00000000-0008-0000-0400-000047040000}"/>
            </a:ext>
          </a:extLst>
        </xdr:cNvPr>
        <xdr:cNvCxnSpPr/>
      </xdr:nvCxnSpPr>
      <xdr:spPr>
        <a:xfrm>
          <a:off x="30057591" y="82225273"/>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35689</xdr:colOff>
      <xdr:row>408</xdr:row>
      <xdr:rowOff>135070</xdr:rowOff>
    </xdr:from>
    <xdr:to>
      <xdr:col>49</xdr:col>
      <xdr:colOff>35689</xdr:colOff>
      <xdr:row>412</xdr:row>
      <xdr:rowOff>33130</xdr:rowOff>
    </xdr:to>
    <xdr:cxnSp macro="">
      <xdr:nvCxnSpPr>
        <xdr:cNvPr id="1096" name="Straight Arrow Connector 1095">
          <a:extLst>
            <a:ext uri="{FF2B5EF4-FFF2-40B4-BE49-F238E27FC236}">
              <a16:creationId xmlns:a16="http://schemas.microsoft.com/office/drawing/2014/main" xmlns="" id="{00000000-0008-0000-0400-000048040000}"/>
            </a:ext>
          </a:extLst>
        </xdr:cNvPr>
        <xdr:cNvCxnSpPr/>
      </xdr:nvCxnSpPr>
      <xdr:spPr>
        <a:xfrm flipV="1">
          <a:off x="30068428" y="82298548"/>
          <a:ext cx="0" cy="71803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422418</xdr:colOff>
      <xdr:row>408</xdr:row>
      <xdr:rowOff>53517</xdr:rowOff>
    </xdr:from>
    <xdr:to>
      <xdr:col>47</xdr:col>
      <xdr:colOff>223608</xdr:colOff>
      <xdr:row>413</xdr:row>
      <xdr:rowOff>174828</xdr:rowOff>
    </xdr:to>
    <xdr:sp macro="" textlink="">
      <xdr:nvSpPr>
        <xdr:cNvPr id="1097" name="Rectangle 1096">
          <a:extLst>
            <a:ext uri="{FF2B5EF4-FFF2-40B4-BE49-F238E27FC236}">
              <a16:creationId xmlns:a16="http://schemas.microsoft.com/office/drawing/2014/main" xmlns="" id="{00000000-0008-0000-0400-000049040000}"/>
            </a:ext>
          </a:extLst>
        </xdr:cNvPr>
        <xdr:cNvSpPr/>
      </xdr:nvSpPr>
      <xdr:spPr>
        <a:xfrm>
          <a:off x="28003505" y="82216995"/>
          <a:ext cx="1027016" cy="11483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FTM4 Clock Prescaler</a:t>
          </a:r>
        </a:p>
        <a:p>
          <a:pPr algn="ctr"/>
          <a:r>
            <a:rPr lang="en-US" sz="900"/>
            <a:t>FTM4_SC[PS]</a:t>
          </a:r>
        </a:p>
      </xdr:txBody>
    </xdr:sp>
    <xdr:clientData/>
  </xdr:twoCellAnchor>
  <xdr:oneCellAnchor>
    <xdr:from>
      <xdr:col>45</xdr:col>
      <xdr:colOff>588070</xdr:colOff>
      <xdr:row>414</xdr:row>
      <xdr:rowOff>188266</xdr:rowOff>
    </xdr:from>
    <xdr:ext cx="1432891" cy="1143001"/>
    <xdr:sp macro="" textlink="">
      <xdr:nvSpPr>
        <xdr:cNvPr id="1098" name="TextBox 1097">
          <a:extLst>
            <a:ext uri="{FF2B5EF4-FFF2-40B4-BE49-F238E27FC236}">
              <a16:creationId xmlns:a16="http://schemas.microsoft.com/office/drawing/2014/main" xmlns="" id="{00000000-0008-0000-0400-00004A040000}"/>
            </a:ext>
          </a:extLst>
        </xdr:cNvPr>
        <xdr:cNvSpPr txBox="1"/>
      </xdr:nvSpPr>
      <xdr:spPr>
        <a:xfrm>
          <a:off x="28169157" y="83585853"/>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240200</xdr:colOff>
      <xdr:row>412</xdr:row>
      <xdr:rowOff>39180</xdr:rowOff>
    </xdr:from>
    <xdr:to>
      <xdr:col>49</xdr:col>
      <xdr:colOff>42691</xdr:colOff>
      <xdr:row>412</xdr:row>
      <xdr:rowOff>39180</xdr:rowOff>
    </xdr:to>
    <xdr:cxnSp macro="">
      <xdr:nvCxnSpPr>
        <xdr:cNvPr id="1099" name="Straight Arrow Connector 1098">
          <a:extLst>
            <a:ext uri="{FF2B5EF4-FFF2-40B4-BE49-F238E27FC236}">
              <a16:creationId xmlns:a16="http://schemas.microsoft.com/office/drawing/2014/main" xmlns="" id="{00000000-0008-0000-0400-00004B040000}"/>
            </a:ext>
          </a:extLst>
        </xdr:cNvPr>
        <xdr:cNvCxnSpPr/>
      </xdr:nvCxnSpPr>
      <xdr:spPr>
        <a:xfrm>
          <a:off x="29047113" y="83022637"/>
          <a:ext cx="102831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13383</xdr:colOff>
      <xdr:row>417</xdr:row>
      <xdr:rowOff>151322</xdr:rowOff>
    </xdr:from>
    <xdr:ext cx="596347" cy="271094"/>
    <xdr:sp macro="" textlink="">
      <xdr:nvSpPr>
        <xdr:cNvPr id="1100" name="TextBox 1099">
          <a:extLst>
            <a:ext uri="{FF2B5EF4-FFF2-40B4-BE49-F238E27FC236}">
              <a16:creationId xmlns:a16="http://schemas.microsoft.com/office/drawing/2014/main" xmlns="" id="{00000000-0008-0000-0400-00004C040000}"/>
            </a:ext>
          </a:extLst>
        </xdr:cNvPr>
        <xdr:cNvSpPr txBox="1"/>
      </xdr:nvSpPr>
      <xdr:spPr>
        <a:xfrm>
          <a:off x="20852426" y="84136974"/>
          <a:ext cx="596347" cy="2710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oneCellAnchor>
    <xdr:from>
      <xdr:col>39</xdr:col>
      <xdr:colOff>306460</xdr:colOff>
      <xdr:row>401</xdr:row>
      <xdr:rowOff>128383</xdr:rowOff>
    </xdr:from>
    <xdr:ext cx="1209261" cy="266700"/>
    <xdr:sp macro="" textlink="">
      <xdr:nvSpPr>
        <xdr:cNvPr id="1101" name="TextBox 1100">
          <a:extLst>
            <a:ext uri="{FF2B5EF4-FFF2-40B4-BE49-F238E27FC236}">
              <a16:creationId xmlns:a16="http://schemas.microsoft.com/office/drawing/2014/main" xmlns="" id="{00000000-0008-0000-0400-00004D040000}"/>
            </a:ext>
          </a:extLst>
        </xdr:cNvPr>
        <xdr:cNvSpPr txBox="1"/>
      </xdr:nvSpPr>
      <xdr:spPr>
        <a:xfrm>
          <a:off x="24210069" y="80892100"/>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twoCellAnchor>
    <xdr:from>
      <xdr:col>38</xdr:col>
      <xdr:colOff>472115</xdr:colOff>
      <xdr:row>422</xdr:row>
      <xdr:rowOff>30262</xdr:rowOff>
    </xdr:from>
    <xdr:to>
      <xdr:col>40</xdr:col>
      <xdr:colOff>201018</xdr:colOff>
      <xdr:row>422</xdr:row>
      <xdr:rowOff>30262</xdr:rowOff>
    </xdr:to>
    <xdr:cxnSp macro="">
      <xdr:nvCxnSpPr>
        <xdr:cNvPr id="1102" name="Straight Arrow Connector 1101">
          <a:extLst>
            <a:ext uri="{FF2B5EF4-FFF2-40B4-BE49-F238E27FC236}">
              <a16:creationId xmlns:a16="http://schemas.microsoft.com/office/drawing/2014/main" xmlns="" id="{00000000-0008-0000-0400-00004E040000}"/>
            </a:ext>
          </a:extLst>
        </xdr:cNvPr>
        <xdr:cNvCxnSpPr/>
      </xdr:nvCxnSpPr>
      <xdr:spPr>
        <a:xfrm>
          <a:off x="23762811" y="84794479"/>
          <a:ext cx="9547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208345</xdr:colOff>
      <xdr:row>412</xdr:row>
      <xdr:rowOff>131254</xdr:rowOff>
    </xdr:from>
    <xdr:to>
      <xdr:col>40</xdr:col>
      <xdr:colOff>208345</xdr:colOff>
      <xdr:row>422</xdr:row>
      <xdr:rowOff>37278</xdr:rowOff>
    </xdr:to>
    <xdr:cxnSp macro="">
      <xdr:nvCxnSpPr>
        <xdr:cNvPr id="1103" name="Straight Arrow Connector 1102">
          <a:extLst>
            <a:ext uri="{FF2B5EF4-FFF2-40B4-BE49-F238E27FC236}">
              <a16:creationId xmlns:a16="http://schemas.microsoft.com/office/drawing/2014/main" xmlns="" id="{00000000-0008-0000-0400-00004F040000}"/>
            </a:ext>
          </a:extLst>
        </xdr:cNvPr>
        <xdr:cNvCxnSpPr/>
      </xdr:nvCxnSpPr>
      <xdr:spPr>
        <a:xfrm flipV="1">
          <a:off x="24724867" y="82990471"/>
          <a:ext cx="0" cy="181102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198787</xdr:colOff>
      <xdr:row>412</xdr:row>
      <xdr:rowOff>124240</xdr:rowOff>
    </xdr:from>
    <xdr:to>
      <xdr:col>41</xdr:col>
      <xdr:colOff>420826</xdr:colOff>
      <xdr:row>412</xdr:row>
      <xdr:rowOff>124240</xdr:rowOff>
    </xdr:to>
    <xdr:cxnSp macro="">
      <xdr:nvCxnSpPr>
        <xdr:cNvPr id="1104" name="Straight Arrow Connector 1103">
          <a:extLst>
            <a:ext uri="{FF2B5EF4-FFF2-40B4-BE49-F238E27FC236}">
              <a16:creationId xmlns:a16="http://schemas.microsoft.com/office/drawing/2014/main" xmlns="" id="{00000000-0008-0000-0400-000050040000}"/>
            </a:ext>
          </a:extLst>
        </xdr:cNvPr>
        <xdr:cNvCxnSpPr/>
      </xdr:nvCxnSpPr>
      <xdr:spPr>
        <a:xfrm>
          <a:off x="24715309" y="82983457"/>
          <a:ext cx="8349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223639</xdr:colOff>
      <xdr:row>412</xdr:row>
      <xdr:rowOff>165970</xdr:rowOff>
    </xdr:from>
    <xdr:to>
      <xdr:col>34</xdr:col>
      <xdr:colOff>29633</xdr:colOff>
      <xdr:row>412</xdr:row>
      <xdr:rowOff>165970</xdr:rowOff>
    </xdr:to>
    <xdr:cxnSp macro="">
      <xdr:nvCxnSpPr>
        <xdr:cNvPr id="1105" name="Straight Arrow Connector 1104">
          <a:extLst>
            <a:ext uri="{FF2B5EF4-FFF2-40B4-BE49-F238E27FC236}">
              <a16:creationId xmlns:a16="http://schemas.microsoft.com/office/drawing/2014/main" xmlns="" id="{00000000-0008-0000-0400-000051040000}"/>
            </a:ext>
          </a:extLst>
        </xdr:cNvPr>
        <xdr:cNvCxnSpPr/>
      </xdr:nvCxnSpPr>
      <xdr:spPr>
        <a:xfrm>
          <a:off x="20449769" y="83025187"/>
          <a:ext cx="41890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16572</xdr:colOff>
      <xdr:row>420</xdr:row>
      <xdr:rowOff>14336</xdr:rowOff>
    </xdr:from>
    <xdr:to>
      <xdr:col>36</xdr:col>
      <xdr:colOff>248485</xdr:colOff>
      <xdr:row>420</xdr:row>
      <xdr:rowOff>14336</xdr:rowOff>
    </xdr:to>
    <xdr:cxnSp macro="">
      <xdr:nvCxnSpPr>
        <xdr:cNvPr id="1106" name="Straight Arrow Connector 1105">
          <a:extLst>
            <a:ext uri="{FF2B5EF4-FFF2-40B4-BE49-F238E27FC236}">
              <a16:creationId xmlns:a16="http://schemas.microsoft.com/office/drawing/2014/main" xmlns="" id="{00000000-0008-0000-0400-000052040000}"/>
            </a:ext>
          </a:extLst>
        </xdr:cNvPr>
        <xdr:cNvCxnSpPr/>
      </xdr:nvCxnSpPr>
      <xdr:spPr>
        <a:xfrm>
          <a:off x="20855615" y="84397553"/>
          <a:ext cx="145774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16573</xdr:colOff>
      <xdr:row>412</xdr:row>
      <xdr:rowOff>165972</xdr:rowOff>
    </xdr:from>
    <xdr:to>
      <xdr:col>34</xdr:col>
      <xdr:colOff>16573</xdr:colOff>
      <xdr:row>420</xdr:row>
      <xdr:rowOff>13067</xdr:rowOff>
    </xdr:to>
    <xdr:cxnSp macro="">
      <xdr:nvCxnSpPr>
        <xdr:cNvPr id="1107" name="Straight Arrow Connector 1106">
          <a:extLst>
            <a:ext uri="{FF2B5EF4-FFF2-40B4-BE49-F238E27FC236}">
              <a16:creationId xmlns:a16="http://schemas.microsoft.com/office/drawing/2014/main" xmlns="" id="{00000000-0008-0000-0400-000053040000}"/>
            </a:ext>
          </a:extLst>
        </xdr:cNvPr>
        <xdr:cNvCxnSpPr/>
      </xdr:nvCxnSpPr>
      <xdr:spPr>
        <a:xfrm flipV="1">
          <a:off x="20855616" y="83025189"/>
          <a:ext cx="0" cy="137109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231919</xdr:colOff>
      <xdr:row>411</xdr:row>
      <xdr:rowOff>33126</xdr:rowOff>
    </xdr:from>
    <xdr:to>
      <xdr:col>45</xdr:col>
      <xdr:colOff>401394</xdr:colOff>
      <xdr:row>411</xdr:row>
      <xdr:rowOff>33126</xdr:rowOff>
    </xdr:to>
    <xdr:cxnSp macro="">
      <xdr:nvCxnSpPr>
        <xdr:cNvPr id="1108" name="Straight Arrow Connector 1107">
          <a:extLst>
            <a:ext uri="{FF2B5EF4-FFF2-40B4-BE49-F238E27FC236}">
              <a16:creationId xmlns:a16="http://schemas.microsoft.com/office/drawing/2014/main" xmlns="" id="{00000000-0008-0000-0400-000054040000}"/>
            </a:ext>
          </a:extLst>
        </xdr:cNvPr>
        <xdr:cNvCxnSpPr/>
      </xdr:nvCxnSpPr>
      <xdr:spPr>
        <a:xfrm>
          <a:off x="26587180" y="82809517"/>
          <a:ext cx="13953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16566</xdr:colOff>
      <xdr:row>411</xdr:row>
      <xdr:rowOff>107674</xdr:rowOff>
    </xdr:from>
    <xdr:to>
      <xdr:col>31</xdr:col>
      <xdr:colOff>386103</xdr:colOff>
      <xdr:row>411</xdr:row>
      <xdr:rowOff>107674</xdr:rowOff>
    </xdr:to>
    <xdr:cxnSp macro="">
      <xdr:nvCxnSpPr>
        <xdr:cNvPr id="1109" name="Straight Arrow Connector 1108">
          <a:extLst>
            <a:ext uri="{FF2B5EF4-FFF2-40B4-BE49-F238E27FC236}">
              <a16:creationId xmlns:a16="http://schemas.microsoft.com/office/drawing/2014/main" xmlns="" id="{00000000-0008-0000-0400-000055040000}"/>
            </a:ext>
          </a:extLst>
        </xdr:cNvPr>
        <xdr:cNvCxnSpPr/>
      </xdr:nvCxnSpPr>
      <xdr:spPr>
        <a:xfrm>
          <a:off x="19016870" y="82867500"/>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8283</xdr:colOff>
      <xdr:row>412</xdr:row>
      <xdr:rowOff>122327</xdr:rowOff>
    </xdr:from>
    <xdr:to>
      <xdr:col>31</xdr:col>
      <xdr:colOff>377820</xdr:colOff>
      <xdr:row>412</xdr:row>
      <xdr:rowOff>122327</xdr:rowOff>
    </xdr:to>
    <xdr:cxnSp macro="">
      <xdr:nvCxnSpPr>
        <xdr:cNvPr id="1110" name="Straight Arrow Connector 1109">
          <a:extLst>
            <a:ext uri="{FF2B5EF4-FFF2-40B4-BE49-F238E27FC236}">
              <a16:creationId xmlns:a16="http://schemas.microsoft.com/office/drawing/2014/main" xmlns="" id="{00000000-0008-0000-0400-000056040000}"/>
            </a:ext>
          </a:extLst>
        </xdr:cNvPr>
        <xdr:cNvCxnSpPr/>
      </xdr:nvCxnSpPr>
      <xdr:spPr>
        <a:xfrm>
          <a:off x="19008587" y="83080936"/>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9239</xdr:colOff>
      <xdr:row>413</xdr:row>
      <xdr:rowOff>157368</xdr:rowOff>
    </xdr:from>
    <xdr:to>
      <xdr:col>31</xdr:col>
      <xdr:colOff>378776</xdr:colOff>
      <xdr:row>413</xdr:row>
      <xdr:rowOff>157368</xdr:rowOff>
    </xdr:to>
    <xdr:cxnSp macro="">
      <xdr:nvCxnSpPr>
        <xdr:cNvPr id="1111" name="Straight Arrow Connector 1110">
          <a:extLst>
            <a:ext uri="{FF2B5EF4-FFF2-40B4-BE49-F238E27FC236}">
              <a16:creationId xmlns:a16="http://schemas.microsoft.com/office/drawing/2014/main" xmlns="" id="{00000000-0008-0000-0400-000057040000}"/>
            </a:ext>
          </a:extLst>
        </xdr:cNvPr>
        <xdr:cNvCxnSpPr/>
      </xdr:nvCxnSpPr>
      <xdr:spPr>
        <a:xfrm>
          <a:off x="19009543" y="83306477"/>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439264</xdr:colOff>
      <xdr:row>433</xdr:row>
      <xdr:rowOff>33112</xdr:rowOff>
    </xdr:from>
    <xdr:to>
      <xdr:col>51</xdr:col>
      <xdr:colOff>262360</xdr:colOff>
      <xdr:row>439</xdr:row>
      <xdr:rowOff>96308</xdr:rowOff>
    </xdr:to>
    <xdr:grpSp>
      <xdr:nvGrpSpPr>
        <xdr:cNvPr id="1112" name="Group 1111">
          <a:extLst>
            <a:ext uri="{FF2B5EF4-FFF2-40B4-BE49-F238E27FC236}">
              <a16:creationId xmlns:a16="http://schemas.microsoft.com/office/drawing/2014/main" xmlns="" id="{00000000-0008-0000-0400-000058040000}"/>
            </a:ext>
          </a:extLst>
        </xdr:cNvPr>
        <xdr:cNvGrpSpPr/>
      </xdr:nvGrpSpPr>
      <xdr:grpSpPr>
        <a:xfrm>
          <a:off x="31627476" y="82804241"/>
          <a:ext cx="1096084" cy="1201714"/>
          <a:chOff x="25270558" y="29069787"/>
          <a:chExt cx="1039366" cy="919185"/>
        </a:xfrm>
      </xdr:grpSpPr>
      <xdr:grpSp>
        <xdr:nvGrpSpPr>
          <xdr:cNvPr id="1113" name="Group 1112">
            <a:extLst>
              <a:ext uri="{FF2B5EF4-FFF2-40B4-BE49-F238E27FC236}">
                <a16:creationId xmlns:a16="http://schemas.microsoft.com/office/drawing/2014/main" xmlns="" id="{00000000-0008-0000-0400-000059040000}"/>
              </a:ext>
            </a:extLst>
          </xdr:cNvPr>
          <xdr:cNvGrpSpPr/>
        </xdr:nvGrpSpPr>
        <xdr:grpSpPr>
          <a:xfrm>
            <a:off x="25270558" y="29069787"/>
            <a:ext cx="1039366" cy="918578"/>
            <a:chOff x="588526" y="237303"/>
            <a:chExt cx="1036410" cy="687892"/>
          </a:xfrm>
        </xdr:grpSpPr>
        <xdr:sp macro="" textlink="">
          <xdr:nvSpPr>
            <xdr:cNvPr id="1115" name="Rectangle 1114">
              <a:extLst>
                <a:ext uri="{FF2B5EF4-FFF2-40B4-BE49-F238E27FC236}">
                  <a16:creationId xmlns:a16="http://schemas.microsoft.com/office/drawing/2014/main" xmlns="" id="{00000000-0008-0000-0400-00005B040000}"/>
                </a:ext>
              </a:extLst>
            </xdr:cNvPr>
            <xdr:cNvSpPr/>
          </xdr:nvSpPr>
          <xdr:spPr>
            <a:xfrm>
              <a:off x="610115" y="237313"/>
              <a:ext cx="1014821" cy="6878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FTM5</a:t>
              </a:r>
            </a:p>
          </xdr:txBody>
        </xdr:sp>
        <xdr:sp macro="" textlink="">
          <xdr:nvSpPr>
            <xdr:cNvPr id="1116" name="TextBox 1115">
              <a:extLst>
                <a:ext uri="{FF2B5EF4-FFF2-40B4-BE49-F238E27FC236}">
                  <a16:creationId xmlns:a16="http://schemas.microsoft.com/office/drawing/2014/main" xmlns="" id="{00000000-0008-0000-0400-00005C040000}"/>
                </a:ext>
              </a:extLst>
            </xdr:cNvPr>
            <xdr:cNvSpPr txBox="1"/>
          </xdr:nvSpPr>
          <xdr:spPr>
            <a:xfrm>
              <a:off x="588526" y="237303"/>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1114" name="TextBox 1113">
            <a:extLst>
              <a:ext uri="{FF2B5EF4-FFF2-40B4-BE49-F238E27FC236}">
                <a16:creationId xmlns:a16="http://schemas.microsoft.com/office/drawing/2014/main" xmlns="" id="{00000000-0008-0000-0400-00005A04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306457</xdr:colOff>
      <xdr:row>432</xdr:row>
      <xdr:rowOff>105752</xdr:rowOff>
    </xdr:from>
    <xdr:to>
      <xdr:col>33</xdr:col>
      <xdr:colOff>397567</xdr:colOff>
      <xdr:row>432</xdr:row>
      <xdr:rowOff>105752</xdr:rowOff>
    </xdr:to>
    <xdr:cxnSp macro="">
      <xdr:nvCxnSpPr>
        <xdr:cNvPr id="1117" name="Straight Arrow Connector 1116">
          <a:extLst>
            <a:ext uri="{FF2B5EF4-FFF2-40B4-BE49-F238E27FC236}">
              <a16:creationId xmlns:a16="http://schemas.microsoft.com/office/drawing/2014/main" xmlns="" id="{00000000-0008-0000-0400-00005D040000}"/>
            </a:ext>
          </a:extLst>
        </xdr:cNvPr>
        <xdr:cNvCxnSpPr/>
      </xdr:nvCxnSpPr>
      <xdr:spPr>
        <a:xfrm>
          <a:off x="7661414" y="87073143"/>
          <a:ext cx="1296228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397567</xdr:colOff>
      <xdr:row>430</xdr:row>
      <xdr:rowOff>115947</xdr:rowOff>
    </xdr:from>
    <xdr:to>
      <xdr:col>35</xdr:col>
      <xdr:colOff>198756</xdr:colOff>
      <xdr:row>435</xdr:row>
      <xdr:rowOff>165581</xdr:rowOff>
    </xdr:to>
    <xdr:sp macro="" textlink="">
      <xdr:nvSpPr>
        <xdr:cNvPr id="1118" name="Rectangle 1117">
          <a:extLst>
            <a:ext uri="{FF2B5EF4-FFF2-40B4-BE49-F238E27FC236}">
              <a16:creationId xmlns:a16="http://schemas.microsoft.com/office/drawing/2014/main" xmlns="" id="{00000000-0008-0000-0400-00005E040000}"/>
            </a:ext>
          </a:extLst>
        </xdr:cNvPr>
        <xdr:cNvSpPr/>
      </xdr:nvSpPr>
      <xdr:spPr>
        <a:xfrm>
          <a:off x="20623697" y="86702338"/>
          <a:ext cx="1027016" cy="10021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FTM5 Clock</a:t>
          </a:r>
          <a:r>
            <a:rPr lang="en-US" sz="1100" baseline="0"/>
            <a:t> Enable</a:t>
          </a:r>
        </a:p>
        <a:p>
          <a:pPr algn="ctr"/>
          <a:r>
            <a:rPr lang="en-US" sz="900"/>
            <a:t>PCC_FTM5[CGC]</a:t>
          </a:r>
        </a:p>
      </xdr:txBody>
    </xdr:sp>
    <xdr:clientData/>
  </xdr:twoCellAnchor>
  <xdr:twoCellAnchor>
    <xdr:from>
      <xdr:col>35</xdr:col>
      <xdr:colOff>198784</xdr:colOff>
      <xdr:row>434</xdr:row>
      <xdr:rowOff>26116</xdr:rowOff>
    </xdr:from>
    <xdr:to>
      <xdr:col>49</xdr:col>
      <xdr:colOff>447262</xdr:colOff>
      <xdr:row>434</xdr:row>
      <xdr:rowOff>26116</xdr:rowOff>
    </xdr:to>
    <xdr:cxnSp macro="">
      <xdr:nvCxnSpPr>
        <xdr:cNvPr id="1119" name="Straight Arrow Connector 1118">
          <a:extLst>
            <a:ext uri="{FF2B5EF4-FFF2-40B4-BE49-F238E27FC236}">
              <a16:creationId xmlns:a16="http://schemas.microsoft.com/office/drawing/2014/main" xmlns="" id="{00000000-0008-0000-0400-00005F040000}"/>
            </a:ext>
          </a:extLst>
        </xdr:cNvPr>
        <xdr:cNvCxnSpPr/>
      </xdr:nvCxnSpPr>
      <xdr:spPr>
        <a:xfrm>
          <a:off x="21650741" y="87374507"/>
          <a:ext cx="88292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405849</xdr:colOff>
      <xdr:row>437</xdr:row>
      <xdr:rowOff>186987</xdr:rowOff>
    </xdr:from>
    <xdr:to>
      <xdr:col>43</xdr:col>
      <xdr:colOff>207039</xdr:colOff>
      <xdr:row>443</xdr:row>
      <xdr:rowOff>184061</xdr:rowOff>
    </xdr:to>
    <xdr:sp macro="" textlink="">
      <xdr:nvSpPr>
        <xdr:cNvPr id="1120" name="Rectangle 1119">
          <a:extLst>
            <a:ext uri="{FF2B5EF4-FFF2-40B4-BE49-F238E27FC236}">
              <a16:creationId xmlns:a16="http://schemas.microsoft.com/office/drawing/2014/main" xmlns="" id="{00000000-0008-0000-0400-000060040000}"/>
            </a:ext>
          </a:extLst>
        </xdr:cNvPr>
        <xdr:cNvSpPr/>
      </xdr:nvSpPr>
      <xdr:spPr>
        <a:xfrm>
          <a:off x="25535284" y="88164857"/>
          <a:ext cx="1027016" cy="12063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FTM5 Clock Select</a:t>
          </a:r>
        </a:p>
        <a:p>
          <a:pPr algn="ctr"/>
          <a:r>
            <a:rPr lang="en-US" sz="900"/>
            <a:t>FTM5_SC[CLKS]</a:t>
          </a:r>
        </a:p>
      </xdr:txBody>
    </xdr:sp>
    <xdr:clientData/>
  </xdr:twoCellAnchor>
  <xdr:oneCellAnchor>
    <xdr:from>
      <xdr:col>41</xdr:col>
      <xdr:colOff>588066</xdr:colOff>
      <xdr:row>444</xdr:row>
      <xdr:rowOff>205467</xdr:rowOff>
    </xdr:from>
    <xdr:ext cx="1192695" cy="637762"/>
    <xdr:sp macro="" textlink="">
      <xdr:nvSpPr>
        <xdr:cNvPr id="1121" name="TextBox 1120">
          <a:extLst>
            <a:ext uri="{FF2B5EF4-FFF2-40B4-BE49-F238E27FC236}">
              <a16:creationId xmlns:a16="http://schemas.microsoft.com/office/drawing/2014/main" xmlns="" id="{00000000-0008-0000-0400-000061040000}"/>
            </a:ext>
          </a:extLst>
        </xdr:cNvPr>
        <xdr:cNvSpPr txBox="1"/>
      </xdr:nvSpPr>
      <xdr:spPr>
        <a:xfrm>
          <a:off x="25521585" y="90736929"/>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225861</xdr:colOff>
      <xdr:row>438</xdr:row>
      <xdr:rowOff>172332</xdr:rowOff>
    </xdr:from>
    <xdr:to>
      <xdr:col>41</xdr:col>
      <xdr:colOff>397566</xdr:colOff>
      <xdr:row>438</xdr:row>
      <xdr:rowOff>172332</xdr:rowOff>
    </xdr:to>
    <xdr:cxnSp macro="">
      <xdr:nvCxnSpPr>
        <xdr:cNvPr id="1122" name="Straight Arrow Connector 1121">
          <a:extLst>
            <a:ext uri="{FF2B5EF4-FFF2-40B4-BE49-F238E27FC236}">
              <a16:creationId xmlns:a16="http://schemas.microsoft.com/office/drawing/2014/main" xmlns="" id="{00000000-0008-0000-0400-000062040000}"/>
            </a:ext>
          </a:extLst>
        </xdr:cNvPr>
        <xdr:cNvCxnSpPr/>
      </xdr:nvCxnSpPr>
      <xdr:spPr>
        <a:xfrm>
          <a:off x="22290731" y="88282723"/>
          <a:ext cx="32362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215349</xdr:colOff>
      <xdr:row>434</xdr:row>
      <xdr:rowOff>24846</xdr:rowOff>
    </xdr:from>
    <xdr:to>
      <xdr:col>36</xdr:col>
      <xdr:colOff>215349</xdr:colOff>
      <xdr:row>438</xdr:row>
      <xdr:rowOff>182217</xdr:rowOff>
    </xdr:to>
    <xdr:cxnSp macro="">
      <xdr:nvCxnSpPr>
        <xdr:cNvPr id="1123" name="Straight Arrow Connector 1122">
          <a:extLst>
            <a:ext uri="{FF2B5EF4-FFF2-40B4-BE49-F238E27FC236}">
              <a16:creationId xmlns:a16="http://schemas.microsoft.com/office/drawing/2014/main" xmlns="" id="{00000000-0008-0000-0400-000063040000}"/>
            </a:ext>
          </a:extLst>
        </xdr:cNvPr>
        <xdr:cNvCxnSpPr/>
      </xdr:nvCxnSpPr>
      <xdr:spPr>
        <a:xfrm flipV="1">
          <a:off x="22280219" y="87373237"/>
          <a:ext cx="0" cy="91937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538370</xdr:colOff>
      <xdr:row>439</xdr:row>
      <xdr:rowOff>152260</xdr:rowOff>
    </xdr:from>
    <xdr:ext cx="717274" cy="266700"/>
    <xdr:sp macro="" textlink="">
      <xdr:nvSpPr>
        <xdr:cNvPr id="1124" name="TextBox 1123">
          <a:hlinkClick xmlns:r="http://schemas.openxmlformats.org/officeDocument/2006/relationships" r:id="rId17"/>
          <a:extLst>
            <a:ext uri="{FF2B5EF4-FFF2-40B4-BE49-F238E27FC236}">
              <a16:creationId xmlns:a16="http://schemas.microsoft.com/office/drawing/2014/main" xmlns="" id="{00000000-0008-0000-0400-000064040000}"/>
            </a:ext>
          </a:extLst>
        </xdr:cNvPr>
        <xdr:cNvSpPr txBox="1"/>
      </xdr:nvSpPr>
      <xdr:spPr>
        <a:xfrm>
          <a:off x="21990327" y="88519412"/>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405850</xdr:colOff>
      <xdr:row>439</xdr:row>
      <xdr:rowOff>131880</xdr:rowOff>
    </xdr:from>
    <xdr:to>
      <xdr:col>33</xdr:col>
      <xdr:colOff>207040</xdr:colOff>
      <xdr:row>445</xdr:row>
      <xdr:rowOff>167494</xdr:rowOff>
    </xdr:to>
    <xdr:sp macro="" textlink="">
      <xdr:nvSpPr>
        <xdr:cNvPr id="1125" name="Rectangle 1124">
          <a:extLst>
            <a:ext uri="{FF2B5EF4-FFF2-40B4-BE49-F238E27FC236}">
              <a16:creationId xmlns:a16="http://schemas.microsoft.com/office/drawing/2014/main" xmlns="" id="{00000000-0008-0000-0400-000065040000}"/>
            </a:ext>
          </a:extLst>
        </xdr:cNvPr>
        <xdr:cNvSpPr/>
      </xdr:nvSpPr>
      <xdr:spPr>
        <a:xfrm>
          <a:off x="19406154" y="88499032"/>
          <a:ext cx="1027016" cy="12614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FTM5 Ext.</a:t>
          </a:r>
          <a:r>
            <a:rPr lang="en-US" sz="1100" baseline="0"/>
            <a:t> Clk. Pin Select </a:t>
          </a:r>
          <a:r>
            <a:rPr lang="en-US" sz="900"/>
            <a:t>SIM_FTMOPT0[FTM5CLKSEL]</a:t>
          </a:r>
        </a:p>
      </xdr:txBody>
    </xdr:sp>
    <xdr:clientData/>
  </xdr:twoCellAnchor>
  <xdr:oneCellAnchor>
    <xdr:from>
      <xdr:col>31</xdr:col>
      <xdr:colOff>579783</xdr:colOff>
      <xdr:row>446</xdr:row>
      <xdr:rowOff>179030</xdr:rowOff>
    </xdr:from>
    <xdr:ext cx="1192695" cy="637762"/>
    <xdr:sp macro="" textlink="">
      <xdr:nvSpPr>
        <xdr:cNvPr id="1126" name="TextBox 1125">
          <a:extLst>
            <a:ext uri="{FF2B5EF4-FFF2-40B4-BE49-F238E27FC236}">
              <a16:creationId xmlns:a16="http://schemas.microsoft.com/office/drawing/2014/main" xmlns="" id="{00000000-0008-0000-0400-000066040000}"/>
            </a:ext>
          </a:extLst>
        </xdr:cNvPr>
        <xdr:cNvSpPr txBox="1"/>
      </xdr:nvSpPr>
      <xdr:spPr>
        <a:xfrm>
          <a:off x="19580087" y="89970791"/>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38</xdr:col>
      <xdr:colOff>33131</xdr:colOff>
      <xdr:row>440</xdr:row>
      <xdr:rowOff>85037</xdr:rowOff>
    </xdr:from>
    <xdr:to>
      <xdr:col>41</xdr:col>
      <xdr:colOff>385971</xdr:colOff>
      <xdr:row>440</xdr:row>
      <xdr:rowOff>85037</xdr:rowOff>
    </xdr:to>
    <xdr:cxnSp macro="">
      <xdr:nvCxnSpPr>
        <xdr:cNvPr id="1130" name="Straight Arrow Connector 1129">
          <a:extLst>
            <a:ext uri="{FF2B5EF4-FFF2-40B4-BE49-F238E27FC236}">
              <a16:creationId xmlns:a16="http://schemas.microsoft.com/office/drawing/2014/main" xmlns="" id="{00000000-0008-0000-0400-00006A040000}"/>
            </a:ext>
          </a:extLst>
        </xdr:cNvPr>
        <xdr:cNvCxnSpPr/>
      </xdr:nvCxnSpPr>
      <xdr:spPr>
        <a:xfrm>
          <a:off x="23323827" y="88642689"/>
          <a:ext cx="2191579"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249435</xdr:colOff>
      <xdr:row>450</xdr:row>
      <xdr:rowOff>113399</xdr:rowOff>
    </xdr:from>
    <xdr:to>
      <xdr:col>38</xdr:col>
      <xdr:colOff>456473</xdr:colOff>
      <xdr:row>458</xdr:row>
      <xdr:rowOff>162456</xdr:rowOff>
    </xdr:to>
    <xdr:sp macro="" textlink="">
      <xdr:nvSpPr>
        <xdr:cNvPr id="1131" name="Rectangle 1130">
          <a:extLst>
            <a:ext uri="{FF2B5EF4-FFF2-40B4-BE49-F238E27FC236}">
              <a16:creationId xmlns:a16="http://schemas.microsoft.com/office/drawing/2014/main" xmlns="" id="{00000000-0008-0000-0400-00006B040000}"/>
            </a:ext>
          </a:extLst>
        </xdr:cNvPr>
        <xdr:cNvSpPr/>
      </xdr:nvSpPr>
      <xdr:spPr>
        <a:xfrm>
          <a:off x="22314305" y="90700290"/>
          <a:ext cx="1432864" cy="15979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FTM5 Ext.</a:t>
          </a:r>
          <a:r>
            <a:rPr lang="en-US" sz="1100" baseline="0"/>
            <a:t> Clk. Select </a:t>
          </a:r>
          <a:r>
            <a:rPr lang="en-US" sz="900"/>
            <a:t>PCC_FTM5[PCS]</a:t>
          </a:r>
        </a:p>
      </xdr:txBody>
    </xdr:sp>
    <xdr:clientData/>
  </xdr:twoCellAnchor>
  <xdr:twoCellAnchor>
    <xdr:from>
      <xdr:col>26</xdr:col>
      <xdr:colOff>355666</xdr:colOff>
      <xdr:row>452</xdr:row>
      <xdr:rowOff>160447</xdr:rowOff>
    </xdr:from>
    <xdr:to>
      <xdr:col>36</xdr:col>
      <xdr:colOff>209990</xdr:colOff>
      <xdr:row>452</xdr:row>
      <xdr:rowOff>160447</xdr:rowOff>
    </xdr:to>
    <xdr:cxnSp macro="">
      <xdr:nvCxnSpPr>
        <xdr:cNvPr id="1132" name="Straight Arrow Connector 1131">
          <a:extLst>
            <a:ext uri="{FF2B5EF4-FFF2-40B4-BE49-F238E27FC236}">
              <a16:creationId xmlns:a16="http://schemas.microsoft.com/office/drawing/2014/main" xmlns="" id="{00000000-0008-0000-0400-00006C040000}"/>
            </a:ext>
          </a:extLst>
        </xdr:cNvPr>
        <xdr:cNvCxnSpPr/>
      </xdr:nvCxnSpPr>
      <xdr:spPr>
        <a:xfrm>
          <a:off x="16291405" y="90937838"/>
          <a:ext cx="5983455"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590990</xdr:colOff>
      <xdr:row>459</xdr:row>
      <xdr:rowOff>179022</xdr:rowOff>
    </xdr:from>
    <xdr:ext cx="1152526" cy="1116726"/>
    <xdr:sp macro="" textlink="">
      <xdr:nvSpPr>
        <xdr:cNvPr id="1133" name="TextBox 1132">
          <a:extLst>
            <a:ext uri="{FF2B5EF4-FFF2-40B4-BE49-F238E27FC236}">
              <a16:creationId xmlns:a16="http://schemas.microsoft.com/office/drawing/2014/main" xmlns="" id="{00000000-0008-0000-0400-00006D040000}"/>
            </a:ext>
          </a:extLst>
        </xdr:cNvPr>
        <xdr:cNvSpPr txBox="1"/>
      </xdr:nvSpPr>
      <xdr:spPr>
        <a:xfrm>
          <a:off x="22655860" y="92505261"/>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330668</xdr:colOff>
      <xdr:row>454</xdr:row>
      <xdr:rowOff>63164</xdr:rowOff>
    </xdr:from>
    <xdr:to>
      <xdr:col>36</xdr:col>
      <xdr:colOff>206111</xdr:colOff>
      <xdr:row>454</xdr:row>
      <xdr:rowOff>63165</xdr:rowOff>
    </xdr:to>
    <xdr:cxnSp macro="">
      <xdr:nvCxnSpPr>
        <xdr:cNvPr id="1134" name="Straight Arrow Connector 1133">
          <a:extLst>
            <a:ext uri="{FF2B5EF4-FFF2-40B4-BE49-F238E27FC236}">
              <a16:creationId xmlns:a16="http://schemas.microsoft.com/office/drawing/2014/main" xmlns="" id="{00000000-0008-0000-0400-00006E040000}"/>
            </a:ext>
          </a:extLst>
        </xdr:cNvPr>
        <xdr:cNvCxnSpPr/>
      </xdr:nvCxnSpPr>
      <xdr:spPr>
        <a:xfrm flipV="1">
          <a:off x="13814755" y="91221555"/>
          <a:ext cx="8456226"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308688</xdr:colOff>
      <xdr:row>455</xdr:row>
      <xdr:rowOff>118812</xdr:rowOff>
    </xdr:from>
    <xdr:to>
      <xdr:col>36</xdr:col>
      <xdr:colOff>206111</xdr:colOff>
      <xdr:row>455</xdr:row>
      <xdr:rowOff>118812</xdr:rowOff>
    </xdr:to>
    <xdr:cxnSp macro="">
      <xdr:nvCxnSpPr>
        <xdr:cNvPr id="1135" name="Straight Arrow Connector 1134">
          <a:extLst>
            <a:ext uri="{FF2B5EF4-FFF2-40B4-BE49-F238E27FC236}">
              <a16:creationId xmlns:a16="http://schemas.microsoft.com/office/drawing/2014/main" xmlns="" id="{00000000-0008-0000-0400-00006F040000}"/>
            </a:ext>
          </a:extLst>
        </xdr:cNvPr>
        <xdr:cNvCxnSpPr/>
      </xdr:nvCxnSpPr>
      <xdr:spPr>
        <a:xfrm>
          <a:off x="11341123" y="91467703"/>
          <a:ext cx="10929858"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359977</xdr:colOff>
      <xdr:row>456</xdr:row>
      <xdr:rowOff>145573</xdr:rowOff>
    </xdr:from>
    <xdr:to>
      <xdr:col>36</xdr:col>
      <xdr:colOff>220765</xdr:colOff>
      <xdr:row>456</xdr:row>
      <xdr:rowOff>145574</xdr:rowOff>
    </xdr:to>
    <xdr:cxnSp macro="">
      <xdr:nvCxnSpPr>
        <xdr:cNvPr id="1136" name="Straight Arrow Connector 1135">
          <a:extLst>
            <a:ext uri="{FF2B5EF4-FFF2-40B4-BE49-F238E27FC236}">
              <a16:creationId xmlns:a16="http://schemas.microsoft.com/office/drawing/2014/main" xmlns="" id="{00000000-0008-0000-0400-000070040000}"/>
            </a:ext>
          </a:extLst>
        </xdr:cNvPr>
        <xdr:cNvCxnSpPr/>
      </xdr:nvCxnSpPr>
      <xdr:spPr>
        <a:xfrm flipV="1">
          <a:off x="8940760" y="91684964"/>
          <a:ext cx="13344875"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345323</xdr:colOff>
      <xdr:row>450</xdr:row>
      <xdr:rowOff>138882</xdr:rowOff>
    </xdr:from>
    <xdr:ext cx="1209261" cy="266700"/>
    <xdr:sp macro="" textlink="">
      <xdr:nvSpPr>
        <xdr:cNvPr id="1137" name="TextBox 1136">
          <a:extLst>
            <a:ext uri="{FF2B5EF4-FFF2-40B4-BE49-F238E27FC236}">
              <a16:creationId xmlns:a16="http://schemas.microsoft.com/office/drawing/2014/main" xmlns="" id="{00000000-0008-0000-0400-000071040000}"/>
            </a:ext>
          </a:extLst>
        </xdr:cNvPr>
        <xdr:cNvSpPr txBox="1"/>
      </xdr:nvSpPr>
      <xdr:spPr>
        <a:xfrm>
          <a:off x="23636019" y="90535273"/>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24849</xdr:colOff>
      <xdr:row>438</xdr:row>
      <xdr:rowOff>169467</xdr:rowOff>
    </xdr:from>
    <xdr:to>
      <xdr:col>49</xdr:col>
      <xdr:colOff>458416</xdr:colOff>
      <xdr:row>438</xdr:row>
      <xdr:rowOff>169467</xdr:rowOff>
    </xdr:to>
    <xdr:cxnSp macro="">
      <xdr:nvCxnSpPr>
        <xdr:cNvPr id="1138" name="Straight Arrow Connector 1137">
          <a:extLst>
            <a:ext uri="{FF2B5EF4-FFF2-40B4-BE49-F238E27FC236}">
              <a16:creationId xmlns:a16="http://schemas.microsoft.com/office/drawing/2014/main" xmlns="" id="{00000000-0008-0000-0400-000072040000}"/>
            </a:ext>
          </a:extLst>
        </xdr:cNvPr>
        <xdr:cNvCxnSpPr/>
      </xdr:nvCxnSpPr>
      <xdr:spPr>
        <a:xfrm>
          <a:off x="30057588" y="88279858"/>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35686</xdr:colOff>
      <xdr:row>438</xdr:row>
      <xdr:rowOff>176481</xdr:rowOff>
    </xdr:from>
    <xdr:to>
      <xdr:col>49</xdr:col>
      <xdr:colOff>35686</xdr:colOff>
      <xdr:row>442</xdr:row>
      <xdr:rowOff>16565</xdr:rowOff>
    </xdr:to>
    <xdr:cxnSp macro="">
      <xdr:nvCxnSpPr>
        <xdr:cNvPr id="1139" name="Straight Arrow Connector 1138">
          <a:extLst>
            <a:ext uri="{FF2B5EF4-FFF2-40B4-BE49-F238E27FC236}">
              <a16:creationId xmlns:a16="http://schemas.microsoft.com/office/drawing/2014/main" xmlns="" id="{00000000-0008-0000-0400-000073040000}"/>
            </a:ext>
          </a:extLst>
        </xdr:cNvPr>
        <xdr:cNvCxnSpPr/>
      </xdr:nvCxnSpPr>
      <xdr:spPr>
        <a:xfrm flipV="1">
          <a:off x="30068425" y="88353133"/>
          <a:ext cx="0" cy="64349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422415</xdr:colOff>
      <xdr:row>437</xdr:row>
      <xdr:rowOff>186037</xdr:rowOff>
    </xdr:from>
    <xdr:to>
      <xdr:col>47</xdr:col>
      <xdr:colOff>223605</xdr:colOff>
      <xdr:row>443</xdr:row>
      <xdr:rowOff>183111</xdr:rowOff>
    </xdr:to>
    <xdr:sp macro="" textlink="">
      <xdr:nvSpPr>
        <xdr:cNvPr id="1140" name="Rectangle 1139">
          <a:extLst>
            <a:ext uri="{FF2B5EF4-FFF2-40B4-BE49-F238E27FC236}">
              <a16:creationId xmlns:a16="http://schemas.microsoft.com/office/drawing/2014/main" xmlns="" id="{00000000-0008-0000-0400-000074040000}"/>
            </a:ext>
          </a:extLst>
        </xdr:cNvPr>
        <xdr:cNvSpPr/>
      </xdr:nvSpPr>
      <xdr:spPr>
        <a:xfrm>
          <a:off x="28003502" y="88163907"/>
          <a:ext cx="1027016" cy="12063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FTM5 Clock Prescaler</a:t>
          </a:r>
        </a:p>
        <a:p>
          <a:pPr algn="ctr"/>
          <a:r>
            <a:rPr lang="en-US" sz="900"/>
            <a:t>FTM5_SC[PS]</a:t>
          </a:r>
        </a:p>
      </xdr:txBody>
    </xdr:sp>
    <xdr:clientData/>
  </xdr:twoCellAnchor>
  <xdr:oneCellAnchor>
    <xdr:from>
      <xdr:col>45</xdr:col>
      <xdr:colOff>588067</xdr:colOff>
      <xdr:row>444</xdr:row>
      <xdr:rowOff>188268</xdr:rowOff>
    </xdr:from>
    <xdr:ext cx="1432891" cy="1143001"/>
    <xdr:sp macro="" textlink="">
      <xdr:nvSpPr>
        <xdr:cNvPr id="1141" name="TextBox 1140">
          <a:extLst>
            <a:ext uri="{FF2B5EF4-FFF2-40B4-BE49-F238E27FC236}">
              <a16:creationId xmlns:a16="http://schemas.microsoft.com/office/drawing/2014/main" xmlns="" id="{00000000-0008-0000-0400-000075040000}"/>
            </a:ext>
          </a:extLst>
        </xdr:cNvPr>
        <xdr:cNvSpPr txBox="1"/>
      </xdr:nvSpPr>
      <xdr:spPr>
        <a:xfrm>
          <a:off x="28169154" y="89582464"/>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240197</xdr:colOff>
      <xdr:row>442</xdr:row>
      <xdr:rowOff>14328</xdr:rowOff>
    </xdr:from>
    <xdr:to>
      <xdr:col>49</xdr:col>
      <xdr:colOff>42688</xdr:colOff>
      <xdr:row>442</xdr:row>
      <xdr:rowOff>14328</xdr:rowOff>
    </xdr:to>
    <xdr:cxnSp macro="">
      <xdr:nvCxnSpPr>
        <xdr:cNvPr id="1142" name="Straight Arrow Connector 1141">
          <a:extLst>
            <a:ext uri="{FF2B5EF4-FFF2-40B4-BE49-F238E27FC236}">
              <a16:creationId xmlns:a16="http://schemas.microsoft.com/office/drawing/2014/main" xmlns="" id="{00000000-0008-0000-0400-000076040000}"/>
            </a:ext>
          </a:extLst>
        </xdr:cNvPr>
        <xdr:cNvCxnSpPr/>
      </xdr:nvCxnSpPr>
      <xdr:spPr>
        <a:xfrm>
          <a:off x="29047110" y="88994393"/>
          <a:ext cx="102831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13380</xdr:colOff>
      <xdr:row>448</xdr:row>
      <xdr:rowOff>151321</xdr:rowOff>
    </xdr:from>
    <xdr:ext cx="596347" cy="271094"/>
    <xdr:sp macro="" textlink="">
      <xdr:nvSpPr>
        <xdr:cNvPr id="1143" name="TextBox 1142">
          <a:extLst>
            <a:ext uri="{FF2B5EF4-FFF2-40B4-BE49-F238E27FC236}">
              <a16:creationId xmlns:a16="http://schemas.microsoft.com/office/drawing/2014/main" xmlns="" id="{00000000-0008-0000-0400-000077040000}"/>
            </a:ext>
          </a:extLst>
        </xdr:cNvPr>
        <xdr:cNvSpPr txBox="1"/>
      </xdr:nvSpPr>
      <xdr:spPr>
        <a:xfrm>
          <a:off x="20852423" y="90348930"/>
          <a:ext cx="596347" cy="2710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oneCellAnchor>
    <xdr:from>
      <xdr:col>39</xdr:col>
      <xdr:colOff>306457</xdr:colOff>
      <xdr:row>431</xdr:row>
      <xdr:rowOff>103533</xdr:rowOff>
    </xdr:from>
    <xdr:ext cx="1209261" cy="266700"/>
    <xdr:sp macro="" textlink="">
      <xdr:nvSpPr>
        <xdr:cNvPr id="1144" name="TextBox 1143">
          <a:extLst>
            <a:ext uri="{FF2B5EF4-FFF2-40B4-BE49-F238E27FC236}">
              <a16:creationId xmlns:a16="http://schemas.microsoft.com/office/drawing/2014/main" xmlns="" id="{00000000-0008-0000-0400-000078040000}"/>
            </a:ext>
          </a:extLst>
        </xdr:cNvPr>
        <xdr:cNvSpPr txBox="1"/>
      </xdr:nvSpPr>
      <xdr:spPr>
        <a:xfrm>
          <a:off x="24210066" y="86880424"/>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twoCellAnchor>
    <xdr:from>
      <xdr:col>38</xdr:col>
      <xdr:colOff>472112</xdr:colOff>
      <xdr:row>453</xdr:row>
      <xdr:rowOff>21975</xdr:rowOff>
    </xdr:from>
    <xdr:to>
      <xdr:col>40</xdr:col>
      <xdr:colOff>201015</xdr:colOff>
      <xdr:row>453</xdr:row>
      <xdr:rowOff>21975</xdr:rowOff>
    </xdr:to>
    <xdr:cxnSp macro="">
      <xdr:nvCxnSpPr>
        <xdr:cNvPr id="1145" name="Straight Arrow Connector 1144">
          <a:extLst>
            <a:ext uri="{FF2B5EF4-FFF2-40B4-BE49-F238E27FC236}">
              <a16:creationId xmlns:a16="http://schemas.microsoft.com/office/drawing/2014/main" xmlns="" id="{00000000-0008-0000-0400-000079040000}"/>
            </a:ext>
          </a:extLst>
        </xdr:cNvPr>
        <xdr:cNvCxnSpPr/>
      </xdr:nvCxnSpPr>
      <xdr:spPr>
        <a:xfrm>
          <a:off x="23762808" y="91089258"/>
          <a:ext cx="9547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208342</xdr:colOff>
      <xdr:row>443</xdr:row>
      <xdr:rowOff>23579</xdr:rowOff>
    </xdr:from>
    <xdr:to>
      <xdr:col>40</xdr:col>
      <xdr:colOff>208342</xdr:colOff>
      <xdr:row>453</xdr:row>
      <xdr:rowOff>41413</xdr:rowOff>
    </xdr:to>
    <xdr:cxnSp macro="">
      <xdr:nvCxnSpPr>
        <xdr:cNvPr id="1146" name="Straight Arrow Connector 1145">
          <a:extLst>
            <a:ext uri="{FF2B5EF4-FFF2-40B4-BE49-F238E27FC236}">
              <a16:creationId xmlns:a16="http://schemas.microsoft.com/office/drawing/2014/main" xmlns="" id="{00000000-0008-0000-0400-00007A040000}"/>
            </a:ext>
          </a:extLst>
        </xdr:cNvPr>
        <xdr:cNvCxnSpPr/>
      </xdr:nvCxnSpPr>
      <xdr:spPr>
        <a:xfrm flipV="1">
          <a:off x="24724864" y="89185862"/>
          <a:ext cx="0" cy="192283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198784</xdr:colOff>
      <xdr:row>443</xdr:row>
      <xdr:rowOff>16564</xdr:rowOff>
    </xdr:from>
    <xdr:to>
      <xdr:col>41</xdr:col>
      <xdr:colOff>420823</xdr:colOff>
      <xdr:row>443</xdr:row>
      <xdr:rowOff>16564</xdr:rowOff>
    </xdr:to>
    <xdr:cxnSp macro="">
      <xdr:nvCxnSpPr>
        <xdr:cNvPr id="1147" name="Straight Arrow Connector 1146">
          <a:extLst>
            <a:ext uri="{FF2B5EF4-FFF2-40B4-BE49-F238E27FC236}">
              <a16:creationId xmlns:a16="http://schemas.microsoft.com/office/drawing/2014/main" xmlns="" id="{00000000-0008-0000-0400-00007B040000}"/>
            </a:ext>
          </a:extLst>
        </xdr:cNvPr>
        <xdr:cNvCxnSpPr/>
      </xdr:nvCxnSpPr>
      <xdr:spPr>
        <a:xfrm>
          <a:off x="24715306" y="89079455"/>
          <a:ext cx="8349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223636</xdr:colOff>
      <xdr:row>443</xdr:row>
      <xdr:rowOff>58294</xdr:rowOff>
    </xdr:from>
    <xdr:to>
      <xdr:col>33</xdr:col>
      <xdr:colOff>596348</xdr:colOff>
      <xdr:row>443</xdr:row>
      <xdr:rowOff>58294</xdr:rowOff>
    </xdr:to>
    <xdr:cxnSp macro="">
      <xdr:nvCxnSpPr>
        <xdr:cNvPr id="1148" name="Straight Arrow Connector 1147">
          <a:extLst>
            <a:ext uri="{FF2B5EF4-FFF2-40B4-BE49-F238E27FC236}">
              <a16:creationId xmlns:a16="http://schemas.microsoft.com/office/drawing/2014/main" xmlns="" id="{00000000-0008-0000-0400-00007C040000}"/>
            </a:ext>
          </a:extLst>
        </xdr:cNvPr>
        <xdr:cNvCxnSpPr/>
      </xdr:nvCxnSpPr>
      <xdr:spPr>
        <a:xfrm>
          <a:off x="20449766" y="89245424"/>
          <a:ext cx="37271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579783</xdr:colOff>
      <xdr:row>451</xdr:row>
      <xdr:rowOff>22617</xdr:rowOff>
    </xdr:from>
    <xdr:to>
      <xdr:col>36</xdr:col>
      <xdr:colOff>248482</xdr:colOff>
      <xdr:row>451</xdr:row>
      <xdr:rowOff>22617</xdr:rowOff>
    </xdr:to>
    <xdr:cxnSp macro="">
      <xdr:nvCxnSpPr>
        <xdr:cNvPr id="1149" name="Straight Arrow Connector 1148">
          <a:extLst>
            <a:ext uri="{FF2B5EF4-FFF2-40B4-BE49-F238E27FC236}">
              <a16:creationId xmlns:a16="http://schemas.microsoft.com/office/drawing/2014/main" xmlns="" id="{00000000-0008-0000-0400-00007D040000}"/>
            </a:ext>
          </a:extLst>
        </xdr:cNvPr>
        <xdr:cNvCxnSpPr/>
      </xdr:nvCxnSpPr>
      <xdr:spPr>
        <a:xfrm>
          <a:off x="20805913" y="90816574"/>
          <a:ext cx="15074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588068</xdr:colOff>
      <xdr:row>443</xdr:row>
      <xdr:rowOff>58296</xdr:rowOff>
    </xdr:from>
    <xdr:to>
      <xdr:col>33</xdr:col>
      <xdr:colOff>588068</xdr:colOff>
      <xdr:row>451</xdr:row>
      <xdr:rowOff>21348</xdr:rowOff>
    </xdr:to>
    <xdr:cxnSp macro="">
      <xdr:nvCxnSpPr>
        <xdr:cNvPr id="1150" name="Straight Arrow Connector 1149">
          <a:extLst>
            <a:ext uri="{FF2B5EF4-FFF2-40B4-BE49-F238E27FC236}">
              <a16:creationId xmlns:a16="http://schemas.microsoft.com/office/drawing/2014/main" xmlns="" id="{00000000-0008-0000-0400-00007E040000}"/>
            </a:ext>
          </a:extLst>
        </xdr:cNvPr>
        <xdr:cNvCxnSpPr/>
      </xdr:nvCxnSpPr>
      <xdr:spPr>
        <a:xfrm flipV="1">
          <a:off x="20814198" y="89245426"/>
          <a:ext cx="0" cy="156987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16563</xdr:colOff>
      <xdr:row>441</xdr:row>
      <xdr:rowOff>115952</xdr:rowOff>
    </xdr:from>
    <xdr:to>
      <xdr:col>31</xdr:col>
      <xdr:colOff>386100</xdr:colOff>
      <xdr:row>441</xdr:row>
      <xdr:rowOff>115952</xdr:rowOff>
    </xdr:to>
    <xdr:cxnSp macro="">
      <xdr:nvCxnSpPr>
        <xdr:cNvPr id="1151" name="Straight Arrow Connector 1150">
          <a:extLst>
            <a:ext uri="{FF2B5EF4-FFF2-40B4-BE49-F238E27FC236}">
              <a16:creationId xmlns:a16="http://schemas.microsoft.com/office/drawing/2014/main" xmlns="" id="{00000000-0008-0000-0400-00007F040000}"/>
            </a:ext>
          </a:extLst>
        </xdr:cNvPr>
        <xdr:cNvCxnSpPr/>
      </xdr:nvCxnSpPr>
      <xdr:spPr>
        <a:xfrm>
          <a:off x="19016867" y="88888952"/>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8280</xdr:colOff>
      <xdr:row>442</xdr:row>
      <xdr:rowOff>97475</xdr:rowOff>
    </xdr:from>
    <xdr:to>
      <xdr:col>31</xdr:col>
      <xdr:colOff>377817</xdr:colOff>
      <xdr:row>442</xdr:row>
      <xdr:rowOff>97475</xdr:rowOff>
    </xdr:to>
    <xdr:cxnSp macro="">
      <xdr:nvCxnSpPr>
        <xdr:cNvPr id="1152" name="Straight Arrow Connector 1151">
          <a:extLst>
            <a:ext uri="{FF2B5EF4-FFF2-40B4-BE49-F238E27FC236}">
              <a16:creationId xmlns:a16="http://schemas.microsoft.com/office/drawing/2014/main" xmlns="" id="{00000000-0008-0000-0400-000080040000}"/>
            </a:ext>
          </a:extLst>
        </xdr:cNvPr>
        <xdr:cNvCxnSpPr/>
      </xdr:nvCxnSpPr>
      <xdr:spPr>
        <a:xfrm>
          <a:off x="19008584" y="89069258"/>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9236</xdr:colOff>
      <xdr:row>443</xdr:row>
      <xdr:rowOff>99386</xdr:rowOff>
    </xdr:from>
    <xdr:to>
      <xdr:col>31</xdr:col>
      <xdr:colOff>378773</xdr:colOff>
      <xdr:row>443</xdr:row>
      <xdr:rowOff>99386</xdr:rowOff>
    </xdr:to>
    <xdr:cxnSp macro="">
      <xdr:nvCxnSpPr>
        <xdr:cNvPr id="1153" name="Straight Arrow Connector 1152">
          <a:extLst>
            <a:ext uri="{FF2B5EF4-FFF2-40B4-BE49-F238E27FC236}">
              <a16:creationId xmlns:a16="http://schemas.microsoft.com/office/drawing/2014/main" xmlns="" id="{00000000-0008-0000-0400-000081040000}"/>
            </a:ext>
          </a:extLst>
        </xdr:cNvPr>
        <xdr:cNvCxnSpPr/>
      </xdr:nvCxnSpPr>
      <xdr:spPr>
        <a:xfrm>
          <a:off x="19009540" y="89261669"/>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563217</xdr:colOff>
      <xdr:row>436</xdr:row>
      <xdr:rowOff>188590</xdr:rowOff>
    </xdr:from>
    <xdr:ext cx="860534" cy="367862"/>
    <xdr:sp macro="" textlink="">
      <xdr:nvSpPr>
        <xdr:cNvPr id="1154" name="TextBox 1153">
          <a:extLst>
            <a:ext uri="{FF2B5EF4-FFF2-40B4-BE49-F238E27FC236}">
              <a16:creationId xmlns:a16="http://schemas.microsoft.com/office/drawing/2014/main" xmlns="" id="{00000000-0008-0000-0400-000082040000}"/>
            </a:ext>
          </a:extLst>
        </xdr:cNvPr>
        <xdr:cNvSpPr txBox="1"/>
      </xdr:nvSpPr>
      <xdr:spPr>
        <a:xfrm>
          <a:off x="20631659" y="89071494"/>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43</xdr:col>
      <xdr:colOff>231913</xdr:colOff>
      <xdr:row>441</xdr:row>
      <xdr:rowOff>24843</xdr:rowOff>
    </xdr:from>
    <xdr:to>
      <xdr:col>45</xdr:col>
      <xdr:colOff>401388</xdr:colOff>
      <xdr:row>441</xdr:row>
      <xdr:rowOff>24843</xdr:rowOff>
    </xdr:to>
    <xdr:cxnSp macro="">
      <xdr:nvCxnSpPr>
        <xdr:cNvPr id="1155" name="Straight Arrow Connector 1154">
          <a:extLst>
            <a:ext uri="{FF2B5EF4-FFF2-40B4-BE49-F238E27FC236}">
              <a16:creationId xmlns:a16="http://schemas.microsoft.com/office/drawing/2014/main" xmlns="" id="{00000000-0008-0000-0400-000083040000}"/>
            </a:ext>
          </a:extLst>
        </xdr:cNvPr>
        <xdr:cNvCxnSpPr/>
      </xdr:nvCxnSpPr>
      <xdr:spPr>
        <a:xfrm>
          <a:off x="26587174" y="88797843"/>
          <a:ext cx="13953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439267</xdr:colOff>
      <xdr:row>464</xdr:row>
      <xdr:rowOff>182246</xdr:rowOff>
    </xdr:from>
    <xdr:to>
      <xdr:col>51</xdr:col>
      <xdr:colOff>262363</xdr:colOff>
      <xdr:row>471</xdr:row>
      <xdr:rowOff>112902</xdr:rowOff>
    </xdr:to>
    <xdr:grpSp>
      <xdr:nvGrpSpPr>
        <xdr:cNvPr id="1156" name="Group 1155">
          <a:extLst>
            <a:ext uri="{FF2B5EF4-FFF2-40B4-BE49-F238E27FC236}">
              <a16:creationId xmlns:a16="http://schemas.microsoft.com/office/drawing/2014/main" xmlns="" id="{00000000-0008-0000-0400-000084040000}"/>
            </a:ext>
          </a:extLst>
        </xdr:cNvPr>
        <xdr:cNvGrpSpPr/>
      </xdr:nvGrpSpPr>
      <xdr:grpSpPr>
        <a:xfrm>
          <a:off x="31627479" y="88825258"/>
          <a:ext cx="1096084" cy="1257432"/>
          <a:chOff x="25270558" y="29069800"/>
          <a:chExt cx="1039366" cy="919172"/>
        </a:xfrm>
      </xdr:grpSpPr>
      <xdr:grpSp>
        <xdr:nvGrpSpPr>
          <xdr:cNvPr id="1157" name="Group 1156">
            <a:extLst>
              <a:ext uri="{FF2B5EF4-FFF2-40B4-BE49-F238E27FC236}">
                <a16:creationId xmlns:a16="http://schemas.microsoft.com/office/drawing/2014/main" xmlns="" id="{00000000-0008-0000-0400-000085040000}"/>
              </a:ext>
            </a:extLst>
          </xdr:cNvPr>
          <xdr:cNvGrpSpPr/>
        </xdr:nvGrpSpPr>
        <xdr:grpSpPr>
          <a:xfrm>
            <a:off x="25270558" y="29069800"/>
            <a:ext cx="1039366" cy="918565"/>
            <a:chOff x="588526" y="237313"/>
            <a:chExt cx="1036410" cy="687882"/>
          </a:xfrm>
        </xdr:grpSpPr>
        <xdr:sp macro="" textlink="">
          <xdr:nvSpPr>
            <xdr:cNvPr id="1159" name="Rectangle 1158">
              <a:extLst>
                <a:ext uri="{FF2B5EF4-FFF2-40B4-BE49-F238E27FC236}">
                  <a16:creationId xmlns:a16="http://schemas.microsoft.com/office/drawing/2014/main" xmlns="" id="{00000000-0008-0000-0400-000087040000}"/>
                </a:ext>
              </a:extLst>
            </xdr:cNvPr>
            <xdr:cNvSpPr/>
          </xdr:nvSpPr>
          <xdr:spPr>
            <a:xfrm>
              <a:off x="610115" y="237313"/>
              <a:ext cx="1014821" cy="6878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FTM6</a:t>
              </a:r>
            </a:p>
          </xdr:txBody>
        </xdr:sp>
        <xdr:sp macro="" textlink="">
          <xdr:nvSpPr>
            <xdr:cNvPr id="1160" name="TextBox 1159">
              <a:extLst>
                <a:ext uri="{FF2B5EF4-FFF2-40B4-BE49-F238E27FC236}">
                  <a16:creationId xmlns:a16="http://schemas.microsoft.com/office/drawing/2014/main" xmlns="" id="{00000000-0008-0000-0400-000088040000}"/>
                </a:ext>
              </a:extLst>
            </xdr:cNvPr>
            <xdr:cNvSpPr txBox="1"/>
          </xdr:nvSpPr>
          <xdr:spPr>
            <a:xfrm>
              <a:off x="588526" y="246093"/>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1158" name="TextBox 1157">
            <a:extLst>
              <a:ext uri="{FF2B5EF4-FFF2-40B4-BE49-F238E27FC236}">
                <a16:creationId xmlns:a16="http://schemas.microsoft.com/office/drawing/2014/main" xmlns="" id="{00000000-0008-0000-0400-00008604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337039</xdr:colOff>
      <xdr:row>464</xdr:row>
      <xdr:rowOff>56074</xdr:rowOff>
    </xdr:from>
    <xdr:to>
      <xdr:col>33</xdr:col>
      <xdr:colOff>397570</xdr:colOff>
      <xdr:row>464</xdr:row>
      <xdr:rowOff>56074</xdr:rowOff>
    </xdr:to>
    <xdr:cxnSp macro="">
      <xdr:nvCxnSpPr>
        <xdr:cNvPr id="1161" name="Straight Arrow Connector 1160">
          <a:extLst>
            <a:ext uri="{FF2B5EF4-FFF2-40B4-BE49-F238E27FC236}">
              <a16:creationId xmlns:a16="http://schemas.microsoft.com/office/drawing/2014/main" xmlns="" id="{00000000-0008-0000-0400-000089040000}"/>
            </a:ext>
          </a:extLst>
        </xdr:cNvPr>
        <xdr:cNvCxnSpPr/>
      </xdr:nvCxnSpPr>
      <xdr:spPr>
        <a:xfrm>
          <a:off x="7634654" y="94551401"/>
          <a:ext cx="12831358"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397570</xdr:colOff>
      <xdr:row>462</xdr:row>
      <xdr:rowOff>82835</xdr:rowOff>
    </xdr:from>
    <xdr:to>
      <xdr:col>35</xdr:col>
      <xdr:colOff>198759</xdr:colOff>
      <xdr:row>467</xdr:row>
      <xdr:rowOff>165600</xdr:rowOff>
    </xdr:to>
    <xdr:sp macro="" textlink="">
      <xdr:nvSpPr>
        <xdr:cNvPr id="1162" name="Rectangle 1161">
          <a:extLst>
            <a:ext uri="{FF2B5EF4-FFF2-40B4-BE49-F238E27FC236}">
              <a16:creationId xmlns:a16="http://schemas.microsoft.com/office/drawing/2014/main" xmlns="" id="{00000000-0008-0000-0400-00008A040000}"/>
            </a:ext>
          </a:extLst>
        </xdr:cNvPr>
        <xdr:cNvSpPr/>
      </xdr:nvSpPr>
      <xdr:spPr>
        <a:xfrm>
          <a:off x="20623700" y="93063400"/>
          <a:ext cx="1027016" cy="10352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FTM6 Clock</a:t>
          </a:r>
          <a:r>
            <a:rPr lang="en-US" sz="1100" baseline="0"/>
            <a:t> Enable</a:t>
          </a:r>
        </a:p>
        <a:p>
          <a:pPr algn="ctr"/>
          <a:r>
            <a:rPr lang="en-US" sz="900"/>
            <a:t>PCC_FTM6[CGC]</a:t>
          </a:r>
        </a:p>
      </xdr:txBody>
    </xdr:sp>
    <xdr:clientData/>
  </xdr:twoCellAnchor>
  <xdr:twoCellAnchor>
    <xdr:from>
      <xdr:col>35</xdr:col>
      <xdr:colOff>198787</xdr:colOff>
      <xdr:row>466</xdr:row>
      <xdr:rowOff>26135</xdr:rowOff>
    </xdr:from>
    <xdr:to>
      <xdr:col>49</xdr:col>
      <xdr:colOff>447265</xdr:colOff>
      <xdr:row>466</xdr:row>
      <xdr:rowOff>26135</xdr:rowOff>
    </xdr:to>
    <xdr:cxnSp macro="">
      <xdr:nvCxnSpPr>
        <xdr:cNvPr id="1163" name="Straight Arrow Connector 1162">
          <a:extLst>
            <a:ext uri="{FF2B5EF4-FFF2-40B4-BE49-F238E27FC236}">
              <a16:creationId xmlns:a16="http://schemas.microsoft.com/office/drawing/2014/main" xmlns="" id="{00000000-0008-0000-0400-00008B040000}"/>
            </a:ext>
          </a:extLst>
        </xdr:cNvPr>
        <xdr:cNvCxnSpPr/>
      </xdr:nvCxnSpPr>
      <xdr:spPr>
        <a:xfrm>
          <a:off x="21650744" y="93768700"/>
          <a:ext cx="88292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405852</xdr:colOff>
      <xdr:row>470</xdr:row>
      <xdr:rowOff>104181</xdr:rowOff>
    </xdr:from>
    <xdr:to>
      <xdr:col>43</xdr:col>
      <xdr:colOff>207042</xdr:colOff>
      <xdr:row>476</xdr:row>
      <xdr:rowOff>167515</xdr:rowOff>
    </xdr:to>
    <xdr:sp macro="" textlink="">
      <xdr:nvSpPr>
        <xdr:cNvPr id="1164" name="Rectangle 1163">
          <a:extLst>
            <a:ext uri="{FF2B5EF4-FFF2-40B4-BE49-F238E27FC236}">
              <a16:creationId xmlns:a16="http://schemas.microsoft.com/office/drawing/2014/main" xmlns="" id="{00000000-0008-0000-0400-00008C040000}"/>
            </a:ext>
          </a:extLst>
        </xdr:cNvPr>
        <xdr:cNvSpPr/>
      </xdr:nvSpPr>
      <xdr:spPr>
        <a:xfrm>
          <a:off x="25535287" y="94675007"/>
          <a:ext cx="1027016" cy="12063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FTM6 Clock Select</a:t>
          </a:r>
        </a:p>
        <a:p>
          <a:pPr algn="ctr"/>
          <a:r>
            <a:rPr lang="en-US" sz="900"/>
            <a:t>FTM6_SC[CLKS]</a:t>
          </a:r>
        </a:p>
      </xdr:txBody>
    </xdr:sp>
    <xdr:clientData/>
  </xdr:twoCellAnchor>
  <xdr:oneCellAnchor>
    <xdr:from>
      <xdr:col>41</xdr:col>
      <xdr:colOff>588069</xdr:colOff>
      <xdr:row>477</xdr:row>
      <xdr:rowOff>177133</xdr:rowOff>
    </xdr:from>
    <xdr:ext cx="1192695" cy="637762"/>
    <xdr:sp macro="" textlink="">
      <xdr:nvSpPr>
        <xdr:cNvPr id="1165" name="TextBox 1164">
          <a:extLst>
            <a:ext uri="{FF2B5EF4-FFF2-40B4-BE49-F238E27FC236}">
              <a16:creationId xmlns:a16="http://schemas.microsoft.com/office/drawing/2014/main" xmlns="" id="{00000000-0008-0000-0400-00008D040000}"/>
            </a:ext>
          </a:extLst>
        </xdr:cNvPr>
        <xdr:cNvSpPr txBox="1"/>
      </xdr:nvSpPr>
      <xdr:spPr>
        <a:xfrm>
          <a:off x="25717504" y="96081459"/>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225864</xdr:colOff>
      <xdr:row>470</xdr:row>
      <xdr:rowOff>188915</xdr:rowOff>
    </xdr:from>
    <xdr:to>
      <xdr:col>41</xdr:col>
      <xdr:colOff>397569</xdr:colOff>
      <xdr:row>470</xdr:row>
      <xdr:rowOff>188915</xdr:rowOff>
    </xdr:to>
    <xdr:cxnSp macro="">
      <xdr:nvCxnSpPr>
        <xdr:cNvPr id="1166" name="Straight Arrow Connector 1165">
          <a:extLst>
            <a:ext uri="{FF2B5EF4-FFF2-40B4-BE49-F238E27FC236}">
              <a16:creationId xmlns:a16="http://schemas.microsoft.com/office/drawing/2014/main" xmlns="" id="{00000000-0008-0000-0400-00008E040000}"/>
            </a:ext>
          </a:extLst>
        </xdr:cNvPr>
        <xdr:cNvCxnSpPr/>
      </xdr:nvCxnSpPr>
      <xdr:spPr>
        <a:xfrm>
          <a:off x="22290734" y="94693480"/>
          <a:ext cx="32362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215352</xdr:colOff>
      <xdr:row>466</xdr:row>
      <xdr:rowOff>24848</xdr:rowOff>
    </xdr:from>
    <xdr:to>
      <xdr:col>36</xdr:col>
      <xdr:colOff>215352</xdr:colOff>
      <xdr:row>471</xdr:row>
      <xdr:rowOff>8301</xdr:rowOff>
    </xdr:to>
    <xdr:cxnSp macro="">
      <xdr:nvCxnSpPr>
        <xdr:cNvPr id="1167" name="Straight Arrow Connector 1166">
          <a:extLst>
            <a:ext uri="{FF2B5EF4-FFF2-40B4-BE49-F238E27FC236}">
              <a16:creationId xmlns:a16="http://schemas.microsoft.com/office/drawing/2014/main" xmlns="" id="{00000000-0008-0000-0400-00008F040000}"/>
            </a:ext>
          </a:extLst>
        </xdr:cNvPr>
        <xdr:cNvCxnSpPr/>
      </xdr:nvCxnSpPr>
      <xdr:spPr>
        <a:xfrm flipV="1">
          <a:off x="22280222" y="93792261"/>
          <a:ext cx="0" cy="97736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538373</xdr:colOff>
      <xdr:row>472</xdr:row>
      <xdr:rowOff>168844</xdr:rowOff>
    </xdr:from>
    <xdr:ext cx="717274" cy="266700"/>
    <xdr:sp macro="" textlink="">
      <xdr:nvSpPr>
        <xdr:cNvPr id="1168" name="TextBox 1167">
          <a:hlinkClick xmlns:r="http://schemas.openxmlformats.org/officeDocument/2006/relationships" r:id="rId17"/>
          <a:extLst>
            <a:ext uri="{FF2B5EF4-FFF2-40B4-BE49-F238E27FC236}">
              <a16:creationId xmlns:a16="http://schemas.microsoft.com/office/drawing/2014/main" xmlns="" id="{00000000-0008-0000-0400-000090040000}"/>
            </a:ext>
          </a:extLst>
        </xdr:cNvPr>
        <xdr:cNvSpPr txBox="1"/>
      </xdr:nvSpPr>
      <xdr:spPr>
        <a:xfrm>
          <a:off x="21990330" y="95120670"/>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405853</xdr:colOff>
      <xdr:row>472</xdr:row>
      <xdr:rowOff>49075</xdr:rowOff>
    </xdr:from>
    <xdr:to>
      <xdr:col>33</xdr:col>
      <xdr:colOff>207043</xdr:colOff>
      <xdr:row>478</xdr:row>
      <xdr:rowOff>175798</xdr:rowOff>
    </xdr:to>
    <xdr:sp macro="" textlink="">
      <xdr:nvSpPr>
        <xdr:cNvPr id="1169" name="Rectangle 1168">
          <a:extLst>
            <a:ext uri="{FF2B5EF4-FFF2-40B4-BE49-F238E27FC236}">
              <a16:creationId xmlns:a16="http://schemas.microsoft.com/office/drawing/2014/main" xmlns="" id="{00000000-0008-0000-0400-000091040000}"/>
            </a:ext>
          </a:extLst>
        </xdr:cNvPr>
        <xdr:cNvSpPr/>
      </xdr:nvSpPr>
      <xdr:spPr>
        <a:xfrm>
          <a:off x="19406157" y="95000901"/>
          <a:ext cx="1027016" cy="13028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FTM6 Ext.</a:t>
          </a:r>
          <a:r>
            <a:rPr lang="en-US" sz="1100" baseline="0"/>
            <a:t> Clk. Pin Select </a:t>
          </a:r>
          <a:r>
            <a:rPr lang="en-US" sz="900"/>
            <a:t>SIM_FTMOPT0[FTM6CLKSEL]</a:t>
          </a:r>
        </a:p>
      </xdr:txBody>
    </xdr:sp>
    <xdr:clientData/>
  </xdr:twoCellAnchor>
  <xdr:oneCellAnchor>
    <xdr:from>
      <xdr:col>31</xdr:col>
      <xdr:colOff>579786</xdr:colOff>
      <xdr:row>479</xdr:row>
      <xdr:rowOff>195617</xdr:rowOff>
    </xdr:from>
    <xdr:ext cx="1192695" cy="637762"/>
    <xdr:sp macro="" textlink="">
      <xdr:nvSpPr>
        <xdr:cNvPr id="1170" name="TextBox 1169">
          <a:extLst>
            <a:ext uri="{FF2B5EF4-FFF2-40B4-BE49-F238E27FC236}">
              <a16:creationId xmlns:a16="http://schemas.microsoft.com/office/drawing/2014/main" xmlns="" id="{00000000-0008-0000-0400-000092040000}"/>
            </a:ext>
          </a:extLst>
        </xdr:cNvPr>
        <xdr:cNvSpPr txBox="1"/>
      </xdr:nvSpPr>
      <xdr:spPr>
        <a:xfrm>
          <a:off x="19580090" y="96522356"/>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38</xdr:col>
      <xdr:colOff>33134</xdr:colOff>
      <xdr:row>473</xdr:row>
      <xdr:rowOff>76774</xdr:rowOff>
    </xdr:from>
    <xdr:to>
      <xdr:col>41</xdr:col>
      <xdr:colOff>385974</xdr:colOff>
      <xdr:row>473</xdr:row>
      <xdr:rowOff>76774</xdr:rowOff>
    </xdr:to>
    <xdr:cxnSp macro="">
      <xdr:nvCxnSpPr>
        <xdr:cNvPr id="1174" name="Straight Arrow Connector 1173">
          <a:extLst>
            <a:ext uri="{FF2B5EF4-FFF2-40B4-BE49-F238E27FC236}">
              <a16:creationId xmlns:a16="http://schemas.microsoft.com/office/drawing/2014/main" xmlns="" id="{00000000-0008-0000-0400-000096040000}"/>
            </a:ext>
          </a:extLst>
        </xdr:cNvPr>
        <xdr:cNvCxnSpPr/>
      </xdr:nvCxnSpPr>
      <xdr:spPr>
        <a:xfrm>
          <a:off x="23323830" y="95219100"/>
          <a:ext cx="2191579"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249438</xdr:colOff>
      <xdr:row>483</xdr:row>
      <xdr:rowOff>55438</xdr:rowOff>
    </xdr:from>
    <xdr:to>
      <xdr:col>38</xdr:col>
      <xdr:colOff>456476</xdr:colOff>
      <xdr:row>491</xdr:row>
      <xdr:rowOff>162473</xdr:rowOff>
    </xdr:to>
    <xdr:sp macro="" textlink="">
      <xdr:nvSpPr>
        <xdr:cNvPr id="1175" name="Rectangle 1174">
          <a:extLst>
            <a:ext uri="{FF2B5EF4-FFF2-40B4-BE49-F238E27FC236}">
              <a16:creationId xmlns:a16="http://schemas.microsoft.com/office/drawing/2014/main" xmlns="" id="{00000000-0008-0000-0400-000097040000}"/>
            </a:ext>
          </a:extLst>
        </xdr:cNvPr>
        <xdr:cNvSpPr/>
      </xdr:nvSpPr>
      <xdr:spPr>
        <a:xfrm>
          <a:off x="22314308" y="97218721"/>
          <a:ext cx="1432864" cy="16310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FTM6 Ext.</a:t>
          </a:r>
          <a:r>
            <a:rPr lang="en-US" sz="1100" baseline="0"/>
            <a:t> Clk. Select </a:t>
          </a:r>
          <a:r>
            <a:rPr lang="en-US" sz="900"/>
            <a:t>PCC_FTM6[PCS]</a:t>
          </a:r>
        </a:p>
      </xdr:txBody>
    </xdr:sp>
    <xdr:clientData/>
  </xdr:twoCellAnchor>
  <xdr:twoCellAnchor>
    <xdr:from>
      <xdr:col>26</xdr:col>
      <xdr:colOff>355669</xdr:colOff>
      <xdr:row>485</xdr:row>
      <xdr:rowOff>160465</xdr:rowOff>
    </xdr:from>
    <xdr:to>
      <xdr:col>36</xdr:col>
      <xdr:colOff>209993</xdr:colOff>
      <xdr:row>485</xdr:row>
      <xdr:rowOff>160465</xdr:rowOff>
    </xdr:to>
    <xdr:cxnSp macro="">
      <xdr:nvCxnSpPr>
        <xdr:cNvPr id="1176" name="Straight Arrow Connector 1175">
          <a:extLst>
            <a:ext uri="{FF2B5EF4-FFF2-40B4-BE49-F238E27FC236}">
              <a16:creationId xmlns:a16="http://schemas.microsoft.com/office/drawing/2014/main" xmlns="" id="{00000000-0008-0000-0400-000098040000}"/>
            </a:ext>
          </a:extLst>
        </xdr:cNvPr>
        <xdr:cNvCxnSpPr/>
      </xdr:nvCxnSpPr>
      <xdr:spPr>
        <a:xfrm>
          <a:off x="16291408" y="97522530"/>
          <a:ext cx="5983455"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590993</xdr:colOff>
      <xdr:row>492</xdr:row>
      <xdr:rowOff>187321</xdr:rowOff>
    </xdr:from>
    <xdr:ext cx="1152526" cy="1116726"/>
    <xdr:sp macro="" textlink="">
      <xdr:nvSpPr>
        <xdr:cNvPr id="1177" name="TextBox 1176">
          <a:extLst>
            <a:ext uri="{FF2B5EF4-FFF2-40B4-BE49-F238E27FC236}">
              <a16:creationId xmlns:a16="http://schemas.microsoft.com/office/drawing/2014/main" xmlns="" id="{00000000-0008-0000-0400-000099040000}"/>
            </a:ext>
          </a:extLst>
        </xdr:cNvPr>
        <xdr:cNvSpPr txBox="1"/>
      </xdr:nvSpPr>
      <xdr:spPr>
        <a:xfrm>
          <a:off x="22655863" y="99065104"/>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330671</xdr:colOff>
      <xdr:row>487</xdr:row>
      <xdr:rowOff>88030</xdr:rowOff>
    </xdr:from>
    <xdr:to>
      <xdr:col>36</xdr:col>
      <xdr:colOff>206114</xdr:colOff>
      <xdr:row>487</xdr:row>
      <xdr:rowOff>88031</xdr:rowOff>
    </xdr:to>
    <xdr:cxnSp macro="">
      <xdr:nvCxnSpPr>
        <xdr:cNvPr id="1178" name="Straight Arrow Connector 1177">
          <a:extLst>
            <a:ext uri="{FF2B5EF4-FFF2-40B4-BE49-F238E27FC236}">
              <a16:creationId xmlns:a16="http://schemas.microsoft.com/office/drawing/2014/main" xmlns="" id="{00000000-0008-0000-0400-00009A040000}"/>
            </a:ext>
          </a:extLst>
        </xdr:cNvPr>
        <xdr:cNvCxnSpPr/>
      </xdr:nvCxnSpPr>
      <xdr:spPr>
        <a:xfrm flipV="1">
          <a:off x="13814758" y="97831095"/>
          <a:ext cx="8456226"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308691</xdr:colOff>
      <xdr:row>488</xdr:row>
      <xdr:rowOff>143678</xdr:rowOff>
    </xdr:from>
    <xdr:to>
      <xdr:col>36</xdr:col>
      <xdr:colOff>206114</xdr:colOff>
      <xdr:row>488</xdr:row>
      <xdr:rowOff>143678</xdr:rowOff>
    </xdr:to>
    <xdr:cxnSp macro="">
      <xdr:nvCxnSpPr>
        <xdr:cNvPr id="1179" name="Straight Arrow Connector 1178">
          <a:extLst>
            <a:ext uri="{FF2B5EF4-FFF2-40B4-BE49-F238E27FC236}">
              <a16:creationId xmlns:a16="http://schemas.microsoft.com/office/drawing/2014/main" xmlns="" id="{00000000-0008-0000-0400-00009B040000}"/>
            </a:ext>
          </a:extLst>
        </xdr:cNvPr>
        <xdr:cNvCxnSpPr/>
      </xdr:nvCxnSpPr>
      <xdr:spPr>
        <a:xfrm>
          <a:off x="11341126" y="98077243"/>
          <a:ext cx="10929858"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359980</xdr:colOff>
      <xdr:row>489</xdr:row>
      <xdr:rowOff>170439</xdr:rowOff>
    </xdr:from>
    <xdr:to>
      <xdr:col>36</xdr:col>
      <xdr:colOff>220768</xdr:colOff>
      <xdr:row>489</xdr:row>
      <xdr:rowOff>170440</xdr:rowOff>
    </xdr:to>
    <xdr:cxnSp macro="">
      <xdr:nvCxnSpPr>
        <xdr:cNvPr id="1180" name="Straight Arrow Connector 1179">
          <a:extLst>
            <a:ext uri="{FF2B5EF4-FFF2-40B4-BE49-F238E27FC236}">
              <a16:creationId xmlns:a16="http://schemas.microsoft.com/office/drawing/2014/main" xmlns="" id="{00000000-0008-0000-0400-00009C040000}"/>
            </a:ext>
          </a:extLst>
        </xdr:cNvPr>
        <xdr:cNvCxnSpPr/>
      </xdr:nvCxnSpPr>
      <xdr:spPr>
        <a:xfrm flipV="1">
          <a:off x="8940763" y="98294504"/>
          <a:ext cx="13344875"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345326</xdr:colOff>
      <xdr:row>483</xdr:row>
      <xdr:rowOff>105770</xdr:rowOff>
    </xdr:from>
    <xdr:ext cx="1209261" cy="266700"/>
    <xdr:sp macro="" textlink="">
      <xdr:nvSpPr>
        <xdr:cNvPr id="1181" name="TextBox 1180">
          <a:extLst>
            <a:ext uri="{FF2B5EF4-FFF2-40B4-BE49-F238E27FC236}">
              <a16:creationId xmlns:a16="http://schemas.microsoft.com/office/drawing/2014/main" xmlns="" id="{00000000-0008-0000-0400-00009D040000}"/>
            </a:ext>
          </a:extLst>
        </xdr:cNvPr>
        <xdr:cNvSpPr txBox="1"/>
      </xdr:nvSpPr>
      <xdr:spPr>
        <a:xfrm>
          <a:off x="23636022" y="97086835"/>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24852</xdr:colOff>
      <xdr:row>470</xdr:row>
      <xdr:rowOff>186050</xdr:rowOff>
    </xdr:from>
    <xdr:to>
      <xdr:col>49</xdr:col>
      <xdr:colOff>458419</xdr:colOff>
      <xdr:row>470</xdr:row>
      <xdr:rowOff>186050</xdr:rowOff>
    </xdr:to>
    <xdr:cxnSp macro="">
      <xdr:nvCxnSpPr>
        <xdr:cNvPr id="1182" name="Straight Arrow Connector 1181">
          <a:extLst>
            <a:ext uri="{FF2B5EF4-FFF2-40B4-BE49-F238E27FC236}">
              <a16:creationId xmlns:a16="http://schemas.microsoft.com/office/drawing/2014/main" xmlns="" id="{00000000-0008-0000-0400-00009E040000}"/>
            </a:ext>
          </a:extLst>
        </xdr:cNvPr>
        <xdr:cNvCxnSpPr/>
      </xdr:nvCxnSpPr>
      <xdr:spPr>
        <a:xfrm>
          <a:off x="30057591" y="94690615"/>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35689</xdr:colOff>
      <xdr:row>471</xdr:row>
      <xdr:rowOff>2564</xdr:rowOff>
    </xdr:from>
    <xdr:to>
      <xdr:col>49</xdr:col>
      <xdr:colOff>35689</xdr:colOff>
      <xdr:row>474</xdr:row>
      <xdr:rowOff>74561</xdr:rowOff>
    </xdr:to>
    <xdr:cxnSp macro="">
      <xdr:nvCxnSpPr>
        <xdr:cNvPr id="1183" name="Straight Arrow Connector 1182">
          <a:extLst>
            <a:ext uri="{FF2B5EF4-FFF2-40B4-BE49-F238E27FC236}">
              <a16:creationId xmlns:a16="http://schemas.microsoft.com/office/drawing/2014/main" xmlns="" id="{00000000-0008-0000-0400-00009F040000}"/>
            </a:ext>
          </a:extLst>
        </xdr:cNvPr>
        <xdr:cNvCxnSpPr/>
      </xdr:nvCxnSpPr>
      <xdr:spPr>
        <a:xfrm flipV="1">
          <a:off x="30068428" y="94697629"/>
          <a:ext cx="0" cy="64349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422418</xdr:colOff>
      <xdr:row>470</xdr:row>
      <xdr:rowOff>111517</xdr:rowOff>
    </xdr:from>
    <xdr:to>
      <xdr:col>47</xdr:col>
      <xdr:colOff>223608</xdr:colOff>
      <xdr:row>476</xdr:row>
      <xdr:rowOff>174851</xdr:rowOff>
    </xdr:to>
    <xdr:sp macro="" textlink="">
      <xdr:nvSpPr>
        <xdr:cNvPr id="1184" name="Rectangle 1183">
          <a:extLst>
            <a:ext uri="{FF2B5EF4-FFF2-40B4-BE49-F238E27FC236}">
              <a16:creationId xmlns:a16="http://schemas.microsoft.com/office/drawing/2014/main" xmlns="" id="{00000000-0008-0000-0400-0000A0040000}"/>
            </a:ext>
          </a:extLst>
        </xdr:cNvPr>
        <xdr:cNvSpPr/>
      </xdr:nvSpPr>
      <xdr:spPr>
        <a:xfrm>
          <a:off x="28003505" y="94682343"/>
          <a:ext cx="1027016" cy="12643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FTM6 Clock Prescaler</a:t>
          </a:r>
        </a:p>
        <a:p>
          <a:pPr algn="ctr"/>
          <a:r>
            <a:rPr lang="en-US" sz="900"/>
            <a:t>FTM6_SC[PS]</a:t>
          </a:r>
        </a:p>
      </xdr:txBody>
    </xdr:sp>
    <xdr:clientData/>
  </xdr:twoCellAnchor>
  <xdr:oneCellAnchor>
    <xdr:from>
      <xdr:col>45</xdr:col>
      <xdr:colOff>588070</xdr:colOff>
      <xdr:row>477</xdr:row>
      <xdr:rowOff>188281</xdr:rowOff>
    </xdr:from>
    <xdr:ext cx="1432891" cy="1143001"/>
    <xdr:sp macro="" textlink="">
      <xdr:nvSpPr>
        <xdr:cNvPr id="1185" name="TextBox 1184">
          <a:extLst>
            <a:ext uri="{FF2B5EF4-FFF2-40B4-BE49-F238E27FC236}">
              <a16:creationId xmlns:a16="http://schemas.microsoft.com/office/drawing/2014/main" xmlns="" id="{00000000-0008-0000-0400-0000A1040000}"/>
            </a:ext>
          </a:extLst>
        </xdr:cNvPr>
        <xdr:cNvSpPr txBox="1"/>
      </xdr:nvSpPr>
      <xdr:spPr>
        <a:xfrm>
          <a:off x="28169157" y="96167151"/>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240200</xdr:colOff>
      <xdr:row>474</xdr:row>
      <xdr:rowOff>47475</xdr:rowOff>
    </xdr:from>
    <xdr:to>
      <xdr:col>49</xdr:col>
      <xdr:colOff>42691</xdr:colOff>
      <xdr:row>474</xdr:row>
      <xdr:rowOff>47475</xdr:rowOff>
    </xdr:to>
    <xdr:cxnSp macro="">
      <xdr:nvCxnSpPr>
        <xdr:cNvPr id="1186" name="Straight Arrow Connector 1185">
          <a:extLst>
            <a:ext uri="{FF2B5EF4-FFF2-40B4-BE49-F238E27FC236}">
              <a16:creationId xmlns:a16="http://schemas.microsoft.com/office/drawing/2014/main" xmlns="" id="{00000000-0008-0000-0400-0000A2040000}"/>
            </a:ext>
          </a:extLst>
        </xdr:cNvPr>
        <xdr:cNvCxnSpPr/>
      </xdr:nvCxnSpPr>
      <xdr:spPr>
        <a:xfrm>
          <a:off x="29047113" y="95421714"/>
          <a:ext cx="102831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13383</xdr:colOff>
      <xdr:row>481</xdr:row>
      <xdr:rowOff>109926</xdr:rowOff>
    </xdr:from>
    <xdr:ext cx="596347" cy="271094"/>
    <xdr:sp macro="" textlink="">
      <xdr:nvSpPr>
        <xdr:cNvPr id="1187" name="TextBox 1186">
          <a:extLst>
            <a:ext uri="{FF2B5EF4-FFF2-40B4-BE49-F238E27FC236}">
              <a16:creationId xmlns:a16="http://schemas.microsoft.com/office/drawing/2014/main" xmlns="" id="{00000000-0008-0000-0400-0000A3040000}"/>
            </a:ext>
          </a:extLst>
        </xdr:cNvPr>
        <xdr:cNvSpPr txBox="1"/>
      </xdr:nvSpPr>
      <xdr:spPr>
        <a:xfrm>
          <a:off x="20852426" y="96709991"/>
          <a:ext cx="596347" cy="2710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oneCellAnchor>
    <xdr:from>
      <xdr:col>39</xdr:col>
      <xdr:colOff>306460</xdr:colOff>
      <xdr:row>463</xdr:row>
      <xdr:rowOff>103553</xdr:rowOff>
    </xdr:from>
    <xdr:ext cx="1209261" cy="266700"/>
    <xdr:sp macro="" textlink="">
      <xdr:nvSpPr>
        <xdr:cNvPr id="1188" name="TextBox 1187">
          <a:extLst>
            <a:ext uri="{FF2B5EF4-FFF2-40B4-BE49-F238E27FC236}">
              <a16:creationId xmlns:a16="http://schemas.microsoft.com/office/drawing/2014/main" xmlns="" id="{00000000-0008-0000-0400-0000A4040000}"/>
            </a:ext>
          </a:extLst>
        </xdr:cNvPr>
        <xdr:cNvSpPr txBox="1"/>
      </xdr:nvSpPr>
      <xdr:spPr>
        <a:xfrm>
          <a:off x="24210069" y="93274618"/>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twoCellAnchor>
    <xdr:from>
      <xdr:col>38</xdr:col>
      <xdr:colOff>472115</xdr:colOff>
      <xdr:row>486</xdr:row>
      <xdr:rowOff>38558</xdr:rowOff>
    </xdr:from>
    <xdr:to>
      <xdr:col>40</xdr:col>
      <xdr:colOff>201018</xdr:colOff>
      <xdr:row>486</xdr:row>
      <xdr:rowOff>38558</xdr:rowOff>
    </xdr:to>
    <xdr:cxnSp macro="">
      <xdr:nvCxnSpPr>
        <xdr:cNvPr id="1189" name="Straight Arrow Connector 1188">
          <a:extLst>
            <a:ext uri="{FF2B5EF4-FFF2-40B4-BE49-F238E27FC236}">
              <a16:creationId xmlns:a16="http://schemas.microsoft.com/office/drawing/2014/main" xmlns="" id="{00000000-0008-0000-0400-0000A5040000}"/>
            </a:ext>
          </a:extLst>
        </xdr:cNvPr>
        <xdr:cNvCxnSpPr/>
      </xdr:nvCxnSpPr>
      <xdr:spPr>
        <a:xfrm>
          <a:off x="23762811" y="97591123"/>
          <a:ext cx="9547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208345</xdr:colOff>
      <xdr:row>475</xdr:row>
      <xdr:rowOff>98140</xdr:rowOff>
    </xdr:from>
    <xdr:to>
      <xdr:col>40</xdr:col>
      <xdr:colOff>208345</xdr:colOff>
      <xdr:row>486</xdr:row>
      <xdr:rowOff>57996</xdr:rowOff>
    </xdr:to>
    <xdr:cxnSp macro="">
      <xdr:nvCxnSpPr>
        <xdr:cNvPr id="1190" name="Straight Arrow Connector 1189">
          <a:extLst>
            <a:ext uri="{FF2B5EF4-FFF2-40B4-BE49-F238E27FC236}">
              <a16:creationId xmlns:a16="http://schemas.microsoft.com/office/drawing/2014/main" xmlns="" id="{00000000-0008-0000-0400-0000A6040000}"/>
            </a:ext>
          </a:extLst>
        </xdr:cNvPr>
        <xdr:cNvCxnSpPr/>
      </xdr:nvCxnSpPr>
      <xdr:spPr>
        <a:xfrm flipV="1">
          <a:off x="24724867" y="95555205"/>
          <a:ext cx="0" cy="205535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198787</xdr:colOff>
      <xdr:row>475</xdr:row>
      <xdr:rowOff>91125</xdr:rowOff>
    </xdr:from>
    <xdr:to>
      <xdr:col>41</xdr:col>
      <xdr:colOff>420826</xdr:colOff>
      <xdr:row>475</xdr:row>
      <xdr:rowOff>91125</xdr:rowOff>
    </xdr:to>
    <xdr:cxnSp macro="">
      <xdr:nvCxnSpPr>
        <xdr:cNvPr id="1191" name="Straight Arrow Connector 1190">
          <a:extLst>
            <a:ext uri="{FF2B5EF4-FFF2-40B4-BE49-F238E27FC236}">
              <a16:creationId xmlns:a16="http://schemas.microsoft.com/office/drawing/2014/main" xmlns="" id="{00000000-0008-0000-0400-0000A7040000}"/>
            </a:ext>
          </a:extLst>
        </xdr:cNvPr>
        <xdr:cNvCxnSpPr/>
      </xdr:nvCxnSpPr>
      <xdr:spPr>
        <a:xfrm>
          <a:off x="24715309" y="95548190"/>
          <a:ext cx="8349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223639</xdr:colOff>
      <xdr:row>475</xdr:row>
      <xdr:rowOff>132855</xdr:rowOff>
    </xdr:from>
    <xdr:to>
      <xdr:col>33</xdr:col>
      <xdr:colOff>596351</xdr:colOff>
      <xdr:row>475</xdr:row>
      <xdr:rowOff>132855</xdr:rowOff>
    </xdr:to>
    <xdr:cxnSp macro="">
      <xdr:nvCxnSpPr>
        <xdr:cNvPr id="1192" name="Straight Arrow Connector 1191">
          <a:extLst>
            <a:ext uri="{FF2B5EF4-FFF2-40B4-BE49-F238E27FC236}">
              <a16:creationId xmlns:a16="http://schemas.microsoft.com/office/drawing/2014/main" xmlns="" id="{00000000-0008-0000-0400-0000A8040000}"/>
            </a:ext>
          </a:extLst>
        </xdr:cNvPr>
        <xdr:cNvCxnSpPr/>
      </xdr:nvCxnSpPr>
      <xdr:spPr>
        <a:xfrm>
          <a:off x="20449769" y="95589920"/>
          <a:ext cx="37271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579786</xdr:colOff>
      <xdr:row>484</xdr:row>
      <xdr:rowOff>6070</xdr:rowOff>
    </xdr:from>
    <xdr:to>
      <xdr:col>36</xdr:col>
      <xdr:colOff>248485</xdr:colOff>
      <xdr:row>484</xdr:row>
      <xdr:rowOff>6070</xdr:rowOff>
    </xdr:to>
    <xdr:cxnSp macro="">
      <xdr:nvCxnSpPr>
        <xdr:cNvPr id="1193" name="Straight Arrow Connector 1192">
          <a:extLst>
            <a:ext uri="{FF2B5EF4-FFF2-40B4-BE49-F238E27FC236}">
              <a16:creationId xmlns:a16="http://schemas.microsoft.com/office/drawing/2014/main" xmlns="" id="{00000000-0008-0000-0400-0000A9040000}"/>
            </a:ext>
          </a:extLst>
        </xdr:cNvPr>
        <xdr:cNvCxnSpPr/>
      </xdr:nvCxnSpPr>
      <xdr:spPr>
        <a:xfrm>
          <a:off x="20805916" y="97177635"/>
          <a:ext cx="15074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588071</xdr:colOff>
      <xdr:row>475</xdr:row>
      <xdr:rowOff>132857</xdr:rowOff>
    </xdr:from>
    <xdr:to>
      <xdr:col>33</xdr:col>
      <xdr:colOff>588071</xdr:colOff>
      <xdr:row>484</xdr:row>
      <xdr:rowOff>4801</xdr:rowOff>
    </xdr:to>
    <xdr:cxnSp macro="">
      <xdr:nvCxnSpPr>
        <xdr:cNvPr id="1194" name="Straight Arrow Connector 1193">
          <a:extLst>
            <a:ext uri="{FF2B5EF4-FFF2-40B4-BE49-F238E27FC236}">
              <a16:creationId xmlns:a16="http://schemas.microsoft.com/office/drawing/2014/main" xmlns="" id="{00000000-0008-0000-0400-0000AA040000}"/>
            </a:ext>
          </a:extLst>
        </xdr:cNvPr>
        <xdr:cNvCxnSpPr/>
      </xdr:nvCxnSpPr>
      <xdr:spPr>
        <a:xfrm flipV="1">
          <a:off x="20814201" y="95589922"/>
          <a:ext cx="0" cy="158644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16566</xdr:colOff>
      <xdr:row>474</xdr:row>
      <xdr:rowOff>99408</xdr:rowOff>
    </xdr:from>
    <xdr:to>
      <xdr:col>31</xdr:col>
      <xdr:colOff>386103</xdr:colOff>
      <xdr:row>474</xdr:row>
      <xdr:rowOff>99408</xdr:rowOff>
    </xdr:to>
    <xdr:cxnSp macro="">
      <xdr:nvCxnSpPr>
        <xdr:cNvPr id="1195" name="Straight Arrow Connector 1194">
          <a:extLst>
            <a:ext uri="{FF2B5EF4-FFF2-40B4-BE49-F238E27FC236}">
              <a16:creationId xmlns:a16="http://schemas.microsoft.com/office/drawing/2014/main" xmlns="" id="{00000000-0008-0000-0400-0000AB040000}"/>
            </a:ext>
          </a:extLst>
        </xdr:cNvPr>
        <xdr:cNvCxnSpPr/>
      </xdr:nvCxnSpPr>
      <xdr:spPr>
        <a:xfrm>
          <a:off x="19016870" y="95457082"/>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8283</xdr:colOff>
      <xdr:row>475</xdr:row>
      <xdr:rowOff>80927</xdr:rowOff>
    </xdr:from>
    <xdr:to>
      <xdr:col>31</xdr:col>
      <xdr:colOff>377820</xdr:colOff>
      <xdr:row>475</xdr:row>
      <xdr:rowOff>80927</xdr:rowOff>
    </xdr:to>
    <xdr:cxnSp macro="">
      <xdr:nvCxnSpPr>
        <xdr:cNvPr id="1196" name="Straight Arrow Connector 1195">
          <a:extLst>
            <a:ext uri="{FF2B5EF4-FFF2-40B4-BE49-F238E27FC236}">
              <a16:creationId xmlns:a16="http://schemas.microsoft.com/office/drawing/2014/main" xmlns="" id="{00000000-0008-0000-0400-0000AC040000}"/>
            </a:ext>
          </a:extLst>
        </xdr:cNvPr>
        <xdr:cNvCxnSpPr/>
      </xdr:nvCxnSpPr>
      <xdr:spPr>
        <a:xfrm>
          <a:off x="19008587" y="95637384"/>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9239</xdr:colOff>
      <xdr:row>476</xdr:row>
      <xdr:rowOff>107688</xdr:rowOff>
    </xdr:from>
    <xdr:to>
      <xdr:col>31</xdr:col>
      <xdr:colOff>378776</xdr:colOff>
      <xdr:row>476</xdr:row>
      <xdr:rowOff>107688</xdr:rowOff>
    </xdr:to>
    <xdr:cxnSp macro="">
      <xdr:nvCxnSpPr>
        <xdr:cNvPr id="1197" name="Straight Arrow Connector 1196">
          <a:extLst>
            <a:ext uri="{FF2B5EF4-FFF2-40B4-BE49-F238E27FC236}">
              <a16:creationId xmlns:a16="http://schemas.microsoft.com/office/drawing/2014/main" xmlns="" id="{00000000-0008-0000-0400-0000AD040000}"/>
            </a:ext>
          </a:extLst>
        </xdr:cNvPr>
        <xdr:cNvCxnSpPr/>
      </xdr:nvCxnSpPr>
      <xdr:spPr>
        <a:xfrm>
          <a:off x="19009543" y="95854645"/>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563220</xdr:colOff>
      <xdr:row>468</xdr:row>
      <xdr:rowOff>182237</xdr:rowOff>
    </xdr:from>
    <xdr:ext cx="860534" cy="367862"/>
    <xdr:sp macro="" textlink="">
      <xdr:nvSpPr>
        <xdr:cNvPr id="1198" name="TextBox 1197">
          <a:extLst>
            <a:ext uri="{FF2B5EF4-FFF2-40B4-BE49-F238E27FC236}">
              <a16:creationId xmlns:a16="http://schemas.microsoft.com/office/drawing/2014/main" xmlns="" id="{00000000-0008-0000-0400-0000AE040000}"/>
            </a:ext>
          </a:extLst>
        </xdr:cNvPr>
        <xdr:cNvSpPr txBox="1"/>
      </xdr:nvSpPr>
      <xdr:spPr>
        <a:xfrm>
          <a:off x="20789350" y="9431408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43</xdr:col>
      <xdr:colOff>231916</xdr:colOff>
      <xdr:row>473</xdr:row>
      <xdr:rowOff>33142</xdr:rowOff>
    </xdr:from>
    <xdr:to>
      <xdr:col>45</xdr:col>
      <xdr:colOff>401391</xdr:colOff>
      <xdr:row>473</xdr:row>
      <xdr:rowOff>33142</xdr:rowOff>
    </xdr:to>
    <xdr:cxnSp macro="">
      <xdr:nvCxnSpPr>
        <xdr:cNvPr id="1199" name="Straight Arrow Connector 1198">
          <a:extLst>
            <a:ext uri="{FF2B5EF4-FFF2-40B4-BE49-F238E27FC236}">
              <a16:creationId xmlns:a16="http://schemas.microsoft.com/office/drawing/2014/main" xmlns="" id="{00000000-0008-0000-0400-0000AF040000}"/>
            </a:ext>
          </a:extLst>
        </xdr:cNvPr>
        <xdr:cNvCxnSpPr/>
      </xdr:nvCxnSpPr>
      <xdr:spPr>
        <a:xfrm>
          <a:off x="26587177" y="95183751"/>
          <a:ext cx="13953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475707</xdr:colOff>
      <xdr:row>500</xdr:row>
      <xdr:rowOff>50252</xdr:rowOff>
    </xdr:from>
    <xdr:to>
      <xdr:col>51</xdr:col>
      <xdr:colOff>298803</xdr:colOff>
      <xdr:row>507</xdr:row>
      <xdr:rowOff>106196</xdr:rowOff>
    </xdr:to>
    <xdr:grpSp>
      <xdr:nvGrpSpPr>
        <xdr:cNvPr id="1244" name="Group 1243">
          <a:extLst>
            <a:ext uri="{FF2B5EF4-FFF2-40B4-BE49-F238E27FC236}">
              <a16:creationId xmlns:a16="http://schemas.microsoft.com/office/drawing/2014/main" xmlns="" id="{00000000-0008-0000-0400-0000DC040000}"/>
            </a:ext>
          </a:extLst>
        </xdr:cNvPr>
        <xdr:cNvGrpSpPr/>
      </xdr:nvGrpSpPr>
      <xdr:grpSpPr>
        <a:xfrm>
          <a:off x="31663919" y="95497476"/>
          <a:ext cx="1096084" cy="1373755"/>
          <a:chOff x="25270558" y="29037066"/>
          <a:chExt cx="1039366" cy="951906"/>
        </a:xfrm>
      </xdr:grpSpPr>
      <xdr:grpSp>
        <xdr:nvGrpSpPr>
          <xdr:cNvPr id="1245" name="Group 1244">
            <a:extLst>
              <a:ext uri="{FF2B5EF4-FFF2-40B4-BE49-F238E27FC236}">
                <a16:creationId xmlns:a16="http://schemas.microsoft.com/office/drawing/2014/main" xmlns="" id="{00000000-0008-0000-0400-0000DD040000}"/>
              </a:ext>
            </a:extLst>
          </xdr:cNvPr>
          <xdr:cNvGrpSpPr/>
        </xdr:nvGrpSpPr>
        <xdr:grpSpPr>
          <a:xfrm>
            <a:off x="25270558" y="29037066"/>
            <a:ext cx="1039366" cy="951299"/>
            <a:chOff x="588526" y="212800"/>
            <a:chExt cx="1036410" cy="712395"/>
          </a:xfrm>
        </xdr:grpSpPr>
        <xdr:sp macro="" textlink="">
          <xdr:nvSpPr>
            <xdr:cNvPr id="1247" name="Rectangle 1246">
              <a:extLst>
                <a:ext uri="{FF2B5EF4-FFF2-40B4-BE49-F238E27FC236}">
                  <a16:creationId xmlns:a16="http://schemas.microsoft.com/office/drawing/2014/main" xmlns="" id="{00000000-0008-0000-0400-0000DF040000}"/>
                </a:ext>
              </a:extLst>
            </xdr:cNvPr>
            <xdr:cNvSpPr/>
          </xdr:nvSpPr>
          <xdr:spPr>
            <a:xfrm>
              <a:off x="610115" y="237313"/>
              <a:ext cx="1014821" cy="6878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FTM7</a:t>
              </a:r>
            </a:p>
          </xdr:txBody>
        </xdr:sp>
        <xdr:sp macro="" textlink="">
          <xdr:nvSpPr>
            <xdr:cNvPr id="1248" name="TextBox 1247">
              <a:extLst>
                <a:ext uri="{FF2B5EF4-FFF2-40B4-BE49-F238E27FC236}">
                  <a16:creationId xmlns:a16="http://schemas.microsoft.com/office/drawing/2014/main" xmlns="" id="{00000000-0008-0000-0400-0000E0040000}"/>
                </a:ext>
              </a:extLst>
            </xdr:cNvPr>
            <xdr:cNvSpPr txBox="1"/>
          </xdr:nvSpPr>
          <xdr:spPr>
            <a:xfrm>
              <a:off x="588526" y="212800"/>
              <a:ext cx="957773" cy="194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FTM System</a:t>
              </a:r>
              <a:r>
                <a:rPr lang="en-US" sz="600" baseline="0">
                  <a:solidFill>
                    <a:schemeClr val="bg1"/>
                  </a:solidFill>
                </a:rPr>
                <a:t> Clock/BIU</a:t>
              </a:r>
              <a:endParaRPr lang="en-US" sz="600">
                <a:solidFill>
                  <a:schemeClr val="bg1"/>
                </a:solidFill>
              </a:endParaRPr>
            </a:p>
          </xdr:txBody>
        </xdr:sp>
      </xdr:grpSp>
      <xdr:sp macro="" textlink="">
        <xdr:nvSpPr>
          <xdr:cNvPr id="1246" name="TextBox 1245">
            <a:extLst>
              <a:ext uri="{FF2B5EF4-FFF2-40B4-BE49-F238E27FC236}">
                <a16:creationId xmlns:a16="http://schemas.microsoft.com/office/drawing/2014/main" xmlns="" id="{00000000-0008-0000-0400-0000DE040000}"/>
              </a:ext>
            </a:extLst>
          </xdr:cNvPr>
          <xdr:cNvSpPr txBox="1"/>
        </xdr:nvSpPr>
        <xdr:spPr>
          <a:xfrm>
            <a:off x="25270558" y="29747307"/>
            <a:ext cx="732692" cy="24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Counter Clock</a:t>
            </a:r>
          </a:p>
        </xdr:txBody>
      </xdr:sp>
    </xdr:grpSp>
    <xdr:clientData/>
  </xdr:twoCellAnchor>
  <xdr:twoCellAnchor>
    <xdr:from>
      <xdr:col>12</xdr:col>
      <xdr:colOff>342900</xdr:colOff>
      <xdr:row>501</xdr:row>
      <xdr:rowOff>30389</xdr:rowOff>
    </xdr:from>
    <xdr:to>
      <xdr:col>33</xdr:col>
      <xdr:colOff>434010</xdr:colOff>
      <xdr:row>501</xdr:row>
      <xdr:rowOff>30389</xdr:rowOff>
    </xdr:to>
    <xdr:cxnSp macro="">
      <xdr:nvCxnSpPr>
        <xdr:cNvPr id="1249" name="Straight Arrow Connector 1248">
          <a:extLst>
            <a:ext uri="{FF2B5EF4-FFF2-40B4-BE49-F238E27FC236}">
              <a16:creationId xmlns:a16="http://schemas.microsoft.com/office/drawing/2014/main" xmlns="" id="{00000000-0008-0000-0400-0000E1040000}"/>
            </a:ext>
          </a:extLst>
        </xdr:cNvPr>
        <xdr:cNvCxnSpPr/>
      </xdr:nvCxnSpPr>
      <xdr:spPr>
        <a:xfrm>
          <a:off x="7658100" y="101576414"/>
          <a:ext cx="12892710"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434010</xdr:colOff>
      <xdr:row>498</xdr:row>
      <xdr:rowOff>57150</xdr:rowOff>
    </xdr:from>
    <xdr:to>
      <xdr:col>35</xdr:col>
      <xdr:colOff>235199</xdr:colOff>
      <xdr:row>503</xdr:row>
      <xdr:rowOff>178015</xdr:rowOff>
    </xdr:to>
    <xdr:sp macro="" textlink="">
      <xdr:nvSpPr>
        <xdr:cNvPr id="1250" name="Rectangle 1249">
          <a:extLst>
            <a:ext uri="{FF2B5EF4-FFF2-40B4-BE49-F238E27FC236}">
              <a16:creationId xmlns:a16="http://schemas.microsoft.com/office/drawing/2014/main" xmlns="" id="{00000000-0008-0000-0400-0000E2040000}"/>
            </a:ext>
          </a:extLst>
        </xdr:cNvPr>
        <xdr:cNvSpPr/>
      </xdr:nvSpPr>
      <xdr:spPr>
        <a:xfrm>
          <a:off x="20550810" y="101003100"/>
          <a:ext cx="1020389" cy="11114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FTM7 Clock</a:t>
          </a:r>
          <a:r>
            <a:rPr lang="en-US" sz="1100" baseline="0"/>
            <a:t> Enable</a:t>
          </a:r>
        </a:p>
        <a:p>
          <a:pPr algn="ctr"/>
          <a:r>
            <a:rPr lang="en-US" sz="900"/>
            <a:t>PCC_FTM7[CGC]</a:t>
          </a:r>
        </a:p>
      </xdr:txBody>
    </xdr:sp>
    <xdr:clientData/>
  </xdr:twoCellAnchor>
  <xdr:twoCellAnchor>
    <xdr:from>
      <xdr:col>35</xdr:col>
      <xdr:colOff>235227</xdr:colOff>
      <xdr:row>501</xdr:row>
      <xdr:rowOff>38550</xdr:rowOff>
    </xdr:from>
    <xdr:to>
      <xdr:col>49</xdr:col>
      <xdr:colOff>483705</xdr:colOff>
      <xdr:row>501</xdr:row>
      <xdr:rowOff>38550</xdr:rowOff>
    </xdr:to>
    <xdr:cxnSp macro="">
      <xdr:nvCxnSpPr>
        <xdr:cNvPr id="1251" name="Straight Arrow Connector 1250">
          <a:extLst>
            <a:ext uri="{FF2B5EF4-FFF2-40B4-BE49-F238E27FC236}">
              <a16:creationId xmlns:a16="http://schemas.microsoft.com/office/drawing/2014/main" xmlns="" id="{00000000-0008-0000-0400-0000E3040000}"/>
            </a:ext>
          </a:extLst>
        </xdr:cNvPr>
        <xdr:cNvCxnSpPr/>
      </xdr:nvCxnSpPr>
      <xdr:spPr>
        <a:xfrm>
          <a:off x="21571227" y="101556000"/>
          <a:ext cx="87828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442292</xdr:colOff>
      <xdr:row>506</xdr:row>
      <xdr:rowOff>16949</xdr:rowOff>
    </xdr:from>
    <xdr:to>
      <xdr:col>43</xdr:col>
      <xdr:colOff>243482</xdr:colOff>
      <xdr:row>512</xdr:row>
      <xdr:rowOff>187988</xdr:rowOff>
    </xdr:to>
    <xdr:sp macro="" textlink="">
      <xdr:nvSpPr>
        <xdr:cNvPr id="1252" name="Rectangle 1251">
          <a:extLst>
            <a:ext uri="{FF2B5EF4-FFF2-40B4-BE49-F238E27FC236}">
              <a16:creationId xmlns:a16="http://schemas.microsoft.com/office/drawing/2014/main" xmlns="" id="{00000000-0008-0000-0400-0000E4040000}"/>
            </a:ext>
          </a:extLst>
        </xdr:cNvPr>
        <xdr:cNvSpPr/>
      </xdr:nvSpPr>
      <xdr:spPr>
        <a:xfrm>
          <a:off x="25375811" y="102945564"/>
          <a:ext cx="1017459" cy="13873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FTM7 Clock Select</a:t>
          </a:r>
        </a:p>
        <a:p>
          <a:pPr algn="ctr"/>
          <a:r>
            <a:rPr lang="en-US" sz="900"/>
            <a:t>FTM7_SC[CLKS]</a:t>
          </a:r>
        </a:p>
      </xdr:txBody>
    </xdr:sp>
    <xdr:clientData/>
  </xdr:twoCellAnchor>
  <xdr:oneCellAnchor>
    <xdr:from>
      <xdr:col>41</xdr:col>
      <xdr:colOff>571755</xdr:colOff>
      <xdr:row>513</xdr:row>
      <xdr:rowOff>187349</xdr:rowOff>
    </xdr:from>
    <xdr:ext cx="1192695" cy="637762"/>
    <xdr:sp macro="" textlink="">
      <xdr:nvSpPr>
        <xdr:cNvPr id="1253" name="TextBox 1252">
          <a:extLst>
            <a:ext uri="{FF2B5EF4-FFF2-40B4-BE49-F238E27FC236}">
              <a16:creationId xmlns:a16="http://schemas.microsoft.com/office/drawing/2014/main" xmlns="" id="{00000000-0008-0000-0400-0000E5040000}"/>
            </a:ext>
          </a:extLst>
        </xdr:cNvPr>
        <xdr:cNvSpPr txBox="1"/>
      </xdr:nvSpPr>
      <xdr:spPr>
        <a:xfrm>
          <a:off x="25505274" y="104566695"/>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FTM</a:t>
          </a:r>
          <a:r>
            <a:rPr lang="en-US" sz="800" baseline="0"/>
            <a:t> System Clock</a:t>
          </a:r>
        </a:p>
        <a:p>
          <a:r>
            <a:rPr lang="en-US" sz="800" baseline="0"/>
            <a:t>2 - RTC_CLK</a:t>
          </a:r>
        </a:p>
        <a:p>
          <a:r>
            <a:rPr lang="en-US" sz="800" baseline="0"/>
            <a:t>3 - External Clock</a:t>
          </a:r>
          <a:endParaRPr lang="en-US" sz="800"/>
        </a:p>
      </xdr:txBody>
    </xdr:sp>
    <xdr:clientData/>
  </xdr:oneCellAnchor>
  <xdr:twoCellAnchor>
    <xdr:from>
      <xdr:col>36</xdr:col>
      <xdr:colOff>262304</xdr:colOff>
      <xdr:row>506</xdr:row>
      <xdr:rowOff>182280</xdr:rowOff>
    </xdr:from>
    <xdr:to>
      <xdr:col>41</xdr:col>
      <xdr:colOff>434009</xdr:colOff>
      <xdr:row>506</xdr:row>
      <xdr:rowOff>182280</xdr:rowOff>
    </xdr:to>
    <xdr:cxnSp macro="">
      <xdr:nvCxnSpPr>
        <xdr:cNvPr id="1254" name="Straight Arrow Connector 1253">
          <a:extLst>
            <a:ext uri="{FF2B5EF4-FFF2-40B4-BE49-F238E27FC236}">
              <a16:creationId xmlns:a16="http://schemas.microsoft.com/office/drawing/2014/main" xmlns="" id="{00000000-0008-0000-0400-0000E6040000}"/>
            </a:ext>
          </a:extLst>
        </xdr:cNvPr>
        <xdr:cNvCxnSpPr/>
      </xdr:nvCxnSpPr>
      <xdr:spPr>
        <a:xfrm>
          <a:off x="22207904" y="102652230"/>
          <a:ext cx="321970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251792</xdr:colOff>
      <xdr:row>501</xdr:row>
      <xdr:rowOff>47625</xdr:rowOff>
    </xdr:from>
    <xdr:to>
      <xdr:col>36</xdr:col>
      <xdr:colOff>251792</xdr:colOff>
      <xdr:row>507</xdr:row>
      <xdr:rowOff>1666</xdr:rowOff>
    </xdr:to>
    <xdr:cxnSp macro="">
      <xdr:nvCxnSpPr>
        <xdr:cNvPr id="1255" name="Straight Arrow Connector 1254">
          <a:extLst>
            <a:ext uri="{FF2B5EF4-FFF2-40B4-BE49-F238E27FC236}">
              <a16:creationId xmlns:a16="http://schemas.microsoft.com/office/drawing/2014/main" xmlns="" id="{00000000-0008-0000-0400-0000E7040000}"/>
            </a:ext>
          </a:extLst>
        </xdr:cNvPr>
        <xdr:cNvCxnSpPr/>
      </xdr:nvCxnSpPr>
      <xdr:spPr>
        <a:xfrm flipV="1">
          <a:off x="22197392" y="101565075"/>
          <a:ext cx="0" cy="113514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536713</xdr:colOff>
      <xdr:row>508</xdr:row>
      <xdr:rowOff>152684</xdr:rowOff>
    </xdr:from>
    <xdr:ext cx="717274" cy="266700"/>
    <xdr:sp macro="" textlink="">
      <xdr:nvSpPr>
        <xdr:cNvPr id="1256" name="TextBox 1255">
          <a:hlinkClick xmlns:r="http://schemas.openxmlformats.org/officeDocument/2006/relationships" r:id="rId17"/>
          <a:extLst>
            <a:ext uri="{FF2B5EF4-FFF2-40B4-BE49-F238E27FC236}">
              <a16:creationId xmlns:a16="http://schemas.microsoft.com/office/drawing/2014/main" xmlns="" id="{00000000-0008-0000-0400-0000E8040000}"/>
            </a:ext>
          </a:extLst>
        </xdr:cNvPr>
        <xdr:cNvSpPr txBox="1"/>
      </xdr:nvSpPr>
      <xdr:spPr>
        <a:xfrm>
          <a:off x="21872713" y="103079834"/>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31</xdr:col>
      <xdr:colOff>442293</xdr:colOff>
      <xdr:row>508</xdr:row>
      <xdr:rowOff>109115</xdr:rowOff>
    </xdr:from>
    <xdr:to>
      <xdr:col>33</xdr:col>
      <xdr:colOff>243483</xdr:colOff>
      <xdr:row>515</xdr:row>
      <xdr:rowOff>159638</xdr:rowOff>
    </xdr:to>
    <xdr:sp macro="" textlink="">
      <xdr:nvSpPr>
        <xdr:cNvPr id="1257" name="Rectangle 1256">
          <a:extLst>
            <a:ext uri="{FF2B5EF4-FFF2-40B4-BE49-F238E27FC236}">
              <a16:creationId xmlns:a16="http://schemas.microsoft.com/office/drawing/2014/main" xmlns="" id="{00000000-0008-0000-0400-0000E9040000}"/>
            </a:ext>
          </a:extLst>
        </xdr:cNvPr>
        <xdr:cNvSpPr/>
      </xdr:nvSpPr>
      <xdr:spPr>
        <a:xfrm>
          <a:off x="19339893" y="103036265"/>
          <a:ext cx="1020390" cy="14221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FTM7 Ext.</a:t>
          </a:r>
          <a:r>
            <a:rPr lang="en-US" sz="1100" baseline="0"/>
            <a:t> Clk. Pin Select </a:t>
          </a:r>
          <a:r>
            <a:rPr lang="en-US" sz="900"/>
            <a:t>SIM_FTMOPT0[FTM7CLKSEL]</a:t>
          </a:r>
        </a:p>
      </xdr:txBody>
    </xdr:sp>
    <xdr:clientData/>
  </xdr:twoCellAnchor>
  <xdr:oneCellAnchor>
    <xdr:from>
      <xdr:col>32</xdr:col>
      <xdr:colOff>6626</xdr:colOff>
      <xdr:row>516</xdr:row>
      <xdr:rowOff>198507</xdr:rowOff>
    </xdr:from>
    <xdr:ext cx="1192695" cy="637762"/>
    <xdr:sp macro="" textlink="">
      <xdr:nvSpPr>
        <xdr:cNvPr id="1258" name="TextBox 1257">
          <a:extLst>
            <a:ext uri="{FF2B5EF4-FFF2-40B4-BE49-F238E27FC236}">
              <a16:creationId xmlns:a16="http://schemas.microsoft.com/office/drawing/2014/main" xmlns="" id="{00000000-0008-0000-0400-0000EA040000}"/>
            </a:ext>
          </a:extLst>
        </xdr:cNvPr>
        <xdr:cNvSpPr txBox="1"/>
      </xdr:nvSpPr>
      <xdr:spPr>
        <a:xfrm>
          <a:off x="19513826" y="104754432"/>
          <a:ext cx="1192695" cy="63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TCLK0</a:t>
          </a:r>
        </a:p>
        <a:p>
          <a:r>
            <a:rPr lang="en-US" sz="800"/>
            <a:t>1 - TCLK1</a:t>
          </a:r>
          <a:endParaRPr lang="en-US" sz="800" baseline="0"/>
        </a:p>
        <a:p>
          <a:r>
            <a:rPr lang="en-US" sz="800" baseline="0"/>
            <a:t>2 - TCLK2</a:t>
          </a:r>
        </a:p>
        <a:p>
          <a:r>
            <a:rPr lang="en-US" sz="800" baseline="0"/>
            <a:t>3 - No Clock Input</a:t>
          </a:r>
          <a:endParaRPr lang="en-US" sz="800"/>
        </a:p>
      </xdr:txBody>
    </xdr:sp>
    <xdr:clientData/>
  </xdr:oneCellAnchor>
  <xdr:twoCellAnchor>
    <xdr:from>
      <xdr:col>38</xdr:col>
      <xdr:colOff>69574</xdr:colOff>
      <xdr:row>509</xdr:row>
      <xdr:rowOff>70139</xdr:rowOff>
    </xdr:from>
    <xdr:to>
      <xdr:col>41</xdr:col>
      <xdr:colOff>422414</xdr:colOff>
      <xdr:row>509</xdr:row>
      <xdr:rowOff>70139</xdr:rowOff>
    </xdr:to>
    <xdr:cxnSp macro="">
      <xdr:nvCxnSpPr>
        <xdr:cNvPr id="1262" name="Straight Arrow Connector 1261">
          <a:extLst>
            <a:ext uri="{FF2B5EF4-FFF2-40B4-BE49-F238E27FC236}">
              <a16:creationId xmlns:a16="http://schemas.microsoft.com/office/drawing/2014/main" xmlns="" id="{00000000-0008-0000-0400-0000EE040000}"/>
            </a:ext>
          </a:extLst>
        </xdr:cNvPr>
        <xdr:cNvCxnSpPr/>
      </xdr:nvCxnSpPr>
      <xdr:spPr>
        <a:xfrm>
          <a:off x="23234374" y="103187789"/>
          <a:ext cx="2181640"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285878</xdr:colOff>
      <xdr:row>520</xdr:row>
      <xdr:rowOff>2643</xdr:rowOff>
    </xdr:from>
    <xdr:to>
      <xdr:col>38</xdr:col>
      <xdr:colOff>492916</xdr:colOff>
      <xdr:row>528</xdr:row>
      <xdr:rowOff>176353</xdr:rowOff>
    </xdr:to>
    <xdr:sp macro="" textlink="">
      <xdr:nvSpPr>
        <xdr:cNvPr id="1263" name="Rectangle 1262">
          <a:extLst>
            <a:ext uri="{FF2B5EF4-FFF2-40B4-BE49-F238E27FC236}">
              <a16:creationId xmlns:a16="http://schemas.microsoft.com/office/drawing/2014/main" xmlns="" id="{00000000-0008-0000-0400-0000EF040000}"/>
            </a:ext>
          </a:extLst>
        </xdr:cNvPr>
        <xdr:cNvSpPr/>
      </xdr:nvSpPr>
      <xdr:spPr>
        <a:xfrm>
          <a:off x="22178724" y="105744797"/>
          <a:ext cx="1423307" cy="17270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FTM7 Ext.</a:t>
          </a:r>
          <a:r>
            <a:rPr lang="en-US" sz="1100" baseline="0"/>
            <a:t> Clk. Select </a:t>
          </a:r>
          <a:r>
            <a:rPr lang="en-US" sz="900"/>
            <a:t>PCC_FTM7[PCS]</a:t>
          </a:r>
        </a:p>
      </xdr:txBody>
    </xdr:sp>
    <xdr:clientData/>
  </xdr:twoCellAnchor>
  <xdr:twoCellAnchor>
    <xdr:from>
      <xdr:col>26</xdr:col>
      <xdr:colOff>337038</xdr:colOff>
      <xdr:row>522</xdr:row>
      <xdr:rowOff>182405</xdr:rowOff>
    </xdr:from>
    <xdr:to>
      <xdr:col>36</xdr:col>
      <xdr:colOff>246433</xdr:colOff>
      <xdr:row>522</xdr:row>
      <xdr:rowOff>182405</xdr:rowOff>
    </xdr:to>
    <xdr:cxnSp macro="">
      <xdr:nvCxnSpPr>
        <xdr:cNvPr id="1264" name="Straight Arrow Connector 1263">
          <a:extLst>
            <a:ext uri="{FF2B5EF4-FFF2-40B4-BE49-F238E27FC236}">
              <a16:creationId xmlns:a16="http://schemas.microsoft.com/office/drawing/2014/main" xmlns="" id="{00000000-0008-0000-0400-0000F0040000}"/>
            </a:ext>
          </a:extLst>
        </xdr:cNvPr>
        <xdr:cNvCxnSpPr/>
      </xdr:nvCxnSpPr>
      <xdr:spPr>
        <a:xfrm>
          <a:off x="16148538" y="106415463"/>
          <a:ext cx="5990741"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37</xdr:col>
      <xdr:colOff>17833</xdr:colOff>
      <xdr:row>529</xdr:row>
      <xdr:rowOff>196072</xdr:rowOff>
    </xdr:from>
    <xdr:ext cx="1152526" cy="1116726"/>
    <xdr:sp macro="" textlink="">
      <xdr:nvSpPr>
        <xdr:cNvPr id="1265" name="TextBox 1264">
          <a:extLst>
            <a:ext uri="{FF2B5EF4-FFF2-40B4-BE49-F238E27FC236}">
              <a16:creationId xmlns:a16="http://schemas.microsoft.com/office/drawing/2014/main" xmlns="" id="{00000000-0008-0000-0400-0000F1040000}"/>
            </a:ext>
          </a:extLst>
        </xdr:cNvPr>
        <xdr:cNvSpPr txBox="1"/>
      </xdr:nvSpPr>
      <xdr:spPr>
        <a:xfrm>
          <a:off x="22518814" y="107689360"/>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TCLK</a:t>
          </a:r>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22</xdr:col>
      <xdr:colOff>367111</xdr:colOff>
      <xdr:row>524</xdr:row>
      <xdr:rowOff>138545</xdr:rowOff>
    </xdr:from>
    <xdr:to>
      <xdr:col>36</xdr:col>
      <xdr:colOff>242554</xdr:colOff>
      <xdr:row>524</xdr:row>
      <xdr:rowOff>138546</xdr:rowOff>
    </xdr:to>
    <xdr:cxnSp macro="">
      <xdr:nvCxnSpPr>
        <xdr:cNvPr id="1266" name="Straight Arrow Connector 1265">
          <a:extLst>
            <a:ext uri="{FF2B5EF4-FFF2-40B4-BE49-F238E27FC236}">
              <a16:creationId xmlns:a16="http://schemas.microsoft.com/office/drawing/2014/main" xmlns="" id="{00000000-0008-0000-0400-0000F2040000}"/>
            </a:ext>
          </a:extLst>
        </xdr:cNvPr>
        <xdr:cNvCxnSpPr/>
      </xdr:nvCxnSpPr>
      <xdr:spPr>
        <a:xfrm flipV="1">
          <a:off x="13778311" y="106037495"/>
          <a:ext cx="8409843"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345131</xdr:colOff>
      <xdr:row>526</xdr:row>
      <xdr:rowOff>3693</xdr:rowOff>
    </xdr:from>
    <xdr:to>
      <xdr:col>36</xdr:col>
      <xdr:colOff>242554</xdr:colOff>
      <xdr:row>526</xdr:row>
      <xdr:rowOff>3693</xdr:rowOff>
    </xdr:to>
    <xdr:cxnSp macro="">
      <xdr:nvCxnSpPr>
        <xdr:cNvPr id="1267" name="Straight Arrow Connector 1266">
          <a:extLst>
            <a:ext uri="{FF2B5EF4-FFF2-40B4-BE49-F238E27FC236}">
              <a16:creationId xmlns:a16="http://schemas.microsoft.com/office/drawing/2014/main" xmlns="" id="{00000000-0008-0000-0400-0000F3040000}"/>
            </a:ext>
          </a:extLst>
        </xdr:cNvPr>
        <xdr:cNvCxnSpPr/>
      </xdr:nvCxnSpPr>
      <xdr:spPr>
        <a:xfrm>
          <a:off x="11317931" y="106283643"/>
          <a:ext cx="10870223"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396420</xdr:colOff>
      <xdr:row>527</xdr:row>
      <xdr:rowOff>30454</xdr:rowOff>
    </xdr:from>
    <xdr:to>
      <xdr:col>36</xdr:col>
      <xdr:colOff>257208</xdr:colOff>
      <xdr:row>527</xdr:row>
      <xdr:rowOff>30455</xdr:rowOff>
    </xdr:to>
    <xdr:cxnSp macro="">
      <xdr:nvCxnSpPr>
        <xdr:cNvPr id="1268" name="Straight Arrow Connector 1267">
          <a:extLst>
            <a:ext uri="{FF2B5EF4-FFF2-40B4-BE49-F238E27FC236}">
              <a16:creationId xmlns:a16="http://schemas.microsoft.com/office/drawing/2014/main" xmlns="" id="{00000000-0008-0000-0400-0000F4040000}"/>
            </a:ext>
          </a:extLst>
        </xdr:cNvPr>
        <xdr:cNvCxnSpPr/>
      </xdr:nvCxnSpPr>
      <xdr:spPr>
        <a:xfrm flipV="1">
          <a:off x="8930820" y="106500904"/>
          <a:ext cx="13271988" cy="1"/>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381766</xdr:colOff>
      <xdr:row>520</xdr:row>
      <xdr:rowOff>118918</xdr:rowOff>
    </xdr:from>
    <xdr:ext cx="1209261" cy="266700"/>
    <xdr:sp macro="" textlink="">
      <xdr:nvSpPr>
        <xdr:cNvPr id="1269" name="TextBox 1268">
          <a:extLst>
            <a:ext uri="{FF2B5EF4-FFF2-40B4-BE49-F238E27FC236}">
              <a16:creationId xmlns:a16="http://schemas.microsoft.com/office/drawing/2014/main" xmlns="" id="{00000000-0008-0000-0400-0000F5040000}"/>
            </a:ext>
          </a:extLst>
        </xdr:cNvPr>
        <xdr:cNvSpPr txBox="1"/>
      </xdr:nvSpPr>
      <xdr:spPr>
        <a:xfrm>
          <a:off x="23490881" y="105861072"/>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External Clock</a:t>
          </a:r>
        </a:p>
      </xdr:txBody>
    </xdr:sp>
    <xdr:clientData/>
  </xdr:oneCellAnchor>
  <xdr:twoCellAnchor>
    <xdr:from>
      <xdr:col>49</xdr:col>
      <xdr:colOff>61292</xdr:colOff>
      <xdr:row>506</xdr:row>
      <xdr:rowOff>179415</xdr:rowOff>
    </xdr:from>
    <xdr:to>
      <xdr:col>49</xdr:col>
      <xdr:colOff>494859</xdr:colOff>
      <xdr:row>506</xdr:row>
      <xdr:rowOff>179415</xdr:rowOff>
    </xdr:to>
    <xdr:cxnSp macro="">
      <xdr:nvCxnSpPr>
        <xdr:cNvPr id="1270" name="Straight Arrow Connector 1269">
          <a:extLst>
            <a:ext uri="{FF2B5EF4-FFF2-40B4-BE49-F238E27FC236}">
              <a16:creationId xmlns:a16="http://schemas.microsoft.com/office/drawing/2014/main" xmlns="" id="{00000000-0008-0000-0400-0000F6040000}"/>
            </a:ext>
          </a:extLst>
        </xdr:cNvPr>
        <xdr:cNvCxnSpPr/>
      </xdr:nvCxnSpPr>
      <xdr:spPr>
        <a:xfrm>
          <a:off x="29931692" y="102649365"/>
          <a:ext cx="4335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72129</xdr:colOff>
      <xdr:row>506</xdr:row>
      <xdr:rowOff>186430</xdr:rowOff>
    </xdr:from>
    <xdr:to>
      <xdr:col>49</xdr:col>
      <xdr:colOff>72129</xdr:colOff>
      <xdr:row>510</xdr:row>
      <xdr:rowOff>29308</xdr:rowOff>
    </xdr:to>
    <xdr:cxnSp macro="">
      <xdr:nvCxnSpPr>
        <xdr:cNvPr id="1271" name="Straight Arrow Connector 1270">
          <a:extLst>
            <a:ext uri="{FF2B5EF4-FFF2-40B4-BE49-F238E27FC236}">
              <a16:creationId xmlns:a16="http://schemas.microsoft.com/office/drawing/2014/main" xmlns="" id="{00000000-0008-0000-0400-0000F7040000}"/>
            </a:ext>
          </a:extLst>
        </xdr:cNvPr>
        <xdr:cNvCxnSpPr/>
      </xdr:nvCxnSpPr>
      <xdr:spPr>
        <a:xfrm flipV="1">
          <a:off x="29870725" y="103115045"/>
          <a:ext cx="0" cy="65616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458858</xdr:colOff>
      <xdr:row>506</xdr:row>
      <xdr:rowOff>2304</xdr:rowOff>
    </xdr:from>
    <xdr:to>
      <xdr:col>47</xdr:col>
      <xdr:colOff>260048</xdr:colOff>
      <xdr:row>512</xdr:row>
      <xdr:rowOff>173344</xdr:rowOff>
    </xdr:to>
    <xdr:sp macro="" textlink="">
      <xdr:nvSpPr>
        <xdr:cNvPr id="1272" name="Rectangle 1271">
          <a:extLst>
            <a:ext uri="{FF2B5EF4-FFF2-40B4-BE49-F238E27FC236}">
              <a16:creationId xmlns:a16="http://schemas.microsoft.com/office/drawing/2014/main" xmlns="" id="{00000000-0008-0000-0400-0000F8040000}"/>
            </a:ext>
          </a:extLst>
        </xdr:cNvPr>
        <xdr:cNvSpPr/>
      </xdr:nvSpPr>
      <xdr:spPr>
        <a:xfrm>
          <a:off x="27824916" y="102930919"/>
          <a:ext cx="1017459" cy="1409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FTM7 Clock Prescaler</a:t>
          </a:r>
        </a:p>
        <a:p>
          <a:pPr algn="ctr"/>
          <a:r>
            <a:rPr lang="en-US" sz="900"/>
            <a:t>FTM7_SC[PS]</a:t>
          </a:r>
        </a:p>
      </xdr:txBody>
    </xdr:sp>
    <xdr:clientData/>
  </xdr:twoCellAnchor>
  <xdr:oneCellAnchor>
    <xdr:from>
      <xdr:col>45</xdr:col>
      <xdr:colOff>579082</xdr:colOff>
      <xdr:row>513</xdr:row>
      <xdr:rowOff>198497</xdr:rowOff>
    </xdr:from>
    <xdr:ext cx="1432891" cy="1143001"/>
    <xdr:sp macro="" textlink="">
      <xdr:nvSpPr>
        <xdr:cNvPr id="1273" name="TextBox 1272">
          <a:extLst>
            <a:ext uri="{FF2B5EF4-FFF2-40B4-BE49-F238E27FC236}">
              <a16:creationId xmlns:a16="http://schemas.microsoft.com/office/drawing/2014/main" xmlns="" id="{00000000-0008-0000-0400-0000F9040000}"/>
            </a:ext>
          </a:extLst>
        </xdr:cNvPr>
        <xdr:cNvSpPr txBox="1"/>
      </xdr:nvSpPr>
      <xdr:spPr>
        <a:xfrm>
          <a:off x="27945140" y="104577843"/>
          <a:ext cx="1432891" cy="114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2</a:t>
          </a:r>
        </a:p>
        <a:p>
          <a:r>
            <a:rPr lang="en-US" sz="800" baseline="0"/>
            <a:t>2 - Divide by 4</a:t>
          </a:r>
        </a:p>
        <a:p>
          <a:r>
            <a:rPr lang="en-US" sz="800" baseline="0"/>
            <a:t>3 - Divide by 8</a:t>
          </a:r>
        </a:p>
        <a:p>
          <a:r>
            <a:rPr lang="en-US" sz="800" baseline="0"/>
            <a:t>4 - Divide by 16</a:t>
          </a:r>
        </a:p>
        <a:p>
          <a:r>
            <a:rPr lang="en-US" sz="800" baseline="0"/>
            <a:t>5 - Divide by 32</a:t>
          </a:r>
        </a:p>
        <a:p>
          <a:r>
            <a:rPr lang="en-US" sz="800" baseline="0"/>
            <a:t>6 - Divide by 64</a:t>
          </a:r>
        </a:p>
        <a:p>
          <a:r>
            <a:rPr lang="en-US" sz="800" baseline="0"/>
            <a:t>7 - Divide by 128</a:t>
          </a:r>
          <a:endParaRPr lang="en-US" sz="800"/>
        </a:p>
      </xdr:txBody>
    </xdr:sp>
    <xdr:clientData/>
  </xdr:oneCellAnchor>
  <xdr:twoCellAnchor>
    <xdr:from>
      <xdr:col>47</xdr:col>
      <xdr:colOff>276640</xdr:colOff>
      <xdr:row>510</xdr:row>
      <xdr:rowOff>37176</xdr:rowOff>
    </xdr:from>
    <xdr:to>
      <xdr:col>49</xdr:col>
      <xdr:colOff>79131</xdr:colOff>
      <xdr:row>510</xdr:row>
      <xdr:rowOff>37176</xdr:rowOff>
    </xdr:to>
    <xdr:cxnSp macro="">
      <xdr:nvCxnSpPr>
        <xdr:cNvPr id="1274" name="Straight Arrow Connector 1273">
          <a:extLst>
            <a:ext uri="{FF2B5EF4-FFF2-40B4-BE49-F238E27FC236}">
              <a16:creationId xmlns:a16="http://schemas.microsoft.com/office/drawing/2014/main" xmlns="" id="{00000000-0008-0000-0400-0000FA040000}"/>
            </a:ext>
          </a:extLst>
        </xdr:cNvPr>
        <xdr:cNvCxnSpPr/>
      </xdr:nvCxnSpPr>
      <xdr:spPr>
        <a:xfrm>
          <a:off x="28858967" y="103779080"/>
          <a:ext cx="101876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49823</xdr:colOff>
      <xdr:row>518</xdr:row>
      <xdr:rowOff>107687</xdr:rowOff>
    </xdr:from>
    <xdr:ext cx="596347" cy="271094"/>
    <xdr:sp macro="" textlink="">
      <xdr:nvSpPr>
        <xdr:cNvPr id="1275" name="TextBox 1274">
          <a:extLst>
            <a:ext uri="{FF2B5EF4-FFF2-40B4-BE49-F238E27FC236}">
              <a16:creationId xmlns:a16="http://schemas.microsoft.com/office/drawing/2014/main" xmlns="" id="{00000000-0008-0000-0400-0000FB040000}"/>
            </a:ext>
          </a:extLst>
        </xdr:cNvPr>
        <xdr:cNvSpPr txBox="1"/>
      </xdr:nvSpPr>
      <xdr:spPr>
        <a:xfrm>
          <a:off x="20726400" y="105461514"/>
          <a:ext cx="596347" cy="2710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TCLK</a:t>
          </a:r>
        </a:p>
      </xdr:txBody>
    </xdr:sp>
    <xdr:clientData/>
  </xdr:oneCellAnchor>
  <xdr:oneCellAnchor>
    <xdr:from>
      <xdr:col>39</xdr:col>
      <xdr:colOff>342900</xdr:colOff>
      <xdr:row>498</xdr:row>
      <xdr:rowOff>154068</xdr:rowOff>
    </xdr:from>
    <xdr:ext cx="1209261" cy="266700"/>
    <xdr:sp macro="" textlink="">
      <xdr:nvSpPr>
        <xdr:cNvPr id="1276" name="TextBox 1275">
          <a:extLst>
            <a:ext uri="{FF2B5EF4-FFF2-40B4-BE49-F238E27FC236}">
              <a16:creationId xmlns:a16="http://schemas.microsoft.com/office/drawing/2014/main" xmlns="" id="{00000000-0008-0000-0400-0000FC040000}"/>
            </a:ext>
          </a:extLst>
        </xdr:cNvPr>
        <xdr:cNvSpPr txBox="1"/>
      </xdr:nvSpPr>
      <xdr:spPr>
        <a:xfrm>
          <a:off x="24117300" y="101100018"/>
          <a:ext cx="12092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FTM System Clock</a:t>
          </a:r>
        </a:p>
      </xdr:txBody>
    </xdr:sp>
    <xdr:clientData/>
  </xdr:oneCellAnchor>
  <xdr:twoCellAnchor>
    <xdr:from>
      <xdr:col>38</xdr:col>
      <xdr:colOff>508555</xdr:colOff>
      <xdr:row>523</xdr:row>
      <xdr:rowOff>42913</xdr:rowOff>
    </xdr:from>
    <xdr:to>
      <xdr:col>40</xdr:col>
      <xdr:colOff>237458</xdr:colOff>
      <xdr:row>523</xdr:row>
      <xdr:rowOff>42913</xdr:rowOff>
    </xdr:to>
    <xdr:cxnSp macro="">
      <xdr:nvCxnSpPr>
        <xdr:cNvPr id="1277" name="Straight Arrow Connector 1276">
          <a:extLst>
            <a:ext uri="{FF2B5EF4-FFF2-40B4-BE49-F238E27FC236}">
              <a16:creationId xmlns:a16="http://schemas.microsoft.com/office/drawing/2014/main" xmlns="" id="{00000000-0008-0000-0400-0000FD040000}"/>
            </a:ext>
          </a:extLst>
        </xdr:cNvPr>
        <xdr:cNvCxnSpPr/>
      </xdr:nvCxnSpPr>
      <xdr:spPr>
        <a:xfrm>
          <a:off x="23617670" y="106422509"/>
          <a:ext cx="9451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244785</xdr:colOff>
      <xdr:row>511</xdr:row>
      <xdr:rowOff>158180</xdr:rowOff>
    </xdr:from>
    <xdr:to>
      <xdr:col>40</xdr:col>
      <xdr:colOff>244785</xdr:colOff>
      <xdr:row>523</xdr:row>
      <xdr:rowOff>65942</xdr:rowOff>
    </xdr:to>
    <xdr:cxnSp macro="">
      <xdr:nvCxnSpPr>
        <xdr:cNvPr id="1278" name="Straight Arrow Connector 1277">
          <a:extLst>
            <a:ext uri="{FF2B5EF4-FFF2-40B4-BE49-F238E27FC236}">
              <a16:creationId xmlns:a16="http://schemas.microsoft.com/office/drawing/2014/main" xmlns="" id="{00000000-0008-0000-0400-0000FE040000}"/>
            </a:ext>
          </a:extLst>
        </xdr:cNvPr>
        <xdr:cNvCxnSpPr/>
      </xdr:nvCxnSpPr>
      <xdr:spPr>
        <a:xfrm flipV="1">
          <a:off x="24570170" y="104090584"/>
          <a:ext cx="0" cy="235495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235227</xdr:colOff>
      <xdr:row>511</xdr:row>
      <xdr:rowOff>151165</xdr:rowOff>
    </xdr:from>
    <xdr:to>
      <xdr:col>41</xdr:col>
      <xdr:colOff>457266</xdr:colOff>
      <xdr:row>511</xdr:row>
      <xdr:rowOff>151165</xdr:rowOff>
    </xdr:to>
    <xdr:cxnSp macro="">
      <xdr:nvCxnSpPr>
        <xdr:cNvPr id="1279" name="Straight Arrow Connector 1278">
          <a:extLst>
            <a:ext uri="{FF2B5EF4-FFF2-40B4-BE49-F238E27FC236}">
              <a16:creationId xmlns:a16="http://schemas.microsoft.com/office/drawing/2014/main" xmlns="" id="{00000000-0008-0000-0400-0000FF040000}"/>
            </a:ext>
          </a:extLst>
        </xdr:cNvPr>
        <xdr:cNvCxnSpPr/>
      </xdr:nvCxnSpPr>
      <xdr:spPr>
        <a:xfrm>
          <a:off x="24619227" y="103573615"/>
          <a:ext cx="8316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260079</xdr:colOff>
      <xdr:row>512</xdr:row>
      <xdr:rowOff>2395</xdr:rowOff>
    </xdr:from>
    <xdr:to>
      <xdr:col>34</xdr:col>
      <xdr:colOff>23191</xdr:colOff>
      <xdr:row>512</xdr:row>
      <xdr:rowOff>2395</xdr:rowOff>
    </xdr:to>
    <xdr:cxnSp macro="">
      <xdr:nvCxnSpPr>
        <xdr:cNvPr id="1280" name="Straight Arrow Connector 1279">
          <a:extLst>
            <a:ext uri="{FF2B5EF4-FFF2-40B4-BE49-F238E27FC236}">
              <a16:creationId xmlns:a16="http://schemas.microsoft.com/office/drawing/2014/main" xmlns="" id="{00000000-0008-0000-0400-000000050000}"/>
            </a:ext>
          </a:extLst>
        </xdr:cNvPr>
        <xdr:cNvCxnSpPr/>
      </xdr:nvCxnSpPr>
      <xdr:spPr>
        <a:xfrm>
          <a:off x="20376879" y="103615345"/>
          <a:ext cx="37271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6626</xdr:colOff>
      <xdr:row>521</xdr:row>
      <xdr:rowOff>8960</xdr:rowOff>
    </xdr:from>
    <xdr:to>
      <xdr:col>36</xdr:col>
      <xdr:colOff>284925</xdr:colOff>
      <xdr:row>521</xdr:row>
      <xdr:rowOff>8960</xdr:rowOff>
    </xdr:to>
    <xdr:cxnSp macro="">
      <xdr:nvCxnSpPr>
        <xdr:cNvPr id="1281" name="Straight Arrow Connector 1280">
          <a:extLst>
            <a:ext uri="{FF2B5EF4-FFF2-40B4-BE49-F238E27FC236}">
              <a16:creationId xmlns:a16="http://schemas.microsoft.com/office/drawing/2014/main" xmlns="" id="{00000000-0008-0000-0400-000001050000}"/>
            </a:ext>
          </a:extLst>
        </xdr:cNvPr>
        <xdr:cNvCxnSpPr/>
      </xdr:nvCxnSpPr>
      <xdr:spPr>
        <a:xfrm>
          <a:off x="20733026" y="105336410"/>
          <a:ext cx="149749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14911</xdr:colOff>
      <xdr:row>512</xdr:row>
      <xdr:rowOff>2397</xdr:rowOff>
    </xdr:from>
    <xdr:to>
      <xdr:col>34</xdr:col>
      <xdr:colOff>14911</xdr:colOff>
      <xdr:row>521</xdr:row>
      <xdr:rowOff>7691</xdr:rowOff>
    </xdr:to>
    <xdr:cxnSp macro="">
      <xdr:nvCxnSpPr>
        <xdr:cNvPr id="1282" name="Straight Arrow Connector 1281">
          <a:extLst>
            <a:ext uri="{FF2B5EF4-FFF2-40B4-BE49-F238E27FC236}">
              <a16:creationId xmlns:a16="http://schemas.microsoft.com/office/drawing/2014/main" xmlns="" id="{00000000-0008-0000-0400-000002050000}"/>
            </a:ext>
          </a:extLst>
        </xdr:cNvPr>
        <xdr:cNvCxnSpPr/>
      </xdr:nvCxnSpPr>
      <xdr:spPr>
        <a:xfrm flipV="1">
          <a:off x="20741311" y="103615347"/>
          <a:ext cx="0" cy="171979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53006</xdr:colOff>
      <xdr:row>510</xdr:row>
      <xdr:rowOff>140398</xdr:rowOff>
    </xdr:from>
    <xdr:to>
      <xdr:col>31</xdr:col>
      <xdr:colOff>422543</xdr:colOff>
      <xdr:row>510</xdr:row>
      <xdr:rowOff>140398</xdr:rowOff>
    </xdr:to>
    <xdr:cxnSp macro="">
      <xdr:nvCxnSpPr>
        <xdr:cNvPr id="1283" name="Straight Arrow Connector 1282">
          <a:extLst>
            <a:ext uri="{FF2B5EF4-FFF2-40B4-BE49-F238E27FC236}">
              <a16:creationId xmlns:a16="http://schemas.microsoft.com/office/drawing/2014/main" xmlns="" id="{00000000-0008-0000-0400-000003050000}"/>
            </a:ext>
          </a:extLst>
        </xdr:cNvPr>
        <xdr:cNvCxnSpPr/>
      </xdr:nvCxnSpPr>
      <xdr:spPr>
        <a:xfrm>
          <a:off x="18950606" y="103372348"/>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44723</xdr:colOff>
      <xdr:row>511</xdr:row>
      <xdr:rowOff>140967</xdr:rowOff>
    </xdr:from>
    <xdr:to>
      <xdr:col>31</xdr:col>
      <xdr:colOff>414260</xdr:colOff>
      <xdr:row>511</xdr:row>
      <xdr:rowOff>140967</xdr:rowOff>
    </xdr:to>
    <xdr:cxnSp macro="">
      <xdr:nvCxnSpPr>
        <xdr:cNvPr id="1284" name="Straight Arrow Connector 1283">
          <a:extLst>
            <a:ext uri="{FF2B5EF4-FFF2-40B4-BE49-F238E27FC236}">
              <a16:creationId xmlns:a16="http://schemas.microsoft.com/office/drawing/2014/main" xmlns="" id="{00000000-0008-0000-0400-000004050000}"/>
            </a:ext>
          </a:extLst>
        </xdr:cNvPr>
        <xdr:cNvCxnSpPr/>
      </xdr:nvCxnSpPr>
      <xdr:spPr>
        <a:xfrm>
          <a:off x="18942323" y="103563417"/>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45679</xdr:colOff>
      <xdr:row>512</xdr:row>
      <xdr:rowOff>186778</xdr:rowOff>
    </xdr:from>
    <xdr:to>
      <xdr:col>31</xdr:col>
      <xdr:colOff>415216</xdr:colOff>
      <xdr:row>512</xdr:row>
      <xdr:rowOff>186778</xdr:rowOff>
    </xdr:to>
    <xdr:cxnSp macro="">
      <xdr:nvCxnSpPr>
        <xdr:cNvPr id="1285" name="Straight Arrow Connector 1284">
          <a:extLst>
            <a:ext uri="{FF2B5EF4-FFF2-40B4-BE49-F238E27FC236}">
              <a16:creationId xmlns:a16="http://schemas.microsoft.com/office/drawing/2014/main" xmlns="" id="{00000000-0008-0000-0400-000005050000}"/>
            </a:ext>
          </a:extLst>
        </xdr:cNvPr>
        <xdr:cNvCxnSpPr/>
      </xdr:nvCxnSpPr>
      <xdr:spPr>
        <a:xfrm>
          <a:off x="18943279" y="103799728"/>
          <a:ext cx="3695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268356</xdr:colOff>
      <xdr:row>509</xdr:row>
      <xdr:rowOff>40428</xdr:rowOff>
    </xdr:from>
    <xdr:to>
      <xdr:col>45</xdr:col>
      <xdr:colOff>437831</xdr:colOff>
      <xdr:row>509</xdr:row>
      <xdr:rowOff>40428</xdr:rowOff>
    </xdr:to>
    <xdr:cxnSp macro="">
      <xdr:nvCxnSpPr>
        <xdr:cNvPr id="1286" name="Straight Arrow Connector 1285">
          <a:extLst>
            <a:ext uri="{FF2B5EF4-FFF2-40B4-BE49-F238E27FC236}">
              <a16:creationId xmlns:a16="http://schemas.microsoft.com/office/drawing/2014/main" xmlns="" id="{00000000-0008-0000-0400-000006050000}"/>
            </a:ext>
          </a:extLst>
        </xdr:cNvPr>
        <xdr:cNvCxnSpPr/>
      </xdr:nvCxnSpPr>
      <xdr:spPr>
        <a:xfrm>
          <a:off x="26418144" y="103547870"/>
          <a:ext cx="13857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571500</xdr:colOff>
      <xdr:row>505</xdr:row>
      <xdr:rowOff>19050</xdr:rowOff>
    </xdr:from>
    <xdr:ext cx="860534" cy="367862"/>
    <xdr:sp macro="" textlink="">
      <xdr:nvSpPr>
        <xdr:cNvPr id="1287" name="TextBox 1286">
          <a:extLst>
            <a:ext uri="{FF2B5EF4-FFF2-40B4-BE49-F238E27FC236}">
              <a16:creationId xmlns:a16="http://schemas.microsoft.com/office/drawing/2014/main" xmlns="" id="{00000000-0008-0000-0400-000007050000}"/>
            </a:ext>
          </a:extLst>
        </xdr:cNvPr>
        <xdr:cNvSpPr txBox="1"/>
      </xdr:nvSpPr>
      <xdr:spPr>
        <a:xfrm>
          <a:off x="20688300" y="102298500"/>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oneCellAnchor>
    <xdr:from>
      <xdr:col>28</xdr:col>
      <xdr:colOff>395653</xdr:colOff>
      <xdr:row>380</xdr:row>
      <xdr:rowOff>175846</xdr:rowOff>
    </xdr:from>
    <xdr:ext cx="847725" cy="266700"/>
    <xdr:sp macro="" textlink="">
      <xdr:nvSpPr>
        <xdr:cNvPr id="1288" name="TextBox 1287">
          <a:hlinkClick xmlns:r="http://schemas.openxmlformats.org/officeDocument/2006/relationships" r:id="rId24"/>
          <a:extLst>
            <a:ext uri="{FF2B5EF4-FFF2-40B4-BE49-F238E27FC236}">
              <a16:creationId xmlns:a16="http://schemas.microsoft.com/office/drawing/2014/main" xmlns="" id="{00000000-0008-0000-0400-000008050000}"/>
            </a:ext>
          </a:extLst>
        </xdr:cNvPr>
        <xdr:cNvSpPr txBox="1"/>
      </xdr:nvSpPr>
      <xdr:spPr>
        <a:xfrm>
          <a:off x="17423422" y="7767271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397563</xdr:colOff>
      <xdr:row>381</xdr:row>
      <xdr:rowOff>153865</xdr:rowOff>
    </xdr:from>
    <xdr:ext cx="847725" cy="266700"/>
    <xdr:sp macro="" textlink="">
      <xdr:nvSpPr>
        <xdr:cNvPr id="1289" name="TextBox 1288">
          <a:hlinkClick xmlns:r="http://schemas.openxmlformats.org/officeDocument/2006/relationships" r:id="rId25"/>
          <a:extLst>
            <a:ext uri="{FF2B5EF4-FFF2-40B4-BE49-F238E27FC236}">
              <a16:creationId xmlns:a16="http://schemas.microsoft.com/office/drawing/2014/main" xmlns="" id="{00000000-0008-0000-0400-000009050000}"/>
            </a:ext>
          </a:extLst>
        </xdr:cNvPr>
        <xdr:cNvSpPr txBox="1"/>
      </xdr:nvSpPr>
      <xdr:spPr>
        <a:xfrm>
          <a:off x="17425332" y="7786321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403934</xdr:colOff>
      <xdr:row>382</xdr:row>
      <xdr:rowOff>161191</xdr:rowOff>
    </xdr:from>
    <xdr:ext cx="847725" cy="266700"/>
    <xdr:sp macro="" textlink="">
      <xdr:nvSpPr>
        <xdr:cNvPr id="1290" name="TextBox 1289">
          <a:hlinkClick xmlns:r="http://schemas.openxmlformats.org/officeDocument/2006/relationships" r:id="rId26"/>
          <a:extLst>
            <a:ext uri="{FF2B5EF4-FFF2-40B4-BE49-F238E27FC236}">
              <a16:creationId xmlns:a16="http://schemas.microsoft.com/office/drawing/2014/main" xmlns="" id="{00000000-0008-0000-0400-00000A050000}"/>
            </a:ext>
          </a:extLst>
        </xdr:cNvPr>
        <xdr:cNvSpPr txBox="1"/>
      </xdr:nvSpPr>
      <xdr:spPr>
        <a:xfrm>
          <a:off x="17431703" y="78083018"/>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oneCellAnchor>
    <xdr:from>
      <xdr:col>28</xdr:col>
      <xdr:colOff>417635</xdr:colOff>
      <xdr:row>410</xdr:row>
      <xdr:rowOff>197827</xdr:rowOff>
    </xdr:from>
    <xdr:ext cx="847725" cy="266700"/>
    <xdr:sp macro="" textlink="">
      <xdr:nvSpPr>
        <xdr:cNvPr id="1291" name="TextBox 1290">
          <a:hlinkClick xmlns:r="http://schemas.openxmlformats.org/officeDocument/2006/relationships" r:id="rId24"/>
          <a:extLst>
            <a:ext uri="{FF2B5EF4-FFF2-40B4-BE49-F238E27FC236}">
              <a16:creationId xmlns:a16="http://schemas.microsoft.com/office/drawing/2014/main" xmlns="" id="{00000000-0008-0000-0400-00000B050000}"/>
            </a:ext>
          </a:extLst>
        </xdr:cNvPr>
        <xdr:cNvSpPr txBox="1"/>
      </xdr:nvSpPr>
      <xdr:spPr>
        <a:xfrm>
          <a:off x="17445404" y="8374673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419545</xdr:colOff>
      <xdr:row>411</xdr:row>
      <xdr:rowOff>175846</xdr:rowOff>
    </xdr:from>
    <xdr:ext cx="847725" cy="266700"/>
    <xdr:sp macro="" textlink="">
      <xdr:nvSpPr>
        <xdr:cNvPr id="1292" name="TextBox 1291">
          <a:hlinkClick xmlns:r="http://schemas.openxmlformats.org/officeDocument/2006/relationships" r:id="rId25"/>
          <a:extLst>
            <a:ext uri="{FF2B5EF4-FFF2-40B4-BE49-F238E27FC236}">
              <a16:creationId xmlns:a16="http://schemas.microsoft.com/office/drawing/2014/main" xmlns="" id="{00000000-0008-0000-0400-00000C050000}"/>
            </a:ext>
          </a:extLst>
        </xdr:cNvPr>
        <xdr:cNvSpPr txBox="1"/>
      </xdr:nvSpPr>
      <xdr:spPr>
        <a:xfrm>
          <a:off x="17447314" y="8393723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425916</xdr:colOff>
      <xdr:row>412</xdr:row>
      <xdr:rowOff>183173</xdr:rowOff>
    </xdr:from>
    <xdr:ext cx="847725" cy="266700"/>
    <xdr:sp macro="" textlink="">
      <xdr:nvSpPr>
        <xdr:cNvPr id="1293" name="TextBox 1292">
          <a:hlinkClick xmlns:r="http://schemas.openxmlformats.org/officeDocument/2006/relationships" r:id="rId26"/>
          <a:extLst>
            <a:ext uri="{FF2B5EF4-FFF2-40B4-BE49-F238E27FC236}">
              <a16:creationId xmlns:a16="http://schemas.microsoft.com/office/drawing/2014/main" xmlns="" id="{00000000-0008-0000-0400-00000D050000}"/>
            </a:ext>
          </a:extLst>
        </xdr:cNvPr>
        <xdr:cNvSpPr txBox="1"/>
      </xdr:nvSpPr>
      <xdr:spPr>
        <a:xfrm>
          <a:off x="17453685" y="84157038"/>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oneCellAnchor>
    <xdr:from>
      <xdr:col>28</xdr:col>
      <xdr:colOff>381000</xdr:colOff>
      <xdr:row>440</xdr:row>
      <xdr:rowOff>183173</xdr:rowOff>
    </xdr:from>
    <xdr:ext cx="847725" cy="266700"/>
    <xdr:sp macro="" textlink="">
      <xdr:nvSpPr>
        <xdr:cNvPr id="1294" name="TextBox 1293">
          <a:hlinkClick xmlns:r="http://schemas.openxmlformats.org/officeDocument/2006/relationships" r:id="rId24"/>
          <a:extLst>
            <a:ext uri="{FF2B5EF4-FFF2-40B4-BE49-F238E27FC236}">
              <a16:creationId xmlns:a16="http://schemas.microsoft.com/office/drawing/2014/main" xmlns="" id="{00000000-0008-0000-0400-00000E050000}"/>
            </a:ext>
          </a:extLst>
        </xdr:cNvPr>
        <xdr:cNvSpPr txBox="1"/>
      </xdr:nvSpPr>
      <xdr:spPr>
        <a:xfrm>
          <a:off x="17408769" y="8980609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382910</xdr:colOff>
      <xdr:row>441</xdr:row>
      <xdr:rowOff>161192</xdr:rowOff>
    </xdr:from>
    <xdr:ext cx="847725" cy="266700"/>
    <xdr:sp macro="" textlink="">
      <xdr:nvSpPr>
        <xdr:cNvPr id="1295" name="TextBox 1294">
          <a:hlinkClick xmlns:r="http://schemas.openxmlformats.org/officeDocument/2006/relationships" r:id="rId25"/>
          <a:extLst>
            <a:ext uri="{FF2B5EF4-FFF2-40B4-BE49-F238E27FC236}">
              <a16:creationId xmlns:a16="http://schemas.microsoft.com/office/drawing/2014/main" xmlns="" id="{00000000-0008-0000-0400-00000F050000}"/>
            </a:ext>
          </a:extLst>
        </xdr:cNvPr>
        <xdr:cNvSpPr txBox="1"/>
      </xdr:nvSpPr>
      <xdr:spPr>
        <a:xfrm>
          <a:off x="17410679" y="8999659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389281</xdr:colOff>
      <xdr:row>442</xdr:row>
      <xdr:rowOff>168518</xdr:rowOff>
    </xdr:from>
    <xdr:ext cx="847725" cy="266700"/>
    <xdr:sp macro="" textlink="">
      <xdr:nvSpPr>
        <xdr:cNvPr id="1296" name="TextBox 1295">
          <a:hlinkClick xmlns:r="http://schemas.openxmlformats.org/officeDocument/2006/relationships" r:id="rId26"/>
          <a:extLst>
            <a:ext uri="{FF2B5EF4-FFF2-40B4-BE49-F238E27FC236}">
              <a16:creationId xmlns:a16="http://schemas.microsoft.com/office/drawing/2014/main" xmlns="" id="{00000000-0008-0000-0400-000010050000}"/>
            </a:ext>
          </a:extLst>
        </xdr:cNvPr>
        <xdr:cNvSpPr txBox="1"/>
      </xdr:nvSpPr>
      <xdr:spPr>
        <a:xfrm>
          <a:off x="17417050" y="90216403"/>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oneCellAnchor>
    <xdr:from>
      <xdr:col>28</xdr:col>
      <xdr:colOff>402981</xdr:colOff>
      <xdr:row>473</xdr:row>
      <xdr:rowOff>183173</xdr:rowOff>
    </xdr:from>
    <xdr:ext cx="847725" cy="266700"/>
    <xdr:sp macro="" textlink="">
      <xdr:nvSpPr>
        <xdr:cNvPr id="1297" name="TextBox 1296">
          <a:hlinkClick xmlns:r="http://schemas.openxmlformats.org/officeDocument/2006/relationships" r:id="rId24"/>
          <a:extLst>
            <a:ext uri="{FF2B5EF4-FFF2-40B4-BE49-F238E27FC236}">
              <a16:creationId xmlns:a16="http://schemas.microsoft.com/office/drawing/2014/main" xmlns="" id="{00000000-0008-0000-0400-000011050000}"/>
            </a:ext>
          </a:extLst>
        </xdr:cNvPr>
        <xdr:cNvSpPr txBox="1"/>
      </xdr:nvSpPr>
      <xdr:spPr>
        <a:xfrm>
          <a:off x="17430750" y="9647359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404891</xdr:colOff>
      <xdr:row>474</xdr:row>
      <xdr:rowOff>161192</xdr:rowOff>
    </xdr:from>
    <xdr:ext cx="847725" cy="266700"/>
    <xdr:sp macro="" textlink="">
      <xdr:nvSpPr>
        <xdr:cNvPr id="1298" name="TextBox 1297">
          <a:hlinkClick xmlns:r="http://schemas.openxmlformats.org/officeDocument/2006/relationships" r:id="rId25"/>
          <a:extLst>
            <a:ext uri="{FF2B5EF4-FFF2-40B4-BE49-F238E27FC236}">
              <a16:creationId xmlns:a16="http://schemas.microsoft.com/office/drawing/2014/main" xmlns="" id="{00000000-0008-0000-0400-000012050000}"/>
            </a:ext>
          </a:extLst>
        </xdr:cNvPr>
        <xdr:cNvSpPr txBox="1"/>
      </xdr:nvSpPr>
      <xdr:spPr>
        <a:xfrm>
          <a:off x="17432660" y="9666409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411262</xdr:colOff>
      <xdr:row>475</xdr:row>
      <xdr:rowOff>168518</xdr:rowOff>
    </xdr:from>
    <xdr:ext cx="847725" cy="266700"/>
    <xdr:sp macro="" textlink="">
      <xdr:nvSpPr>
        <xdr:cNvPr id="1299" name="TextBox 1298">
          <a:hlinkClick xmlns:r="http://schemas.openxmlformats.org/officeDocument/2006/relationships" r:id="rId26"/>
          <a:extLst>
            <a:ext uri="{FF2B5EF4-FFF2-40B4-BE49-F238E27FC236}">
              <a16:creationId xmlns:a16="http://schemas.microsoft.com/office/drawing/2014/main" xmlns="" id="{00000000-0008-0000-0400-000013050000}"/>
            </a:ext>
          </a:extLst>
        </xdr:cNvPr>
        <xdr:cNvSpPr txBox="1"/>
      </xdr:nvSpPr>
      <xdr:spPr>
        <a:xfrm>
          <a:off x="17439031" y="96883903"/>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oneCellAnchor>
    <xdr:from>
      <xdr:col>28</xdr:col>
      <xdr:colOff>410308</xdr:colOff>
      <xdr:row>509</xdr:row>
      <xdr:rowOff>175846</xdr:rowOff>
    </xdr:from>
    <xdr:ext cx="847725" cy="266700"/>
    <xdr:sp macro="" textlink="">
      <xdr:nvSpPr>
        <xdr:cNvPr id="1300" name="TextBox 1299">
          <a:hlinkClick xmlns:r="http://schemas.openxmlformats.org/officeDocument/2006/relationships" r:id="rId24"/>
          <a:extLst>
            <a:ext uri="{FF2B5EF4-FFF2-40B4-BE49-F238E27FC236}">
              <a16:creationId xmlns:a16="http://schemas.microsoft.com/office/drawing/2014/main" xmlns="" id="{00000000-0008-0000-0400-000014050000}"/>
            </a:ext>
          </a:extLst>
        </xdr:cNvPr>
        <xdr:cNvSpPr txBox="1"/>
      </xdr:nvSpPr>
      <xdr:spPr>
        <a:xfrm>
          <a:off x="17438077" y="103705269"/>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TCLK0</a:t>
          </a:r>
        </a:p>
      </xdr:txBody>
    </xdr:sp>
    <xdr:clientData/>
  </xdr:oneCellAnchor>
  <xdr:oneCellAnchor>
    <xdr:from>
      <xdr:col>28</xdr:col>
      <xdr:colOff>412218</xdr:colOff>
      <xdr:row>510</xdr:row>
      <xdr:rowOff>153865</xdr:rowOff>
    </xdr:from>
    <xdr:ext cx="847725" cy="266700"/>
    <xdr:sp macro="" textlink="">
      <xdr:nvSpPr>
        <xdr:cNvPr id="1301" name="TextBox 1300">
          <a:hlinkClick xmlns:r="http://schemas.openxmlformats.org/officeDocument/2006/relationships" r:id="rId25"/>
          <a:extLst>
            <a:ext uri="{FF2B5EF4-FFF2-40B4-BE49-F238E27FC236}">
              <a16:creationId xmlns:a16="http://schemas.microsoft.com/office/drawing/2014/main" xmlns="" id="{00000000-0008-0000-0400-000015050000}"/>
            </a:ext>
          </a:extLst>
        </xdr:cNvPr>
        <xdr:cNvSpPr txBox="1"/>
      </xdr:nvSpPr>
      <xdr:spPr>
        <a:xfrm>
          <a:off x="17439987" y="103895769"/>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TCLK1</a:t>
          </a:r>
        </a:p>
      </xdr:txBody>
    </xdr:sp>
    <xdr:clientData/>
  </xdr:oneCellAnchor>
  <xdr:oneCellAnchor>
    <xdr:from>
      <xdr:col>28</xdr:col>
      <xdr:colOff>418589</xdr:colOff>
      <xdr:row>511</xdr:row>
      <xdr:rowOff>161191</xdr:rowOff>
    </xdr:from>
    <xdr:ext cx="847725" cy="266700"/>
    <xdr:sp macro="" textlink="">
      <xdr:nvSpPr>
        <xdr:cNvPr id="1302" name="TextBox 1301">
          <a:hlinkClick xmlns:r="http://schemas.openxmlformats.org/officeDocument/2006/relationships" r:id="rId26"/>
          <a:extLst>
            <a:ext uri="{FF2B5EF4-FFF2-40B4-BE49-F238E27FC236}">
              <a16:creationId xmlns:a16="http://schemas.microsoft.com/office/drawing/2014/main" xmlns="" id="{00000000-0008-0000-0400-000016050000}"/>
            </a:ext>
          </a:extLst>
        </xdr:cNvPr>
        <xdr:cNvSpPr txBox="1"/>
      </xdr:nvSpPr>
      <xdr:spPr>
        <a:xfrm>
          <a:off x="17446358" y="10411557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TCLK2</a:t>
          </a:r>
        </a:p>
      </xdr:txBody>
    </xdr:sp>
    <xdr:clientData/>
  </xdr:oneCellAnchor>
  <xdr:twoCellAnchor>
    <xdr:from>
      <xdr:col>0</xdr:col>
      <xdr:colOff>395649</xdr:colOff>
      <xdr:row>332</xdr:row>
      <xdr:rowOff>43962</xdr:rowOff>
    </xdr:from>
    <xdr:to>
      <xdr:col>2</xdr:col>
      <xdr:colOff>197096</xdr:colOff>
      <xdr:row>337</xdr:row>
      <xdr:rowOff>178077</xdr:rowOff>
    </xdr:to>
    <xdr:sp macro="" textlink="">
      <xdr:nvSpPr>
        <xdr:cNvPr id="1027" name="Rectangle 1026">
          <a:hlinkClick xmlns:r="http://schemas.openxmlformats.org/officeDocument/2006/relationships" r:id="rId27"/>
          <a:extLst>
            <a:ext uri="{FF2B5EF4-FFF2-40B4-BE49-F238E27FC236}">
              <a16:creationId xmlns:a16="http://schemas.microsoft.com/office/drawing/2014/main" xmlns="" id="{00000000-0008-0000-0400-000003040000}"/>
            </a:ext>
          </a:extLst>
        </xdr:cNvPr>
        <xdr:cNvSpPr/>
      </xdr:nvSpPr>
      <xdr:spPr>
        <a:xfrm>
          <a:off x="395649" y="67876616"/>
          <a:ext cx="1017716" cy="11525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SAI0</a:t>
          </a:r>
        </a:p>
        <a:p>
          <a:pPr algn="ctr"/>
          <a:r>
            <a:rPr lang="en-US" sz="1100"/>
            <a:t>S32K148</a:t>
          </a:r>
          <a:r>
            <a:rPr lang="en-US" sz="1100" baseline="0"/>
            <a:t> Only</a:t>
          </a:r>
          <a:endParaRPr lang="en-US" sz="1100"/>
        </a:p>
        <a:p>
          <a:pPr algn="ctr"/>
          <a:r>
            <a:rPr lang="en-US" sz="900"/>
            <a:t>Click me for more info</a:t>
          </a:r>
        </a:p>
      </xdr:txBody>
    </xdr:sp>
    <xdr:clientData/>
  </xdr:twoCellAnchor>
  <xdr:twoCellAnchor>
    <xdr:from>
      <xdr:col>2</xdr:col>
      <xdr:colOff>227131</xdr:colOff>
      <xdr:row>333</xdr:row>
      <xdr:rowOff>7397</xdr:rowOff>
    </xdr:from>
    <xdr:to>
      <xdr:col>26</xdr:col>
      <xdr:colOff>322385</xdr:colOff>
      <xdr:row>333</xdr:row>
      <xdr:rowOff>7397</xdr:rowOff>
    </xdr:to>
    <xdr:cxnSp macro="">
      <xdr:nvCxnSpPr>
        <xdr:cNvPr id="1056" name="Straight Arrow Connector 1055">
          <a:extLst>
            <a:ext uri="{FF2B5EF4-FFF2-40B4-BE49-F238E27FC236}">
              <a16:creationId xmlns:a16="http://schemas.microsoft.com/office/drawing/2014/main" xmlns="" id="{00000000-0008-0000-0400-000020040000}"/>
            </a:ext>
          </a:extLst>
        </xdr:cNvPr>
        <xdr:cNvCxnSpPr/>
      </xdr:nvCxnSpPr>
      <xdr:spPr>
        <a:xfrm flipH="1">
          <a:off x="1443400" y="68037878"/>
          <a:ext cx="14690485"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219803</xdr:colOff>
      <xdr:row>334</xdr:row>
      <xdr:rowOff>117227</xdr:rowOff>
    </xdr:from>
    <xdr:to>
      <xdr:col>3</xdr:col>
      <xdr:colOff>608129</xdr:colOff>
      <xdr:row>334</xdr:row>
      <xdr:rowOff>117227</xdr:rowOff>
    </xdr:to>
    <xdr:cxnSp macro="">
      <xdr:nvCxnSpPr>
        <xdr:cNvPr id="1057" name="Straight Arrow Connector 1056">
          <a:extLst>
            <a:ext uri="{FF2B5EF4-FFF2-40B4-BE49-F238E27FC236}">
              <a16:creationId xmlns:a16="http://schemas.microsoft.com/office/drawing/2014/main" xmlns="" id="{00000000-0008-0000-0400-000021040000}"/>
            </a:ext>
          </a:extLst>
        </xdr:cNvPr>
        <xdr:cNvCxnSpPr/>
      </xdr:nvCxnSpPr>
      <xdr:spPr>
        <a:xfrm flipH="1">
          <a:off x="1436072" y="68345535"/>
          <a:ext cx="9964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549516</xdr:colOff>
      <xdr:row>333</xdr:row>
      <xdr:rowOff>175844</xdr:rowOff>
    </xdr:from>
    <xdr:ext cx="847725" cy="266700"/>
    <xdr:sp macro="" textlink="">
      <xdr:nvSpPr>
        <xdr:cNvPr id="1058" name="TextBox 1057">
          <a:extLst>
            <a:ext uri="{FF2B5EF4-FFF2-40B4-BE49-F238E27FC236}">
              <a16:creationId xmlns:a16="http://schemas.microsoft.com/office/drawing/2014/main" xmlns="" id="{00000000-0008-0000-0400-000022040000}"/>
            </a:ext>
          </a:extLst>
        </xdr:cNvPr>
        <xdr:cNvSpPr txBox="1"/>
      </xdr:nvSpPr>
      <xdr:spPr>
        <a:xfrm>
          <a:off x="2982054" y="6820632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BCLK_SAI0</a:t>
          </a:r>
        </a:p>
      </xdr:txBody>
    </xdr:sp>
    <xdr:clientData/>
  </xdr:oneCellAnchor>
  <xdr:oneCellAnchor>
    <xdr:from>
      <xdr:col>6</xdr:col>
      <xdr:colOff>512878</xdr:colOff>
      <xdr:row>333</xdr:row>
      <xdr:rowOff>153863</xdr:rowOff>
    </xdr:from>
    <xdr:ext cx="847725" cy="266700"/>
    <xdr:sp macro="" textlink="">
      <xdr:nvSpPr>
        <xdr:cNvPr id="1059" name="TextBox 1058">
          <a:extLst>
            <a:ext uri="{FF2B5EF4-FFF2-40B4-BE49-F238E27FC236}">
              <a16:creationId xmlns:a16="http://schemas.microsoft.com/office/drawing/2014/main" xmlns="" id="{00000000-0008-0000-0400-000023040000}"/>
            </a:ext>
          </a:extLst>
        </xdr:cNvPr>
        <xdr:cNvSpPr txBox="1"/>
      </xdr:nvSpPr>
      <xdr:spPr>
        <a:xfrm>
          <a:off x="4161686" y="68184344"/>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MCLK[x]</a:t>
          </a:r>
        </a:p>
      </xdr:txBody>
    </xdr:sp>
    <xdr:clientData/>
  </xdr:oneCellAnchor>
  <xdr:twoCellAnchor>
    <xdr:from>
      <xdr:col>2</xdr:col>
      <xdr:colOff>212477</xdr:colOff>
      <xdr:row>336</xdr:row>
      <xdr:rowOff>95250</xdr:rowOff>
    </xdr:from>
    <xdr:to>
      <xdr:col>7</xdr:col>
      <xdr:colOff>315058</xdr:colOff>
      <xdr:row>336</xdr:row>
      <xdr:rowOff>95250</xdr:rowOff>
    </xdr:to>
    <xdr:cxnSp macro="">
      <xdr:nvCxnSpPr>
        <xdr:cNvPr id="1060" name="Straight Arrow Connector 1059">
          <a:extLst>
            <a:ext uri="{FF2B5EF4-FFF2-40B4-BE49-F238E27FC236}">
              <a16:creationId xmlns:a16="http://schemas.microsoft.com/office/drawing/2014/main" xmlns="" id="{00000000-0008-0000-0400-000024040000}"/>
            </a:ext>
          </a:extLst>
        </xdr:cNvPr>
        <xdr:cNvCxnSpPr/>
      </xdr:nvCxnSpPr>
      <xdr:spPr>
        <a:xfrm flipH="1">
          <a:off x="1428746" y="68748519"/>
          <a:ext cx="3143254" cy="0"/>
        </a:xfrm>
        <a:prstGeom prst="straightConnector1">
          <a:avLst/>
        </a:prstGeom>
        <a:ln w="19050">
          <a:solidFill>
            <a:schemeClr val="accent4">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307732</xdr:colOff>
      <xdr:row>336</xdr:row>
      <xdr:rowOff>0</xdr:rowOff>
    </xdr:from>
    <xdr:to>
      <xdr:col>7</xdr:col>
      <xdr:colOff>307733</xdr:colOff>
      <xdr:row>345</xdr:row>
      <xdr:rowOff>109904</xdr:rowOff>
    </xdr:to>
    <xdr:cxnSp macro="">
      <xdr:nvCxnSpPr>
        <xdr:cNvPr id="1061" name="Straight Arrow Connector 1060">
          <a:extLst>
            <a:ext uri="{FF2B5EF4-FFF2-40B4-BE49-F238E27FC236}">
              <a16:creationId xmlns:a16="http://schemas.microsoft.com/office/drawing/2014/main" xmlns="" id="{00000000-0008-0000-0400-000025040000}"/>
            </a:ext>
          </a:extLst>
        </xdr:cNvPr>
        <xdr:cNvCxnSpPr/>
      </xdr:nvCxnSpPr>
      <xdr:spPr>
        <a:xfrm flipH="1">
          <a:off x="4564674" y="68653269"/>
          <a:ext cx="1" cy="1897673"/>
        </a:xfrm>
        <a:prstGeom prst="straightConnector1">
          <a:avLst/>
        </a:prstGeom>
        <a:ln w="19050">
          <a:solidFill>
            <a:schemeClr val="accent4">
              <a:lumMod val="40000"/>
              <a:lumOff val="6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512885</xdr:colOff>
      <xdr:row>333</xdr:row>
      <xdr:rowOff>168519</xdr:rowOff>
    </xdr:from>
    <xdr:ext cx="847725" cy="266700"/>
    <xdr:sp macro="" textlink="">
      <xdr:nvSpPr>
        <xdr:cNvPr id="1062" name="TextBox 1061">
          <a:extLst>
            <a:ext uri="{FF2B5EF4-FFF2-40B4-BE49-F238E27FC236}">
              <a16:creationId xmlns:a16="http://schemas.microsoft.com/office/drawing/2014/main" xmlns="" id="{00000000-0008-0000-0400-000026040000}"/>
            </a:ext>
          </a:extLst>
        </xdr:cNvPr>
        <xdr:cNvSpPr txBox="1"/>
      </xdr:nvSpPr>
      <xdr:spPr>
        <a:xfrm>
          <a:off x="5377962" y="681990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MCLK[y]</a:t>
          </a:r>
        </a:p>
      </xdr:txBody>
    </xdr:sp>
    <xdr:clientData/>
  </xdr:oneCellAnchor>
  <xdr:twoCellAnchor>
    <xdr:from>
      <xdr:col>9</xdr:col>
      <xdr:colOff>293078</xdr:colOff>
      <xdr:row>335</xdr:row>
      <xdr:rowOff>205155</xdr:rowOff>
    </xdr:from>
    <xdr:to>
      <xdr:col>9</xdr:col>
      <xdr:colOff>293079</xdr:colOff>
      <xdr:row>346</xdr:row>
      <xdr:rowOff>80597</xdr:rowOff>
    </xdr:to>
    <xdr:cxnSp macro="">
      <xdr:nvCxnSpPr>
        <xdr:cNvPr id="1063" name="Straight Arrow Connector 1062">
          <a:extLst>
            <a:ext uri="{FF2B5EF4-FFF2-40B4-BE49-F238E27FC236}">
              <a16:creationId xmlns:a16="http://schemas.microsoft.com/office/drawing/2014/main" xmlns="" id="{00000000-0008-0000-0400-000027040000}"/>
            </a:ext>
          </a:extLst>
        </xdr:cNvPr>
        <xdr:cNvCxnSpPr/>
      </xdr:nvCxnSpPr>
      <xdr:spPr>
        <a:xfrm flipH="1">
          <a:off x="5766290" y="68645943"/>
          <a:ext cx="1" cy="2073519"/>
        </a:xfrm>
        <a:prstGeom prst="straightConnector1">
          <a:avLst/>
        </a:prstGeom>
        <a:ln w="19050">
          <a:solidFill>
            <a:srgbClr val="92D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219809</xdr:colOff>
      <xdr:row>337</xdr:row>
      <xdr:rowOff>87923</xdr:rowOff>
    </xdr:from>
    <xdr:to>
      <xdr:col>9</xdr:col>
      <xdr:colOff>285750</xdr:colOff>
      <xdr:row>337</xdr:row>
      <xdr:rowOff>87923</xdr:rowOff>
    </xdr:to>
    <xdr:cxnSp macro="">
      <xdr:nvCxnSpPr>
        <xdr:cNvPr id="1064" name="Straight Arrow Connector 1063">
          <a:extLst>
            <a:ext uri="{FF2B5EF4-FFF2-40B4-BE49-F238E27FC236}">
              <a16:creationId xmlns:a16="http://schemas.microsoft.com/office/drawing/2014/main" xmlns="" id="{00000000-0008-0000-0400-000028040000}"/>
            </a:ext>
          </a:extLst>
        </xdr:cNvPr>
        <xdr:cNvCxnSpPr/>
      </xdr:nvCxnSpPr>
      <xdr:spPr>
        <a:xfrm flipH="1">
          <a:off x="1436078" y="68939019"/>
          <a:ext cx="4322884" cy="0"/>
        </a:xfrm>
        <a:prstGeom prst="straightConnector1">
          <a:avLst/>
        </a:prstGeom>
        <a:ln w="19050">
          <a:solidFill>
            <a:srgbClr val="92D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359020</xdr:colOff>
      <xdr:row>345</xdr:row>
      <xdr:rowOff>21981</xdr:rowOff>
    </xdr:from>
    <xdr:to>
      <xdr:col>2</xdr:col>
      <xdr:colOff>160467</xdr:colOff>
      <xdr:row>350</xdr:row>
      <xdr:rowOff>178076</xdr:rowOff>
    </xdr:to>
    <xdr:sp macro="" textlink="">
      <xdr:nvSpPr>
        <xdr:cNvPr id="1065" name="Rectangle 1064">
          <a:hlinkClick xmlns:r="http://schemas.openxmlformats.org/officeDocument/2006/relationships" r:id="rId28"/>
          <a:extLst>
            <a:ext uri="{FF2B5EF4-FFF2-40B4-BE49-F238E27FC236}">
              <a16:creationId xmlns:a16="http://schemas.microsoft.com/office/drawing/2014/main" xmlns="" id="{00000000-0008-0000-0400-000029040000}"/>
            </a:ext>
          </a:extLst>
        </xdr:cNvPr>
        <xdr:cNvSpPr/>
      </xdr:nvSpPr>
      <xdr:spPr>
        <a:xfrm>
          <a:off x="359020" y="70463019"/>
          <a:ext cx="1017716" cy="11525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SAI1</a:t>
          </a:r>
        </a:p>
        <a:p>
          <a:pPr algn="ctr"/>
          <a:r>
            <a:rPr lang="en-US" sz="1100"/>
            <a:t>S32K148</a:t>
          </a:r>
          <a:r>
            <a:rPr lang="en-US" sz="1100" baseline="0"/>
            <a:t> Only</a:t>
          </a:r>
          <a:endParaRPr lang="en-US" sz="1100"/>
        </a:p>
        <a:p>
          <a:pPr algn="ctr"/>
          <a:r>
            <a:rPr lang="en-US" sz="900"/>
            <a:t>Click me for more info</a:t>
          </a:r>
        </a:p>
      </xdr:txBody>
    </xdr:sp>
    <xdr:clientData/>
  </xdr:twoCellAnchor>
  <xdr:twoCellAnchor>
    <xdr:from>
      <xdr:col>2</xdr:col>
      <xdr:colOff>161193</xdr:colOff>
      <xdr:row>345</xdr:row>
      <xdr:rowOff>109904</xdr:rowOff>
    </xdr:from>
    <xdr:to>
      <xdr:col>7</xdr:col>
      <xdr:colOff>307736</xdr:colOff>
      <xdr:row>345</xdr:row>
      <xdr:rowOff>109904</xdr:rowOff>
    </xdr:to>
    <xdr:cxnSp macro="">
      <xdr:nvCxnSpPr>
        <xdr:cNvPr id="1066" name="Straight Arrow Connector 1065">
          <a:extLst>
            <a:ext uri="{FF2B5EF4-FFF2-40B4-BE49-F238E27FC236}">
              <a16:creationId xmlns:a16="http://schemas.microsoft.com/office/drawing/2014/main" xmlns="" id="{00000000-0008-0000-0400-00002A040000}"/>
            </a:ext>
          </a:extLst>
        </xdr:cNvPr>
        <xdr:cNvCxnSpPr/>
      </xdr:nvCxnSpPr>
      <xdr:spPr>
        <a:xfrm flipH="1">
          <a:off x="1377462" y="70550942"/>
          <a:ext cx="3187216" cy="0"/>
        </a:xfrm>
        <a:prstGeom prst="straightConnector1">
          <a:avLst/>
        </a:prstGeom>
        <a:ln w="19050">
          <a:solidFill>
            <a:schemeClr val="accent4">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161192</xdr:colOff>
      <xdr:row>346</xdr:row>
      <xdr:rowOff>87923</xdr:rowOff>
    </xdr:from>
    <xdr:to>
      <xdr:col>9</xdr:col>
      <xdr:colOff>307730</xdr:colOff>
      <xdr:row>346</xdr:row>
      <xdr:rowOff>87923</xdr:rowOff>
    </xdr:to>
    <xdr:cxnSp macro="">
      <xdr:nvCxnSpPr>
        <xdr:cNvPr id="1067" name="Straight Arrow Connector 1066">
          <a:extLst>
            <a:ext uri="{FF2B5EF4-FFF2-40B4-BE49-F238E27FC236}">
              <a16:creationId xmlns:a16="http://schemas.microsoft.com/office/drawing/2014/main" xmlns="" id="{00000000-0008-0000-0400-00002B040000}"/>
            </a:ext>
          </a:extLst>
        </xdr:cNvPr>
        <xdr:cNvCxnSpPr/>
      </xdr:nvCxnSpPr>
      <xdr:spPr>
        <a:xfrm flipH="1">
          <a:off x="1377461" y="70726788"/>
          <a:ext cx="4403481" cy="0"/>
        </a:xfrm>
        <a:prstGeom prst="straightConnector1">
          <a:avLst/>
        </a:prstGeom>
        <a:ln w="19050">
          <a:solidFill>
            <a:srgbClr val="92D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183173</xdr:colOff>
      <xdr:row>347</xdr:row>
      <xdr:rowOff>124558</xdr:rowOff>
    </xdr:from>
    <xdr:to>
      <xdr:col>3</xdr:col>
      <xdr:colOff>593482</xdr:colOff>
      <xdr:row>347</xdr:row>
      <xdr:rowOff>124558</xdr:rowOff>
    </xdr:to>
    <xdr:cxnSp macro="">
      <xdr:nvCxnSpPr>
        <xdr:cNvPr id="1084" name="Straight Arrow Connector 1083">
          <a:extLst>
            <a:ext uri="{FF2B5EF4-FFF2-40B4-BE49-F238E27FC236}">
              <a16:creationId xmlns:a16="http://schemas.microsoft.com/office/drawing/2014/main" xmlns="" id="{00000000-0008-0000-0400-00003C040000}"/>
            </a:ext>
          </a:extLst>
        </xdr:cNvPr>
        <xdr:cNvCxnSpPr/>
      </xdr:nvCxnSpPr>
      <xdr:spPr>
        <a:xfrm flipH="1">
          <a:off x="1399442" y="70961250"/>
          <a:ext cx="10184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556847</xdr:colOff>
      <xdr:row>346</xdr:row>
      <xdr:rowOff>168520</xdr:rowOff>
    </xdr:from>
    <xdr:ext cx="847725" cy="266700"/>
    <xdr:sp macro="" textlink="">
      <xdr:nvSpPr>
        <xdr:cNvPr id="1085" name="TextBox 1084">
          <a:extLst>
            <a:ext uri="{FF2B5EF4-FFF2-40B4-BE49-F238E27FC236}">
              <a16:creationId xmlns:a16="http://schemas.microsoft.com/office/drawing/2014/main" xmlns="" id="{00000000-0008-0000-0400-00003D040000}"/>
            </a:ext>
          </a:extLst>
        </xdr:cNvPr>
        <xdr:cNvSpPr txBox="1"/>
      </xdr:nvSpPr>
      <xdr:spPr>
        <a:xfrm>
          <a:off x="2989385" y="7080738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BCLK_SAI1</a:t>
          </a:r>
        </a:p>
      </xdr:txBody>
    </xdr:sp>
    <xdr:clientData/>
  </xdr:oneCellAnchor>
  <xdr:twoCellAnchor>
    <xdr:from>
      <xdr:col>2</xdr:col>
      <xdr:colOff>190500</xdr:colOff>
      <xdr:row>349</xdr:row>
      <xdr:rowOff>29308</xdr:rowOff>
    </xdr:from>
    <xdr:to>
      <xdr:col>26</xdr:col>
      <xdr:colOff>322390</xdr:colOff>
      <xdr:row>349</xdr:row>
      <xdr:rowOff>29308</xdr:rowOff>
    </xdr:to>
    <xdr:cxnSp macro="">
      <xdr:nvCxnSpPr>
        <xdr:cNvPr id="1086" name="Straight Arrow Connector 1085">
          <a:extLst>
            <a:ext uri="{FF2B5EF4-FFF2-40B4-BE49-F238E27FC236}">
              <a16:creationId xmlns:a16="http://schemas.microsoft.com/office/drawing/2014/main" xmlns="" id="{00000000-0008-0000-0400-00003E040000}"/>
            </a:ext>
          </a:extLst>
        </xdr:cNvPr>
        <xdr:cNvCxnSpPr/>
      </xdr:nvCxnSpPr>
      <xdr:spPr>
        <a:xfrm flipH="1">
          <a:off x="1406769" y="71276308"/>
          <a:ext cx="14727121"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219808</xdr:colOff>
      <xdr:row>332</xdr:row>
      <xdr:rowOff>65942</xdr:rowOff>
    </xdr:from>
    <xdr:to>
      <xdr:col>10</xdr:col>
      <xdr:colOff>329712</xdr:colOff>
      <xdr:row>332</xdr:row>
      <xdr:rowOff>65942</xdr:rowOff>
    </xdr:to>
    <xdr:cxnSp macro="">
      <xdr:nvCxnSpPr>
        <xdr:cNvPr id="1128" name="Straight Arrow Connector 1127">
          <a:extLst>
            <a:ext uri="{FF2B5EF4-FFF2-40B4-BE49-F238E27FC236}">
              <a16:creationId xmlns:a16="http://schemas.microsoft.com/office/drawing/2014/main" xmlns="" id="{00000000-0008-0000-0400-000068040000}"/>
            </a:ext>
          </a:extLst>
        </xdr:cNvPr>
        <xdr:cNvCxnSpPr/>
      </xdr:nvCxnSpPr>
      <xdr:spPr>
        <a:xfrm flipH="1">
          <a:off x="1436077" y="67898596"/>
          <a:ext cx="497498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212481</xdr:colOff>
      <xdr:row>350</xdr:row>
      <xdr:rowOff>95250</xdr:rowOff>
    </xdr:from>
    <xdr:to>
      <xdr:col>10</xdr:col>
      <xdr:colOff>322385</xdr:colOff>
      <xdr:row>350</xdr:row>
      <xdr:rowOff>95250</xdr:rowOff>
    </xdr:to>
    <xdr:cxnSp macro="">
      <xdr:nvCxnSpPr>
        <xdr:cNvPr id="1129" name="Straight Arrow Connector 1128">
          <a:extLst>
            <a:ext uri="{FF2B5EF4-FFF2-40B4-BE49-F238E27FC236}">
              <a16:creationId xmlns:a16="http://schemas.microsoft.com/office/drawing/2014/main" xmlns="" id="{00000000-0008-0000-0400-000069040000}"/>
            </a:ext>
          </a:extLst>
        </xdr:cNvPr>
        <xdr:cNvCxnSpPr/>
      </xdr:nvCxnSpPr>
      <xdr:spPr>
        <a:xfrm flipH="1">
          <a:off x="1428750" y="71532750"/>
          <a:ext cx="497498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381000</xdr:colOff>
      <xdr:row>354</xdr:row>
      <xdr:rowOff>109904</xdr:rowOff>
    </xdr:from>
    <xdr:to>
      <xdr:col>2</xdr:col>
      <xdr:colOff>182446</xdr:colOff>
      <xdr:row>359</xdr:row>
      <xdr:rowOff>178076</xdr:rowOff>
    </xdr:to>
    <xdr:sp macro="" textlink="">
      <xdr:nvSpPr>
        <xdr:cNvPr id="1173" name="Rectangle 1172">
          <a:hlinkClick xmlns:r="http://schemas.openxmlformats.org/officeDocument/2006/relationships" r:id="rId29"/>
          <a:extLst>
            <a:ext uri="{FF2B5EF4-FFF2-40B4-BE49-F238E27FC236}">
              <a16:creationId xmlns:a16="http://schemas.microsoft.com/office/drawing/2014/main" xmlns="" id="{00000000-0008-0000-0400-000095040000}"/>
            </a:ext>
          </a:extLst>
        </xdr:cNvPr>
        <xdr:cNvSpPr/>
      </xdr:nvSpPr>
      <xdr:spPr>
        <a:xfrm>
          <a:off x="381000" y="72382673"/>
          <a:ext cx="1017715" cy="11305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a:t>
          </a:r>
        </a:p>
        <a:p>
          <a:pPr algn="ctr"/>
          <a:r>
            <a:rPr lang="en-US" sz="1100"/>
            <a:t>S32K148 Only</a:t>
          </a:r>
        </a:p>
        <a:p>
          <a:pPr algn="ctr"/>
          <a:r>
            <a:rPr lang="en-US" sz="900"/>
            <a:t>Click me for more info</a:t>
          </a:r>
        </a:p>
      </xdr:txBody>
    </xdr:sp>
    <xdr:clientData/>
  </xdr:twoCellAnchor>
  <xdr:twoCellAnchor>
    <xdr:from>
      <xdr:col>2</xdr:col>
      <xdr:colOff>212481</xdr:colOff>
      <xdr:row>355</xdr:row>
      <xdr:rowOff>21981</xdr:rowOff>
    </xdr:from>
    <xdr:to>
      <xdr:col>10</xdr:col>
      <xdr:colOff>322385</xdr:colOff>
      <xdr:row>355</xdr:row>
      <xdr:rowOff>21981</xdr:rowOff>
    </xdr:to>
    <xdr:cxnSp macro="">
      <xdr:nvCxnSpPr>
        <xdr:cNvPr id="1026" name="Straight Arrow Connector 1025">
          <a:extLst>
            <a:ext uri="{FF2B5EF4-FFF2-40B4-BE49-F238E27FC236}">
              <a16:creationId xmlns:a16="http://schemas.microsoft.com/office/drawing/2014/main" xmlns="" id="{00000000-0008-0000-0400-000002040000}"/>
            </a:ext>
          </a:extLst>
        </xdr:cNvPr>
        <xdr:cNvCxnSpPr/>
      </xdr:nvCxnSpPr>
      <xdr:spPr>
        <a:xfrm flipH="1">
          <a:off x="1428750" y="72507231"/>
          <a:ext cx="497498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219808</xdr:colOff>
      <xdr:row>356</xdr:row>
      <xdr:rowOff>58617</xdr:rowOff>
    </xdr:from>
    <xdr:to>
      <xdr:col>12</xdr:col>
      <xdr:colOff>320922</xdr:colOff>
      <xdr:row>356</xdr:row>
      <xdr:rowOff>58617</xdr:rowOff>
    </xdr:to>
    <xdr:cxnSp macro="">
      <xdr:nvCxnSpPr>
        <xdr:cNvPr id="1028" name="Straight Arrow Connector 1027">
          <a:extLst>
            <a:ext uri="{FF2B5EF4-FFF2-40B4-BE49-F238E27FC236}">
              <a16:creationId xmlns:a16="http://schemas.microsoft.com/office/drawing/2014/main" xmlns="" id="{00000000-0008-0000-0400-000004040000}"/>
            </a:ext>
          </a:extLst>
        </xdr:cNvPr>
        <xdr:cNvCxnSpPr/>
      </xdr:nvCxnSpPr>
      <xdr:spPr>
        <a:xfrm flipH="1">
          <a:off x="1436077" y="72756348"/>
          <a:ext cx="6182460"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227135</xdr:colOff>
      <xdr:row>357</xdr:row>
      <xdr:rowOff>124562</xdr:rowOff>
    </xdr:from>
    <xdr:to>
      <xdr:col>14</xdr:col>
      <xdr:colOff>337039</xdr:colOff>
      <xdr:row>357</xdr:row>
      <xdr:rowOff>124562</xdr:rowOff>
    </xdr:to>
    <xdr:cxnSp macro="">
      <xdr:nvCxnSpPr>
        <xdr:cNvPr id="1054" name="Straight Arrow Connector 1053">
          <a:extLst>
            <a:ext uri="{FF2B5EF4-FFF2-40B4-BE49-F238E27FC236}">
              <a16:creationId xmlns:a16="http://schemas.microsoft.com/office/drawing/2014/main" xmlns="" id="{00000000-0008-0000-0400-00001E040000}"/>
            </a:ext>
          </a:extLst>
        </xdr:cNvPr>
        <xdr:cNvCxnSpPr/>
      </xdr:nvCxnSpPr>
      <xdr:spPr>
        <a:xfrm flipH="1">
          <a:off x="1443404" y="73034774"/>
          <a:ext cx="7407520" cy="0"/>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227137</xdr:colOff>
      <xdr:row>358</xdr:row>
      <xdr:rowOff>175849</xdr:rowOff>
    </xdr:from>
    <xdr:to>
      <xdr:col>18</xdr:col>
      <xdr:colOff>329712</xdr:colOff>
      <xdr:row>358</xdr:row>
      <xdr:rowOff>175849</xdr:rowOff>
    </xdr:to>
    <xdr:cxnSp macro="">
      <xdr:nvCxnSpPr>
        <xdr:cNvPr id="1055" name="Straight Arrow Connector 1054">
          <a:extLst>
            <a:ext uri="{FF2B5EF4-FFF2-40B4-BE49-F238E27FC236}">
              <a16:creationId xmlns:a16="http://schemas.microsoft.com/office/drawing/2014/main" xmlns="" id="{00000000-0008-0000-0400-00001F040000}"/>
            </a:ext>
          </a:extLst>
        </xdr:cNvPr>
        <xdr:cNvCxnSpPr/>
      </xdr:nvCxnSpPr>
      <xdr:spPr>
        <a:xfrm flipH="1">
          <a:off x="1443406" y="73298541"/>
          <a:ext cx="9832729"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410309</xdr:colOff>
      <xdr:row>363</xdr:row>
      <xdr:rowOff>21980</xdr:rowOff>
    </xdr:from>
    <xdr:to>
      <xdr:col>2</xdr:col>
      <xdr:colOff>211755</xdr:colOff>
      <xdr:row>368</xdr:row>
      <xdr:rowOff>163422</xdr:rowOff>
    </xdr:to>
    <xdr:sp macro="" textlink="">
      <xdr:nvSpPr>
        <xdr:cNvPr id="1172" name="Rectangle 1171">
          <a:hlinkClick xmlns:r="http://schemas.openxmlformats.org/officeDocument/2006/relationships" r:id="rId30"/>
          <a:extLst>
            <a:ext uri="{FF2B5EF4-FFF2-40B4-BE49-F238E27FC236}">
              <a16:creationId xmlns:a16="http://schemas.microsoft.com/office/drawing/2014/main" xmlns="" id="{00000000-0008-0000-0400-000094040000}"/>
            </a:ext>
          </a:extLst>
        </xdr:cNvPr>
        <xdr:cNvSpPr/>
      </xdr:nvSpPr>
      <xdr:spPr>
        <a:xfrm>
          <a:off x="410309" y="74163115"/>
          <a:ext cx="1017715" cy="11305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ENET</a:t>
          </a:r>
        </a:p>
        <a:p>
          <a:pPr algn="ctr"/>
          <a:r>
            <a:rPr lang="en-US" sz="1100"/>
            <a:t>S32K148 Only</a:t>
          </a:r>
        </a:p>
        <a:p>
          <a:pPr algn="ctr"/>
          <a:r>
            <a:rPr lang="en-US" sz="900"/>
            <a:t>Click me for more info</a:t>
          </a:r>
        </a:p>
      </xdr:txBody>
    </xdr:sp>
    <xdr:clientData/>
  </xdr:twoCellAnchor>
  <xdr:twoCellAnchor>
    <xdr:from>
      <xdr:col>2</xdr:col>
      <xdr:colOff>227135</xdr:colOff>
      <xdr:row>364</xdr:row>
      <xdr:rowOff>58616</xdr:rowOff>
    </xdr:from>
    <xdr:to>
      <xdr:col>12</xdr:col>
      <xdr:colOff>328249</xdr:colOff>
      <xdr:row>364</xdr:row>
      <xdr:rowOff>58616</xdr:rowOff>
    </xdr:to>
    <xdr:cxnSp macro="">
      <xdr:nvCxnSpPr>
        <xdr:cNvPr id="1200" name="Straight Arrow Connector 1199">
          <a:extLst>
            <a:ext uri="{FF2B5EF4-FFF2-40B4-BE49-F238E27FC236}">
              <a16:creationId xmlns:a16="http://schemas.microsoft.com/office/drawing/2014/main" xmlns="" id="{00000000-0008-0000-0400-0000B0040000}"/>
            </a:ext>
          </a:extLst>
        </xdr:cNvPr>
        <xdr:cNvCxnSpPr/>
      </xdr:nvCxnSpPr>
      <xdr:spPr>
        <a:xfrm flipH="1">
          <a:off x="1443404" y="74390251"/>
          <a:ext cx="6182460"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234462</xdr:colOff>
      <xdr:row>365</xdr:row>
      <xdr:rowOff>21983</xdr:rowOff>
    </xdr:from>
    <xdr:to>
      <xdr:col>26</xdr:col>
      <xdr:colOff>329712</xdr:colOff>
      <xdr:row>365</xdr:row>
      <xdr:rowOff>21983</xdr:rowOff>
    </xdr:to>
    <xdr:cxnSp macro="">
      <xdr:nvCxnSpPr>
        <xdr:cNvPr id="1201" name="Straight Arrow Connector 1200">
          <a:extLst>
            <a:ext uri="{FF2B5EF4-FFF2-40B4-BE49-F238E27FC236}">
              <a16:creationId xmlns:a16="http://schemas.microsoft.com/office/drawing/2014/main" xmlns="" id="{00000000-0008-0000-0400-0000B1040000}"/>
            </a:ext>
          </a:extLst>
        </xdr:cNvPr>
        <xdr:cNvCxnSpPr/>
      </xdr:nvCxnSpPr>
      <xdr:spPr>
        <a:xfrm flipH="1">
          <a:off x="1450731" y="74551445"/>
          <a:ext cx="14690481"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227135</xdr:colOff>
      <xdr:row>366</xdr:row>
      <xdr:rowOff>7329</xdr:rowOff>
    </xdr:from>
    <xdr:to>
      <xdr:col>22</xdr:col>
      <xdr:colOff>307731</xdr:colOff>
      <xdr:row>366</xdr:row>
      <xdr:rowOff>7330</xdr:rowOff>
    </xdr:to>
    <xdr:cxnSp macro="">
      <xdr:nvCxnSpPr>
        <xdr:cNvPr id="1202" name="Straight Arrow Connector 1201">
          <a:extLst>
            <a:ext uri="{FF2B5EF4-FFF2-40B4-BE49-F238E27FC236}">
              <a16:creationId xmlns:a16="http://schemas.microsoft.com/office/drawing/2014/main" xmlns="" id="{00000000-0008-0000-0400-0000B2040000}"/>
            </a:ext>
          </a:extLst>
        </xdr:cNvPr>
        <xdr:cNvCxnSpPr/>
      </xdr:nvCxnSpPr>
      <xdr:spPr>
        <a:xfrm flipH="1" flipV="1">
          <a:off x="1443404" y="74749271"/>
          <a:ext cx="12243289"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234462</xdr:colOff>
      <xdr:row>367</xdr:row>
      <xdr:rowOff>14652</xdr:rowOff>
    </xdr:from>
    <xdr:to>
      <xdr:col>18</xdr:col>
      <xdr:colOff>315057</xdr:colOff>
      <xdr:row>367</xdr:row>
      <xdr:rowOff>14652</xdr:rowOff>
    </xdr:to>
    <xdr:cxnSp macro="">
      <xdr:nvCxnSpPr>
        <xdr:cNvPr id="1203" name="Straight Arrow Connector 1202">
          <a:extLst>
            <a:ext uri="{FF2B5EF4-FFF2-40B4-BE49-F238E27FC236}">
              <a16:creationId xmlns:a16="http://schemas.microsoft.com/office/drawing/2014/main" xmlns="" id="{00000000-0008-0000-0400-0000B3040000}"/>
            </a:ext>
          </a:extLst>
        </xdr:cNvPr>
        <xdr:cNvCxnSpPr/>
      </xdr:nvCxnSpPr>
      <xdr:spPr>
        <a:xfrm flipH="1">
          <a:off x="1450731" y="74954421"/>
          <a:ext cx="9810749"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234463</xdr:colOff>
      <xdr:row>368</xdr:row>
      <xdr:rowOff>14653</xdr:rowOff>
    </xdr:from>
    <xdr:to>
      <xdr:col>14</xdr:col>
      <xdr:colOff>315057</xdr:colOff>
      <xdr:row>368</xdr:row>
      <xdr:rowOff>14653</xdr:rowOff>
    </xdr:to>
    <xdr:cxnSp macro="">
      <xdr:nvCxnSpPr>
        <xdr:cNvPr id="1204" name="Straight Arrow Connector 1203">
          <a:extLst>
            <a:ext uri="{FF2B5EF4-FFF2-40B4-BE49-F238E27FC236}">
              <a16:creationId xmlns:a16="http://schemas.microsoft.com/office/drawing/2014/main" xmlns="" id="{00000000-0008-0000-0400-0000B4040000}"/>
            </a:ext>
          </a:extLst>
        </xdr:cNvPr>
        <xdr:cNvCxnSpPr/>
      </xdr:nvCxnSpPr>
      <xdr:spPr>
        <a:xfrm flipH="1">
          <a:off x="1450732" y="75144922"/>
          <a:ext cx="7378210" cy="0"/>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285750</xdr:colOff>
      <xdr:row>361</xdr:row>
      <xdr:rowOff>117231</xdr:rowOff>
    </xdr:from>
    <xdr:to>
      <xdr:col>4</xdr:col>
      <xdr:colOff>1</xdr:colOff>
      <xdr:row>361</xdr:row>
      <xdr:rowOff>117231</xdr:rowOff>
    </xdr:to>
    <xdr:cxnSp macro="">
      <xdr:nvCxnSpPr>
        <xdr:cNvPr id="1205" name="Straight Arrow Connector 1204">
          <a:extLst>
            <a:ext uri="{FF2B5EF4-FFF2-40B4-BE49-F238E27FC236}">
              <a16:creationId xmlns:a16="http://schemas.microsoft.com/office/drawing/2014/main" xmlns="" id="{00000000-0008-0000-0400-0000B5040000}"/>
            </a:ext>
          </a:extLst>
        </xdr:cNvPr>
        <xdr:cNvCxnSpPr/>
      </xdr:nvCxnSpPr>
      <xdr:spPr>
        <a:xfrm flipH="1">
          <a:off x="893885" y="73848058"/>
          <a:ext cx="153865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285749</xdr:colOff>
      <xdr:row>361</xdr:row>
      <xdr:rowOff>102577</xdr:rowOff>
    </xdr:from>
    <xdr:to>
      <xdr:col>1</xdr:col>
      <xdr:colOff>285749</xdr:colOff>
      <xdr:row>362</xdr:row>
      <xdr:rowOff>190500</xdr:rowOff>
    </xdr:to>
    <xdr:cxnSp macro="">
      <xdr:nvCxnSpPr>
        <xdr:cNvPr id="1206" name="Straight Arrow Connector 1205">
          <a:extLst>
            <a:ext uri="{FF2B5EF4-FFF2-40B4-BE49-F238E27FC236}">
              <a16:creationId xmlns:a16="http://schemas.microsoft.com/office/drawing/2014/main" xmlns="" id="{00000000-0008-0000-0400-0000B6040000}"/>
            </a:ext>
          </a:extLst>
        </xdr:cNvPr>
        <xdr:cNvCxnSpPr/>
      </xdr:nvCxnSpPr>
      <xdr:spPr>
        <a:xfrm>
          <a:off x="893884" y="73833404"/>
          <a:ext cx="0" cy="30040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556847</xdr:colOff>
      <xdr:row>360</xdr:row>
      <xdr:rowOff>161193</xdr:rowOff>
    </xdr:from>
    <xdr:ext cx="996461" cy="266700"/>
    <xdr:sp macro="" textlink="">
      <xdr:nvSpPr>
        <xdr:cNvPr id="1207" name="TextBox 1206">
          <a:extLst>
            <a:ext uri="{FF2B5EF4-FFF2-40B4-BE49-F238E27FC236}">
              <a16:creationId xmlns:a16="http://schemas.microsoft.com/office/drawing/2014/main" xmlns="" id="{00000000-0008-0000-0400-0000B7040000}"/>
            </a:ext>
          </a:extLst>
        </xdr:cNvPr>
        <xdr:cNvSpPr txBox="1"/>
      </xdr:nvSpPr>
      <xdr:spPr>
        <a:xfrm>
          <a:off x="2989385" y="73694193"/>
          <a:ext cx="9964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Tx_clk</a:t>
          </a:r>
          <a:r>
            <a:rPr lang="en-US" sz="1000" b="1" baseline="0"/>
            <a:t> (PAD)</a:t>
          </a:r>
          <a:endParaRPr lang="en-US" sz="1000" b="1"/>
        </a:p>
      </xdr:txBody>
    </xdr:sp>
    <xdr:clientData/>
  </xdr:oneCellAnchor>
  <xdr:oneCellAnchor>
    <xdr:from>
      <xdr:col>4</xdr:col>
      <xdr:colOff>578827</xdr:colOff>
      <xdr:row>369</xdr:row>
      <xdr:rowOff>168520</xdr:rowOff>
    </xdr:from>
    <xdr:ext cx="996461" cy="266700"/>
    <xdr:sp macro="" textlink="">
      <xdr:nvSpPr>
        <xdr:cNvPr id="1208" name="TextBox 1207">
          <a:extLst>
            <a:ext uri="{FF2B5EF4-FFF2-40B4-BE49-F238E27FC236}">
              <a16:creationId xmlns:a16="http://schemas.microsoft.com/office/drawing/2014/main" xmlns="" id="{00000000-0008-0000-0400-0000B8040000}"/>
            </a:ext>
          </a:extLst>
        </xdr:cNvPr>
        <xdr:cNvSpPr txBox="1"/>
      </xdr:nvSpPr>
      <xdr:spPr>
        <a:xfrm>
          <a:off x="3011365" y="75489289"/>
          <a:ext cx="9964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Rx_clk</a:t>
          </a:r>
          <a:r>
            <a:rPr lang="en-US" sz="1000" b="1" baseline="0"/>
            <a:t> (PAD)</a:t>
          </a:r>
          <a:endParaRPr lang="en-US" sz="1000" b="1"/>
        </a:p>
      </xdr:txBody>
    </xdr:sp>
    <xdr:clientData/>
  </xdr:oneCellAnchor>
  <xdr:twoCellAnchor>
    <xdr:from>
      <xdr:col>1</xdr:col>
      <xdr:colOff>278424</xdr:colOff>
      <xdr:row>370</xdr:row>
      <xdr:rowOff>102577</xdr:rowOff>
    </xdr:from>
    <xdr:to>
      <xdr:col>3</xdr:col>
      <xdr:colOff>600809</xdr:colOff>
      <xdr:row>370</xdr:row>
      <xdr:rowOff>102577</xdr:rowOff>
    </xdr:to>
    <xdr:cxnSp macro="">
      <xdr:nvCxnSpPr>
        <xdr:cNvPr id="1209" name="Straight Arrow Connector 1208">
          <a:extLst>
            <a:ext uri="{FF2B5EF4-FFF2-40B4-BE49-F238E27FC236}">
              <a16:creationId xmlns:a16="http://schemas.microsoft.com/office/drawing/2014/main" xmlns="" id="{00000000-0008-0000-0400-0000B9040000}"/>
            </a:ext>
          </a:extLst>
        </xdr:cNvPr>
        <xdr:cNvCxnSpPr/>
      </xdr:nvCxnSpPr>
      <xdr:spPr>
        <a:xfrm flipH="1">
          <a:off x="886559" y="75621173"/>
          <a:ext cx="153865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278423</xdr:colOff>
      <xdr:row>368</xdr:row>
      <xdr:rowOff>183173</xdr:rowOff>
    </xdr:from>
    <xdr:to>
      <xdr:col>1</xdr:col>
      <xdr:colOff>278423</xdr:colOff>
      <xdr:row>370</xdr:row>
      <xdr:rowOff>95250</xdr:rowOff>
    </xdr:to>
    <xdr:cxnSp macro="">
      <xdr:nvCxnSpPr>
        <xdr:cNvPr id="1210" name="Straight Arrow Connector 1209">
          <a:extLst>
            <a:ext uri="{FF2B5EF4-FFF2-40B4-BE49-F238E27FC236}">
              <a16:creationId xmlns:a16="http://schemas.microsoft.com/office/drawing/2014/main" xmlns="" id="{00000000-0008-0000-0400-0000BA040000}"/>
            </a:ext>
          </a:extLst>
        </xdr:cNvPr>
        <xdr:cNvCxnSpPr/>
      </xdr:nvCxnSpPr>
      <xdr:spPr>
        <a:xfrm flipV="1">
          <a:off x="886558" y="75313442"/>
          <a:ext cx="0" cy="30040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549518</xdr:colOff>
      <xdr:row>371</xdr:row>
      <xdr:rowOff>0</xdr:rowOff>
    </xdr:from>
    <xdr:ext cx="998483" cy="342900"/>
    <xdr:sp macro="" textlink="">
      <xdr:nvSpPr>
        <xdr:cNvPr id="1211" name="TextBox 1210">
          <a:extLst>
            <a:ext uri="{FF2B5EF4-FFF2-40B4-BE49-F238E27FC236}">
              <a16:creationId xmlns:a16="http://schemas.microsoft.com/office/drawing/2014/main" xmlns="" id="{00000000-0008-0000-0400-0000BB040000}"/>
            </a:ext>
          </a:extLst>
        </xdr:cNvPr>
        <xdr:cNvSpPr txBox="1"/>
      </xdr:nvSpPr>
      <xdr:spPr>
        <a:xfrm>
          <a:off x="2373922" y="75731077"/>
          <a:ext cx="998483"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2.5</a:t>
          </a:r>
          <a:r>
            <a:rPr lang="en-US" sz="800" baseline="0"/>
            <a:t> MHz</a:t>
          </a:r>
          <a:r>
            <a:rPr lang="en-US" sz="800"/>
            <a:t> - 10</a:t>
          </a:r>
          <a:r>
            <a:rPr lang="en-US" sz="800" baseline="0"/>
            <a:t> Mbps</a:t>
          </a:r>
          <a:endParaRPr lang="en-US" sz="800"/>
        </a:p>
        <a:p>
          <a:r>
            <a:rPr lang="en-US" sz="800"/>
            <a:t>25</a:t>
          </a:r>
          <a:r>
            <a:rPr lang="en-US" sz="800" baseline="0"/>
            <a:t> MHz</a:t>
          </a:r>
          <a:r>
            <a:rPr lang="en-US" sz="800"/>
            <a:t> - 100 Mbps</a:t>
          </a:r>
        </a:p>
      </xdr:txBody>
    </xdr:sp>
    <xdr:clientData/>
  </xdr:oneCellAnchor>
  <xdr:oneCellAnchor>
    <xdr:from>
      <xdr:col>3</xdr:col>
      <xdr:colOff>556846</xdr:colOff>
      <xdr:row>361</xdr:row>
      <xdr:rowOff>190500</xdr:rowOff>
    </xdr:from>
    <xdr:ext cx="1083880" cy="505810"/>
    <xdr:sp macro="" textlink="">
      <xdr:nvSpPr>
        <xdr:cNvPr id="1212" name="TextBox 1211">
          <a:extLst>
            <a:ext uri="{FF2B5EF4-FFF2-40B4-BE49-F238E27FC236}">
              <a16:creationId xmlns:a16="http://schemas.microsoft.com/office/drawing/2014/main" xmlns="" id="{00000000-0008-0000-0400-0000BC040000}"/>
            </a:ext>
          </a:extLst>
        </xdr:cNvPr>
        <xdr:cNvSpPr txBox="1"/>
      </xdr:nvSpPr>
      <xdr:spPr>
        <a:xfrm>
          <a:off x="2381250" y="73921327"/>
          <a:ext cx="1083880" cy="505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2.5</a:t>
          </a:r>
          <a:r>
            <a:rPr lang="en-US" sz="800" baseline="0"/>
            <a:t> MHz</a:t>
          </a:r>
          <a:r>
            <a:rPr lang="en-US" sz="800"/>
            <a:t> - 10</a:t>
          </a:r>
          <a:r>
            <a:rPr lang="en-US" sz="800" baseline="0"/>
            <a:t> Mbps</a:t>
          </a:r>
          <a:endParaRPr lang="en-US" sz="800"/>
        </a:p>
        <a:p>
          <a:r>
            <a:rPr lang="en-US" sz="800"/>
            <a:t>25</a:t>
          </a:r>
          <a:r>
            <a:rPr lang="en-US" sz="800" baseline="0"/>
            <a:t> MHz</a:t>
          </a:r>
          <a:r>
            <a:rPr lang="en-US" sz="800"/>
            <a:t> - 100 Mbps</a:t>
          </a:r>
        </a:p>
        <a:p>
          <a:r>
            <a:rPr lang="en-US" sz="800"/>
            <a:t>50</a:t>
          </a:r>
          <a:r>
            <a:rPr lang="en-US" sz="800" baseline="0"/>
            <a:t> MHz -  RMII mode</a:t>
          </a:r>
          <a:endParaRPr lang="en-US" sz="800"/>
        </a:p>
      </xdr:txBody>
    </xdr:sp>
    <xdr:clientData/>
  </xdr:oneCellAnchor>
  <xdr:twoCellAnchor>
    <xdr:from>
      <xdr:col>37</xdr:col>
      <xdr:colOff>218341</xdr:colOff>
      <xdr:row>14</xdr:row>
      <xdr:rowOff>177523</xdr:rowOff>
    </xdr:from>
    <xdr:to>
      <xdr:col>41</xdr:col>
      <xdr:colOff>381000</xdr:colOff>
      <xdr:row>14</xdr:row>
      <xdr:rowOff>177523</xdr:rowOff>
    </xdr:to>
    <xdr:cxnSp macro="">
      <xdr:nvCxnSpPr>
        <xdr:cNvPr id="1127" name="Straight Arrow Connector 1126">
          <a:extLst>
            <a:ext uri="{FF2B5EF4-FFF2-40B4-BE49-F238E27FC236}">
              <a16:creationId xmlns:a16="http://schemas.microsoft.com/office/drawing/2014/main" xmlns="" id="{00000000-0008-0000-0400-000067040000}"/>
            </a:ext>
          </a:extLst>
        </xdr:cNvPr>
        <xdr:cNvCxnSpPr/>
      </xdr:nvCxnSpPr>
      <xdr:spPr>
        <a:xfrm>
          <a:off x="23989753" y="2822111"/>
          <a:ext cx="273254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424962</xdr:colOff>
      <xdr:row>211</xdr:row>
      <xdr:rowOff>161192</xdr:rowOff>
    </xdr:from>
    <xdr:to>
      <xdr:col>38</xdr:col>
      <xdr:colOff>214533</xdr:colOff>
      <xdr:row>215</xdr:row>
      <xdr:rowOff>182996</xdr:rowOff>
    </xdr:to>
    <xdr:sp macro="" textlink="">
      <xdr:nvSpPr>
        <xdr:cNvPr id="1213" name="Rectangle 1212">
          <a:hlinkClick xmlns:r="http://schemas.openxmlformats.org/officeDocument/2006/relationships" r:id="rId31"/>
          <a:extLst>
            <a:ext uri="{FF2B5EF4-FFF2-40B4-BE49-F238E27FC236}">
              <a16:creationId xmlns:a16="http://schemas.microsoft.com/office/drawing/2014/main" xmlns="" id="{00000000-0008-0000-0400-0000BD040000}"/>
            </a:ext>
          </a:extLst>
        </xdr:cNvPr>
        <xdr:cNvSpPr/>
      </xdr:nvSpPr>
      <xdr:spPr>
        <a:xfrm>
          <a:off x="22317808" y="43162904"/>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38</xdr:col>
      <xdr:colOff>234463</xdr:colOff>
      <xdr:row>212</xdr:row>
      <xdr:rowOff>146539</xdr:rowOff>
    </xdr:from>
    <xdr:to>
      <xdr:col>41</xdr:col>
      <xdr:colOff>402982</xdr:colOff>
      <xdr:row>212</xdr:row>
      <xdr:rowOff>146539</xdr:rowOff>
    </xdr:to>
    <xdr:cxnSp macro="">
      <xdr:nvCxnSpPr>
        <xdr:cNvPr id="1214" name="Straight Arrow Connector 1213">
          <a:extLst>
            <a:ext uri="{FF2B5EF4-FFF2-40B4-BE49-F238E27FC236}">
              <a16:creationId xmlns:a16="http://schemas.microsoft.com/office/drawing/2014/main" xmlns="" id="{00000000-0008-0000-0400-0000BE040000}"/>
            </a:ext>
          </a:extLst>
        </xdr:cNvPr>
        <xdr:cNvCxnSpPr/>
      </xdr:nvCxnSpPr>
      <xdr:spPr>
        <a:xfrm>
          <a:off x="23343578" y="43360731"/>
          <a:ext cx="1992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266700</xdr:colOff>
      <xdr:row>0</xdr:row>
      <xdr:rowOff>114300</xdr:rowOff>
    </xdr:from>
    <xdr:ext cx="4840942" cy="895348"/>
    <xdr:sp macro="" textlink="">
      <xdr:nvSpPr>
        <xdr:cNvPr id="2" name="TextBox 1">
          <a:extLst>
            <a:ext uri="{FF2B5EF4-FFF2-40B4-BE49-F238E27FC236}">
              <a16:creationId xmlns:a16="http://schemas.microsoft.com/office/drawing/2014/main" xmlns="" id="{00000000-0008-0000-0500-000002000000}"/>
            </a:ext>
          </a:extLst>
        </xdr:cNvPr>
        <xdr:cNvSpPr txBox="1"/>
      </xdr:nvSpPr>
      <xdr:spPr>
        <a:xfrm>
          <a:off x="1485900" y="114300"/>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RTC Clocking In-Depth</a:t>
          </a:r>
        </a:p>
      </xdr:txBody>
    </xdr:sp>
    <xdr:clientData/>
  </xdr:oneCellAnchor>
  <xdr:oneCellAnchor>
    <xdr:from>
      <xdr:col>1</xdr:col>
      <xdr:colOff>400050</xdr:colOff>
      <xdr:row>6</xdr:row>
      <xdr:rowOff>152400</xdr:rowOff>
    </xdr:from>
    <xdr:ext cx="847725" cy="266700"/>
    <xdr:sp macro="" textlink="">
      <xdr:nvSpPr>
        <xdr:cNvPr id="3" name="TextBox 2">
          <a:hlinkClick xmlns:r="http://schemas.openxmlformats.org/officeDocument/2006/relationships" r:id="rId1"/>
          <a:extLst>
            <a:ext uri="{FF2B5EF4-FFF2-40B4-BE49-F238E27FC236}">
              <a16:creationId xmlns:a16="http://schemas.microsoft.com/office/drawing/2014/main" xmlns="" id="{00000000-0008-0000-0500-000003000000}"/>
            </a:ext>
          </a:extLst>
        </xdr:cNvPr>
        <xdr:cNvSpPr txBox="1"/>
      </xdr:nvSpPr>
      <xdr:spPr>
        <a:xfrm>
          <a:off x="1009650" y="12954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BUS_CLK</a:t>
          </a:r>
        </a:p>
      </xdr:txBody>
    </xdr:sp>
    <xdr:clientData/>
  </xdr:oneCellAnchor>
  <xdr:twoCellAnchor>
    <xdr:from>
      <xdr:col>4</xdr:col>
      <xdr:colOff>11906</xdr:colOff>
      <xdr:row>7</xdr:row>
      <xdr:rowOff>159203</xdr:rowOff>
    </xdr:from>
    <xdr:to>
      <xdr:col>14</xdr:col>
      <xdr:colOff>339328</xdr:colOff>
      <xdr:row>7</xdr:row>
      <xdr:rowOff>159203</xdr:rowOff>
    </xdr:to>
    <xdr:cxnSp macro="">
      <xdr:nvCxnSpPr>
        <xdr:cNvPr id="4" name="Straight Arrow Connector 3">
          <a:extLst>
            <a:ext uri="{FF2B5EF4-FFF2-40B4-BE49-F238E27FC236}">
              <a16:creationId xmlns:a16="http://schemas.microsoft.com/office/drawing/2014/main" xmlns="" id="{00000000-0008-0000-0500-000004000000}"/>
            </a:ext>
          </a:extLst>
        </xdr:cNvPr>
        <xdr:cNvCxnSpPr/>
      </xdr:nvCxnSpPr>
      <xdr:spPr>
        <a:xfrm>
          <a:off x="2440781" y="1504609"/>
          <a:ext cx="6399610"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331051</xdr:colOff>
      <xdr:row>7</xdr:row>
      <xdr:rowOff>21860</xdr:rowOff>
    </xdr:from>
    <xdr:to>
      <xdr:col>16</xdr:col>
      <xdr:colOff>166570</xdr:colOff>
      <xdr:row>11</xdr:row>
      <xdr:rowOff>197696</xdr:rowOff>
    </xdr:to>
    <xdr:grpSp>
      <xdr:nvGrpSpPr>
        <xdr:cNvPr id="6" name="Group 5">
          <a:extLst>
            <a:ext uri="{FF2B5EF4-FFF2-40B4-BE49-F238E27FC236}">
              <a16:creationId xmlns:a16="http://schemas.microsoft.com/office/drawing/2014/main" xmlns="" id="{00000000-0008-0000-0500-000006000000}"/>
            </a:ext>
          </a:extLst>
        </xdr:cNvPr>
        <xdr:cNvGrpSpPr/>
      </xdr:nvGrpSpPr>
      <xdr:grpSpPr>
        <a:xfrm>
          <a:off x="8865451" y="1309640"/>
          <a:ext cx="1054719" cy="968316"/>
          <a:chOff x="4865897" y="32475001"/>
          <a:chExt cx="1064399" cy="921741"/>
        </a:xfrm>
      </xdr:grpSpPr>
      <xdr:grpSp>
        <xdr:nvGrpSpPr>
          <xdr:cNvPr id="7" name="Group 6">
            <a:extLst>
              <a:ext uri="{FF2B5EF4-FFF2-40B4-BE49-F238E27FC236}">
                <a16:creationId xmlns:a16="http://schemas.microsoft.com/office/drawing/2014/main" xmlns="" id="{00000000-0008-0000-0500-000007000000}"/>
              </a:ext>
            </a:extLst>
          </xdr:cNvPr>
          <xdr:cNvGrpSpPr/>
        </xdr:nvGrpSpPr>
        <xdr:grpSpPr>
          <a:xfrm>
            <a:off x="4870542" y="32475001"/>
            <a:ext cx="1059754" cy="921741"/>
            <a:chOff x="3339294" y="30928884"/>
            <a:chExt cx="1053118" cy="931138"/>
          </a:xfrm>
        </xdr:grpSpPr>
        <xdr:sp macro="" textlink="">
          <xdr:nvSpPr>
            <xdr:cNvPr id="9" name="Rectangle 8">
              <a:extLst>
                <a:ext uri="{FF2B5EF4-FFF2-40B4-BE49-F238E27FC236}">
                  <a16:creationId xmlns:a16="http://schemas.microsoft.com/office/drawing/2014/main" xmlns="" id="{00000000-0008-0000-0500-000009000000}"/>
                </a:ext>
              </a:extLst>
            </xdr:cNvPr>
            <xdr:cNvSpPr/>
          </xdr:nvSpPr>
          <xdr:spPr>
            <a:xfrm>
              <a:off x="3371851" y="30980142"/>
              <a:ext cx="1020561" cy="8798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RTC</a:t>
              </a:r>
            </a:p>
          </xdr:txBody>
        </xdr:sp>
        <xdr:sp macro="" textlink="">
          <xdr:nvSpPr>
            <xdr:cNvPr id="10" name="TextBox 9">
              <a:extLst>
                <a:ext uri="{FF2B5EF4-FFF2-40B4-BE49-F238E27FC236}">
                  <a16:creationId xmlns:a16="http://schemas.microsoft.com/office/drawing/2014/main" xmlns="" id="{00000000-0008-0000-0500-00000A000000}"/>
                </a:ext>
              </a:extLst>
            </xdr:cNvPr>
            <xdr:cNvSpPr txBox="1"/>
          </xdr:nvSpPr>
          <xdr:spPr>
            <a:xfrm>
              <a:off x="3339294" y="30928884"/>
              <a:ext cx="632760" cy="283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 name="TextBox 7">
            <a:extLst>
              <a:ext uri="{FF2B5EF4-FFF2-40B4-BE49-F238E27FC236}">
                <a16:creationId xmlns:a16="http://schemas.microsoft.com/office/drawing/2014/main" xmlns="" id="{00000000-0008-0000-0500-000008000000}"/>
              </a:ext>
            </a:extLst>
          </xdr:cNvPr>
          <xdr:cNvSpPr txBox="1"/>
        </xdr:nvSpPr>
        <xdr:spPr>
          <a:xfrm>
            <a:off x="4865897" y="33096601"/>
            <a:ext cx="852095" cy="280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Prescaler Clock</a:t>
            </a:r>
          </a:p>
        </xdr:txBody>
      </xdr:sp>
    </xdr:grpSp>
    <xdr:clientData/>
  </xdr:twoCellAnchor>
  <xdr:oneCellAnchor>
    <xdr:from>
      <xdr:col>1</xdr:col>
      <xdr:colOff>410766</xdr:colOff>
      <xdr:row>19</xdr:row>
      <xdr:rowOff>154781</xdr:rowOff>
    </xdr:from>
    <xdr:ext cx="847725" cy="266700"/>
    <xdr:sp macro="" textlink="">
      <xdr:nvSpPr>
        <xdr:cNvPr id="15" name="TextBox 14">
          <a:hlinkClick xmlns:r="http://schemas.openxmlformats.org/officeDocument/2006/relationships" r:id="rId2"/>
          <a:extLst>
            <a:ext uri="{FF2B5EF4-FFF2-40B4-BE49-F238E27FC236}">
              <a16:creationId xmlns:a16="http://schemas.microsoft.com/office/drawing/2014/main" xmlns="" id="{00000000-0008-0000-0500-00000F000000}"/>
            </a:ext>
          </a:extLst>
        </xdr:cNvPr>
        <xdr:cNvSpPr txBox="1"/>
      </xdr:nvSpPr>
      <xdr:spPr>
        <a:xfrm>
          <a:off x="1017985" y="385762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LPO1K_CLK</a:t>
          </a:r>
        </a:p>
      </xdr:txBody>
    </xdr:sp>
    <xdr:clientData/>
  </xdr:oneCellAnchor>
  <xdr:twoCellAnchor>
    <xdr:from>
      <xdr:col>4</xdr:col>
      <xdr:colOff>10092</xdr:colOff>
      <xdr:row>20</xdr:row>
      <xdr:rowOff>113109</xdr:rowOff>
    </xdr:from>
    <xdr:to>
      <xdr:col>5</xdr:col>
      <xdr:colOff>410765</xdr:colOff>
      <xdr:row>20</xdr:row>
      <xdr:rowOff>113109</xdr:rowOff>
    </xdr:to>
    <xdr:cxnSp macro="">
      <xdr:nvCxnSpPr>
        <xdr:cNvPr id="16" name="Straight Arrow Connector 15">
          <a:extLst>
            <a:ext uri="{FF2B5EF4-FFF2-40B4-BE49-F238E27FC236}">
              <a16:creationId xmlns:a16="http://schemas.microsoft.com/office/drawing/2014/main" xmlns="" id="{00000000-0008-0000-0500-000010000000}"/>
            </a:ext>
          </a:extLst>
        </xdr:cNvPr>
        <xdr:cNvCxnSpPr/>
      </xdr:nvCxnSpPr>
      <xdr:spPr>
        <a:xfrm>
          <a:off x="2438967" y="4018359"/>
          <a:ext cx="1007892" cy="0"/>
        </a:xfrm>
        <a:prstGeom prst="straightConnector1">
          <a:avLst/>
        </a:prstGeom>
        <a:ln w="38100">
          <a:solidFill>
            <a:schemeClr val="bg1">
              <a:lumMod val="6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535782</xdr:colOff>
      <xdr:row>22</xdr:row>
      <xdr:rowOff>148828</xdr:rowOff>
    </xdr:from>
    <xdr:ext cx="717274" cy="266700"/>
    <xdr:sp macro="" textlink="">
      <xdr:nvSpPr>
        <xdr:cNvPr id="18" name="TextBox 17">
          <a:hlinkClick xmlns:r="http://schemas.openxmlformats.org/officeDocument/2006/relationships" r:id="rId3"/>
          <a:extLst>
            <a:ext uri="{FF2B5EF4-FFF2-40B4-BE49-F238E27FC236}">
              <a16:creationId xmlns:a16="http://schemas.microsoft.com/office/drawing/2014/main" xmlns="" id="{00000000-0008-0000-0500-000012000000}"/>
            </a:ext>
          </a:extLst>
        </xdr:cNvPr>
        <xdr:cNvSpPr txBox="1"/>
      </xdr:nvSpPr>
      <xdr:spPr>
        <a:xfrm>
          <a:off x="1143001" y="4464844"/>
          <a:ext cx="71727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RTC_CLK</a:t>
          </a:r>
        </a:p>
      </xdr:txBody>
    </xdr:sp>
    <xdr:clientData/>
  </xdr:oneCellAnchor>
  <xdr:twoCellAnchor>
    <xdr:from>
      <xdr:col>4</xdr:col>
      <xdr:colOff>25200</xdr:colOff>
      <xdr:row>23</xdr:row>
      <xdr:rowOff>113109</xdr:rowOff>
    </xdr:from>
    <xdr:to>
      <xdr:col>5</xdr:col>
      <xdr:colOff>416718</xdr:colOff>
      <xdr:row>23</xdr:row>
      <xdr:rowOff>113109</xdr:rowOff>
    </xdr:to>
    <xdr:cxnSp macro="">
      <xdr:nvCxnSpPr>
        <xdr:cNvPr id="19" name="Straight Arrow Connector 18">
          <a:extLst>
            <a:ext uri="{FF2B5EF4-FFF2-40B4-BE49-F238E27FC236}">
              <a16:creationId xmlns:a16="http://schemas.microsoft.com/office/drawing/2014/main" xmlns="" id="{00000000-0008-0000-0500-000013000000}"/>
            </a:ext>
          </a:extLst>
        </xdr:cNvPr>
        <xdr:cNvCxnSpPr/>
      </xdr:nvCxnSpPr>
      <xdr:spPr>
        <a:xfrm>
          <a:off x="2454075" y="4631531"/>
          <a:ext cx="998737"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390029</xdr:colOff>
      <xdr:row>19</xdr:row>
      <xdr:rowOff>71417</xdr:rowOff>
    </xdr:from>
    <xdr:to>
      <xdr:col>7</xdr:col>
      <xdr:colOff>231903</xdr:colOff>
      <xdr:row>24</xdr:row>
      <xdr:rowOff>6308</xdr:rowOff>
    </xdr:to>
    <xdr:grpSp>
      <xdr:nvGrpSpPr>
        <xdr:cNvPr id="22" name="Group 21">
          <a:extLst>
            <a:ext uri="{FF2B5EF4-FFF2-40B4-BE49-F238E27FC236}">
              <a16:creationId xmlns:a16="http://schemas.microsoft.com/office/drawing/2014/main" xmlns="" id="{00000000-0008-0000-0500-000016000000}"/>
            </a:ext>
          </a:extLst>
        </xdr:cNvPr>
        <xdr:cNvGrpSpPr/>
      </xdr:nvGrpSpPr>
      <xdr:grpSpPr>
        <a:xfrm>
          <a:off x="3438029" y="3652817"/>
          <a:ext cx="1061074" cy="902631"/>
          <a:chOff x="335078" y="30585483"/>
          <a:chExt cx="1056311" cy="1207181"/>
        </a:xfrm>
      </xdr:grpSpPr>
      <xdr:grpSp>
        <xdr:nvGrpSpPr>
          <xdr:cNvPr id="23" name="Group 22">
            <a:extLst>
              <a:ext uri="{FF2B5EF4-FFF2-40B4-BE49-F238E27FC236}">
                <a16:creationId xmlns:a16="http://schemas.microsoft.com/office/drawing/2014/main" xmlns="" id="{00000000-0008-0000-0500-000017000000}"/>
              </a:ext>
            </a:extLst>
          </xdr:cNvPr>
          <xdr:cNvGrpSpPr/>
        </xdr:nvGrpSpPr>
        <xdr:grpSpPr>
          <a:xfrm>
            <a:off x="335078" y="30585483"/>
            <a:ext cx="1056311" cy="1180352"/>
            <a:chOff x="571630" y="178432"/>
            <a:chExt cx="1053306" cy="746762"/>
          </a:xfrm>
        </xdr:grpSpPr>
        <xdr:sp macro="" textlink="">
          <xdr:nvSpPr>
            <xdr:cNvPr id="25" name="Rectangle 24">
              <a:extLst>
                <a:ext uri="{FF2B5EF4-FFF2-40B4-BE49-F238E27FC236}">
                  <a16:creationId xmlns:a16="http://schemas.microsoft.com/office/drawing/2014/main" xmlns="" id="{00000000-0008-0000-0500-000019000000}"/>
                </a:ext>
              </a:extLst>
            </xdr:cNvPr>
            <xdr:cNvSpPr/>
          </xdr:nvSpPr>
          <xdr:spPr>
            <a:xfrm>
              <a:off x="610115" y="190500"/>
              <a:ext cx="1014821" cy="7346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RTC Clock Select</a:t>
              </a:r>
            </a:p>
            <a:p>
              <a:pPr marL="0" marR="0" indent="0" algn="ctr" defTabSz="914400" eaLnBrk="1" fontAlgn="auto" latinLnBrk="0" hangingPunct="1">
                <a:lnSpc>
                  <a:spcPct val="100000"/>
                </a:lnSpc>
                <a:spcBef>
                  <a:spcPts val="0"/>
                </a:spcBef>
                <a:spcAft>
                  <a:spcPts val="0"/>
                </a:spcAft>
                <a:buClrTx/>
                <a:buSzTx/>
                <a:buFontTx/>
                <a:buNone/>
                <a:tabLst/>
                <a:defRPr/>
              </a:pPr>
              <a:r>
                <a:rPr lang="en-US" sz="900">
                  <a:solidFill>
                    <a:schemeClr val="lt1"/>
                  </a:solidFill>
                  <a:effectLst/>
                  <a:latin typeface="+mn-lt"/>
                  <a:ea typeface="+mn-ea"/>
                  <a:cs typeface="+mn-cs"/>
                </a:rPr>
                <a:t>RTC_CR[LPOS]</a:t>
              </a:r>
              <a:endParaRPr lang="en-US" sz="900">
                <a:effectLst/>
              </a:endParaRPr>
            </a:p>
          </xdr:txBody>
        </xdr:sp>
        <xdr:sp macro="" textlink="">
          <xdr:nvSpPr>
            <xdr:cNvPr id="26" name="TextBox 25">
              <a:extLst>
                <a:ext uri="{FF2B5EF4-FFF2-40B4-BE49-F238E27FC236}">
                  <a16:creationId xmlns:a16="http://schemas.microsoft.com/office/drawing/2014/main" xmlns="" id="{00000000-0008-0000-0500-00001A000000}"/>
                </a:ext>
              </a:extLst>
            </xdr:cNvPr>
            <xdr:cNvSpPr txBox="1"/>
          </xdr:nvSpPr>
          <xdr:spPr>
            <a:xfrm>
              <a:off x="571630" y="17843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1 kHz Clock</a:t>
              </a:r>
            </a:p>
          </xdr:txBody>
        </xdr:sp>
      </xdr:grpSp>
      <xdr:sp macro="" textlink="">
        <xdr:nvSpPr>
          <xdr:cNvPr id="24" name="TextBox 23">
            <a:extLst>
              <a:ext uri="{FF2B5EF4-FFF2-40B4-BE49-F238E27FC236}">
                <a16:creationId xmlns:a16="http://schemas.microsoft.com/office/drawing/2014/main" xmlns="" id="{00000000-0008-0000-0500-000018000000}"/>
              </a:ext>
            </a:extLst>
          </xdr:cNvPr>
          <xdr:cNvSpPr txBox="1"/>
        </xdr:nvSpPr>
        <xdr:spPr>
          <a:xfrm>
            <a:off x="338870" y="31506610"/>
            <a:ext cx="630960" cy="286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RTC_CLK</a:t>
            </a:r>
          </a:p>
        </xdr:txBody>
      </xdr:sp>
    </xdr:grpSp>
    <xdr:clientData/>
  </xdr:twoCellAnchor>
  <xdr:oneCellAnchor>
    <xdr:from>
      <xdr:col>5</xdr:col>
      <xdr:colOff>553642</xdr:colOff>
      <xdr:row>24</xdr:row>
      <xdr:rowOff>196453</xdr:rowOff>
    </xdr:from>
    <xdr:ext cx="797718" cy="367862"/>
    <xdr:sp macro="" textlink="">
      <xdr:nvSpPr>
        <xdr:cNvPr id="29" name="TextBox 28">
          <a:extLst>
            <a:ext uri="{FF2B5EF4-FFF2-40B4-BE49-F238E27FC236}">
              <a16:creationId xmlns:a16="http://schemas.microsoft.com/office/drawing/2014/main" xmlns="" id="{00000000-0008-0000-0500-00001D000000}"/>
            </a:ext>
          </a:extLst>
        </xdr:cNvPr>
        <xdr:cNvSpPr txBox="1"/>
      </xdr:nvSpPr>
      <xdr:spPr>
        <a:xfrm>
          <a:off x="3589736" y="4923234"/>
          <a:ext cx="797718"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RTC_CLK</a:t>
          </a:r>
        </a:p>
        <a:p>
          <a:r>
            <a:rPr lang="en-US" sz="800"/>
            <a:t>1 - LPO1K_CLK</a:t>
          </a:r>
        </a:p>
      </xdr:txBody>
    </xdr:sp>
    <xdr:clientData/>
  </xdr:oneCellAnchor>
  <xdr:twoCellAnchor>
    <xdr:from>
      <xdr:col>7</xdr:col>
      <xdr:colOff>238126</xdr:colOff>
      <xdr:row>21</xdr:row>
      <xdr:rowOff>113110</xdr:rowOff>
    </xdr:from>
    <xdr:to>
      <xdr:col>8</xdr:col>
      <xdr:colOff>11906</xdr:colOff>
      <xdr:row>21</xdr:row>
      <xdr:rowOff>113110</xdr:rowOff>
    </xdr:to>
    <xdr:cxnSp macro="">
      <xdr:nvCxnSpPr>
        <xdr:cNvPr id="30" name="Straight Arrow Connector 29">
          <a:extLst>
            <a:ext uri="{FF2B5EF4-FFF2-40B4-BE49-F238E27FC236}">
              <a16:creationId xmlns:a16="http://schemas.microsoft.com/office/drawing/2014/main" xmlns="" id="{00000000-0008-0000-0500-00001E000000}"/>
            </a:ext>
          </a:extLst>
        </xdr:cNvPr>
        <xdr:cNvCxnSpPr/>
      </xdr:nvCxnSpPr>
      <xdr:spPr>
        <a:xfrm flipH="1">
          <a:off x="4488657" y="4226719"/>
          <a:ext cx="38099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5969</xdr:colOff>
      <xdr:row>11</xdr:row>
      <xdr:rowOff>29765</xdr:rowOff>
    </xdr:from>
    <xdr:to>
      <xdr:col>8</xdr:col>
      <xdr:colOff>5969</xdr:colOff>
      <xdr:row>21</xdr:row>
      <xdr:rowOff>108514</xdr:rowOff>
    </xdr:to>
    <xdr:cxnSp macro="">
      <xdr:nvCxnSpPr>
        <xdr:cNvPr id="32" name="Straight Arrow Connector 31">
          <a:extLst>
            <a:ext uri="{FF2B5EF4-FFF2-40B4-BE49-F238E27FC236}">
              <a16:creationId xmlns:a16="http://schemas.microsoft.com/office/drawing/2014/main" xmlns="" id="{00000000-0008-0000-0500-000020000000}"/>
            </a:ext>
          </a:extLst>
        </xdr:cNvPr>
        <xdr:cNvCxnSpPr/>
      </xdr:nvCxnSpPr>
      <xdr:spPr>
        <a:xfrm>
          <a:off x="4863719" y="2166937"/>
          <a:ext cx="0" cy="2055186"/>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601266</xdr:colOff>
      <xdr:row>11</xdr:row>
      <xdr:rowOff>35720</xdr:rowOff>
    </xdr:from>
    <xdr:to>
      <xdr:col>14</xdr:col>
      <xdr:colOff>345280</xdr:colOff>
      <xdr:row>11</xdr:row>
      <xdr:rowOff>35720</xdr:rowOff>
    </xdr:to>
    <xdr:cxnSp macro="">
      <xdr:nvCxnSpPr>
        <xdr:cNvPr id="34" name="Straight Arrow Connector 33">
          <a:extLst>
            <a:ext uri="{FF2B5EF4-FFF2-40B4-BE49-F238E27FC236}">
              <a16:creationId xmlns:a16="http://schemas.microsoft.com/office/drawing/2014/main" xmlns="" id="{00000000-0008-0000-0500-000022000000}"/>
            </a:ext>
          </a:extLst>
        </xdr:cNvPr>
        <xdr:cNvCxnSpPr/>
      </xdr:nvCxnSpPr>
      <xdr:spPr>
        <a:xfrm>
          <a:off x="4851797" y="2172892"/>
          <a:ext cx="399454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388327</xdr:colOff>
      <xdr:row>7</xdr:row>
      <xdr:rowOff>153866</xdr:rowOff>
    </xdr:from>
    <xdr:to>
      <xdr:col>20</xdr:col>
      <xdr:colOff>184524</xdr:colOff>
      <xdr:row>11</xdr:row>
      <xdr:rowOff>194943</xdr:rowOff>
    </xdr:to>
    <xdr:sp macro="" textlink="">
      <xdr:nvSpPr>
        <xdr:cNvPr id="39" name="Rectangle 38">
          <a:extLst>
            <a:ext uri="{FF2B5EF4-FFF2-40B4-BE49-F238E27FC236}">
              <a16:creationId xmlns:a16="http://schemas.microsoft.com/office/drawing/2014/main" xmlns="" id="{00000000-0008-0000-0500-000027000000}"/>
            </a:ext>
          </a:extLst>
        </xdr:cNvPr>
        <xdr:cNvSpPr/>
      </xdr:nvSpPr>
      <xdr:spPr>
        <a:xfrm>
          <a:off x="11334750" y="1494693"/>
          <a:ext cx="1012466" cy="861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RTC_CLKOUT Prescaler Select</a:t>
          </a:r>
        </a:p>
        <a:p>
          <a:pPr algn="ctr"/>
          <a:r>
            <a:rPr lang="en-US" sz="900">
              <a:effectLst/>
            </a:rPr>
            <a:t>RTC_IER[TSIC]</a:t>
          </a:r>
        </a:p>
      </xdr:txBody>
    </xdr:sp>
    <xdr:clientData/>
  </xdr:twoCellAnchor>
  <xdr:twoCellAnchor>
    <xdr:from>
      <xdr:col>16</xdr:col>
      <xdr:colOff>183173</xdr:colOff>
      <xdr:row>9</xdr:row>
      <xdr:rowOff>153866</xdr:rowOff>
    </xdr:from>
    <xdr:to>
      <xdr:col>18</xdr:col>
      <xdr:colOff>380999</xdr:colOff>
      <xdr:row>9</xdr:row>
      <xdr:rowOff>153866</xdr:rowOff>
    </xdr:to>
    <xdr:cxnSp macro="">
      <xdr:nvCxnSpPr>
        <xdr:cNvPr id="40" name="Straight Arrow Connector 39">
          <a:extLst>
            <a:ext uri="{FF2B5EF4-FFF2-40B4-BE49-F238E27FC236}">
              <a16:creationId xmlns:a16="http://schemas.microsoft.com/office/drawing/2014/main" xmlns="" id="{00000000-0008-0000-0500-000028000000}"/>
            </a:ext>
          </a:extLst>
        </xdr:cNvPr>
        <xdr:cNvCxnSpPr/>
      </xdr:nvCxnSpPr>
      <xdr:spPr>
        <a:xfrm>
          <a:off x="9913327" y="1905001"/>
          <a:ext cx="141409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18</xdr:col>
      <xdr:colOff>564174</xdr:colOff>
      <xdr:row>12</xdr:row>
      <xdr:rowOff>183173</xdr:rowOff>
    </xdr:from>
    <xdr:ext cx="615461" cy="1093305"/>
    <xdr:sp macro="" textlink="">
      <xdr:nvSpPr>
        <xdr:cNvPr id="43" name="TextBox 42">
          <a:extLst>
            <a:ext uri="{FF2B5EF4-FFF2-40B4-BE49-F238E27FC236}">
              <a16:creationId xmlns:a16="http://schemas.microsoft.com/office/drawing/2014/main" xmlns="" id="{00000000-0008-0000-0500-00002B000000}"/>
            </a:ext>
          </a:extLst>
        </xdr:cNvPr>
        <xdr:cNvSpPr txBox="1"/>
      </xdr:nvSpPr>
      <xdr:spPr>
        <a:xfrm>
          <a:off x="11510597" y="2557096"/>
          <a:ext cx="615461" cy="10933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0 - 1 Hz</a:t>
          </a:r>
        </a:p>
        <a:p>
          <a:r>
            <a:rPr lang="en-US" sz="800"/>
            <a:t>1 - 2 Hz</a:t>
          </a:r>
        </a:p>
        <a:p>
          <a:r>
            <a:rPr lang="en-US" sz="800"/>
            <a:t>2</a:t>
          </a:r>
          <a:r>
            <a:rPr lang="en-US" sz="800" baseline="0"/>
            <a:t> - 4 Hz</a:t>
          </a:r>
        </a:p>
        <a:p>
          <a:r>
            <a:rPr lang="en-US" sz="800" baseline="0"/>
            <a:t>3 - 8 Hz</a:t>
          </a:r>
        </a:p>
        <a:p>
          <a:r>
            <a:rPr lang="en-US" sz="800" baseline="0"/>
            <a:t>4 - 16 Hz</a:t>
          </a:r>
        </a:p>
        <a:p>
          <a:r>
            <a:rPr lang="en-US" sz="800" baseline="0"/>
            <a:t>5 - 32 Hz</a:t>
          </a:r>
        </a:p>
        <a:p>
          <a:r>
            <a:rPr lang="en-US" sz="800" baseline="0"/>
            <a:t>6 - 64 Hz</a:t>
          </a:r>
        </a:p>
        <a:p>
          <a:r>
            <a:rPr lang="en-US" sz="800" baseline="0"/>
            <a:t>7 - 128 Hz</a:t>
          </a:r>
          <a:endParaRPr lang="en-US" sz="800"/>
        </a:p>
      </xdr:txBody>
    </xdr:sp>
    <xdr:clientData/>
  </xdr:oneCellAnchor>
  <xdr:twoCellAnchor>
    <xdr:from>
      <xdr:col>20</xdr:col>
      <xdr:colOff>183173</xdr:colOff>
      <xdr:row>10</xdr:row>
      <xdr:rowOff>14653</xdr:rowOff>
    </xdr:from>
    <xdr:to>
      <xdr:col>23</xdr:col>
      <xdr:colOff>395654</xdr:colOff>
      <xdr:row>10</xdr:row>
      <xdr:rowOff>14653</xdr:rowOff>
    </xdr:to>
    <xdr:cxnSp macro="">
      <xdr:nvCxnSpPr>
        <xdr:cNvPr id="44" name="Straight Arrow Connector 43">
          <a:extLst>
            <a:ext uri="{FF2B5EF4-FFF2-40B4-BE49-F238E27FC236}">
              <a16:creationId xmlns:a16="http://schemas.microsoft.com/office/drawing/2014/main" xmlns="" id="{00000000-0008-0000-0500-00002C000000}"/>
            </a:ext>
          </a:extLst>
        </xdr:cNvPr>
        <xdr:cNvCxnSpPr/>
      </xdr:nvCxnSpPr>
      <xdr:spPr>
        <a:xfrm>
          <a:off x="12345865" y="1992922"/>
          <a:ext cx="203688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432289</xdr:colOff>
      <xdr:row>7</xdr:row>
      <xdr:rowOff>175845</xdr:rowOff>
    </xdr:from>
    <xdr:to>
      <xdr:col>25</xdr:col>
      <xdr:colOff>228486</xdr:colOff>
      <xdr:row>11</xdr:row>
      <xdr:rowOff>187614</xdr:rowOff>
    </xdr:to>
    <xdr:sp macro="" textlink="">
      <xdr:nvSpPr>
        <xdr:cNvPr id="47" name="Rectangle 46">
          <a:extLst>
            <a:ext uri="{FF2B5EF4-FFF2-40B4-BE49-F238E27FC236}">
              <a16:creationId xmlns:a16="http://schemas.microsoft.com/office/drawing/2014/main" xmlns="" id="{00000000-0008-0000-0500-00002F000000}"/>
            </a:ext>
          </a:extLst>
        </xdr:cNvPr>
        <xdr:cNvSpPr/>
      </xdr:nvSpPr>
      <xdr:spPr>
        <a:xfrm>
          <a:off x="14419385" y="1516672"/>
          <a:ext cx="1012466" cy="861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RTC Enable</a:t>
          </a:r>
        </a:p>
        <a:p>
          <a:pPr algn="ctr"/>
          <a:r>
            <a:rPr lang="en-US" sz="900">
              <a:effectLst/>
            </a:rPr>
            <a:t>RTC_SR[TCE]</a:t>
          </a:r>
        </a:p>
      </xdr:txBody>
    </xdr:sp>
    <xdr:clientData/>
  </xdr:twoCellAnchor>
  <xdr:oneCellAnchor>
    <xdr:from>
      <xdr:col>23</xdr:col>
      <xdr:colOff>549519</xdr:colOff>
      <xdr:row>12</xdr:row>
      <xdr:rowOff>205154</xdr:rowOff>
    </xdr:from>
    <xdr:ext cx="835269" cy="490905"/>
    <xdr:sp macro="" textlink="">
      <xdr:nvSpPr>
        <xdr:cNvPr id="49" name="TextBox 48">
          <a:extLst>
            <a:ext uri="{FF2B5EF4-FFF2-40B4-BE49-F238E27FC236}">
              <a16:creationId xmlns:a16="http://schemas.microsoft.com/office/drawing/2014/main" xmlns="" id="{00000000-0008-0000-0500-000031000000}"/>
            </a:ext>
          </a:extLst>
        </xdr:cNvPr>
        <xdr:cNvSpPr txBox="1"/>
      </xdr:nvSpPr>
      <xdr:spPr>
        <a:xfrm>
          <a:off x="14536615" y="2608385"/>
          <a:ext cx="835269" cy="4909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RTC</a:t>
          </a:r>
          <a:r>
            <a:rPr lang="en-US" sz="800" baseline="0"/>
            <a:t> Off</a:t>
          </a:r>
          <a:endParaRPr lang="en-US" sz="800"/>
        </a:p>
        <a:p>
          <a:r>
            <a:rPr lang="en-US" sz="800"/>
            <a:t>1 - RTC On</a:t>
          </a:r>
        </a:p>
      </xdr:txBody>
    </xdr:sp>
    <xdr:clientData/>
  </xdr:oneCellAnchor>
  <xdr:twoCellAnchor>
    <xdr:from>
      <xdr:col>25</xdr:col>
      <xdr:colOff>241789</xdr:colOff>
      <xdr:row>10</xdr:row>
      <xdr:rowOff>7327</xdr:rowOff>
    </xdr:from>
    <xdr:to>
      <xdr:col>28</xdr:col>
      <xdr:colOff>432289</xdr:colOff>
      <xdr:row>10</xdr:row>
      <xdr:rowOff>7327</xdr:rowOff>
    </xdr:to>
    <xdr:cxnSp macro="">
      <xdr:nvCxnSpPr>
        <xdr:cNvPr id="50" name="Straight Arrow Connector 49">
          <a:extLst>
            <a:ext uri="{FF2B5EF4-FFF2-40B4-BE49-F238E27FC236}">
              <a16:creationId xmlns:a16="http://schemas.microsoft.com/office/drawing/2014/main" xmlns="" id="{00000000-0008-0000-0500-000032000000}"/>
            </a:ext>
          </a:extLst>
        </xdr:cNvPr>
        <xdr:cNvCxnSpPr/>
      </xdr:nvCxnSpPr>
      <xdr:spPr>
        <a:xfrm>
          <a:off x="15445154" y="1985596"/>
          <a:ext cx="201490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25</xdr:col>
      <xdr:colOff>300405</xdr:colOff>
      <xdr:row>7</xdr:row>
      <xdr:rowOff>197827</xdr:rowOff>
    </xdr:from>
    <xdr:ext cx="1428750" cy="266700"/>
    <xdr:sp macro="" textlink="">
      <xdr:nvSpPr>
        <xdr:cNvPr id="52" name="TextBox 51">
          <a:extLst>
            <a:ext uri="{FF2B5EF4-FFF2-40B4-BE49-F238E27FC236}">
              <a16:creationId xmlns:a16="http://schemas.microsoft.com/office/drawing/2014/main" xmlns="" id="{00000000-0008-0000-0500-000034000000}"/>
            </a:ext>
          </a:extLst>
        </xdr:cNvPr>
        <xdr:cNvSpPr txBox="1"/>
      </xdr:nvSpPr>
      <xdr:spPr>
        <a:xfrm>
          <a:off x="15503770" y="1538654"/>
          <a:ext cx="14287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RTC_CLKOUT Prescaler</a:t>
          </a:r>
        </a:p>
      </xdr:txBody>
    </xdr:sp>
    <xdr:clientData/>
  </xdr:oneCellAnchor>
  <xdr:twoCellAnchor>
    <xdr:from>
      <xdr:col>28</xdr:col>
      <xdr:colOff>454269</xdr:colOff>
      <xdr:row>8</xdr:row>
      <xdr:rowOff>7326</xdr:rowOff>
    </xdr:from>
    <xdr:to>
      <xdr:col>30</xdr:col>
      <xdr:colOff>172213</xdr:colOff>
      <xdr:row>11</xdr:row>
      <xdr:rowOff>181053</xdr:rowOff>
    </xdr:to>
    <xdr:sp macro="" textlink="">
      <xdr:nvSpPr>
        <xdr:cNvPr id="54" name="Rectangle 53">
          <a:extLst>
            <a:ext uri="{FF2B5EF4-FFF2-40B4-BE49-F238E27FC236}">
              <a16:creationId xmlns:a16="http://schemas.microsoft.com/office/drawing/2014/main" xmlns="" id="{00000000-0008-0000-0500-000036000000}"/>
            </a:ext>
          </a:extLst>
        </xdr:cNvPr>
        <xdr:cNvSpPr/>
      </xdr:nvSpPr>
      <xdr:spPr>
        <a:xfrm>
          <a:off x="17482038" y="1560634"/>
          <a:ext cx="934213" cy="8111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RTC_CLKOUT </a:t>
          </a:r>
          <a:r>
            <a:rPr lang="en-US" sz="1100" baseline="0">
              <a:solidFill>
                <a:schemeClr val="lt1"/>
              </a:solidFill>
              <a:effectLst/>
              <a:latin typeface="+mn-lt"/>
              <a:ea typeface="+mn-ea"/>
              <a:cs typeface="+mn-cs"/>
            </a:rPr>
            <a:t>Select</a:t>
          </a:r>
        </a:p>
        <a:p>
          <a:pPr algn="ctr"/>
          <a:r>
            <a:rPr lang="en-US" sz="900">
              <a:solidFill>
                <a:schemeClr val="lt1"/>
              </a:solidFill>
              <a:effectLst/>
              <a:latin typeface="+mn-lt"/>
              <a:ea typeface="+mn-ea"/>
              <a:cs typeface="+mn-cs"/>
            </a:rPr>
            <a:t>RTC_CR[CPS]</a:t>
          </a:r>
        </a:p>
      </xdr:txBody>
    </xdr:sp>
    <xdr:clientData/>
  </xdr:twoCellAnchor>
  <xdr:oneCellAnchor>
    <xdr:from>
      <xdr:col>28</xdr:col>
      <xdr:colOff>556847</xdr:colOff>
      <xdr:row>12</xdr:row>
      <xdr:rowOff>205154</xdr:rowOff>
    </xdr:from>
    <xdr:ext cx="1296867" cy="367862"/>
    <xdr:sp macro="" textlink="">
      <xdr:nvSpPr>
        <xdr:cNvPr id="55" name="TextBox 54">
          <a:extLst>
            <a:ext uri="{FF2B5EF4-FFF2-40B4-BE49-F238E27FC236}">
              <a16:creationId xmlns:a16="http://schemas.microsoft.com/office/drawing/2014/main" xmlns="" id="{00000000-0008-0000-0500-000037000000}"/>
            </a:ext>
          </a:extLst>
        </xdr:cNvPr>
        <xdr:cNvSpPr txBox="1"/>
      </xdr:nvSpPr>
      <xdr:spPr>
        <a:xfrm>
          <a:off x="17584616" y="2608385"/>
          <a:ext cx="1296867"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RTC_CLKOUT Prescaler</a:t>
          </a:r>
        </a:p>
        <a:p>
          <a:r>
            <a:rPr lang="en-US" sz="800"/>
            <a:t>1 - RTC_CLK</a:t>
          </a:r>
        </a:p>
      </xdr:txBody>
    </xdr:sp>
    <xdr:clientData/>
  </xdr:oneCellAnchor>
  <xdr:twoCellAnchor>
    <xdr:from>
      <xdr:col>26</xdr:col>
      <xdr:colOff>315058</xdr:colOff>
      <xdr:row>11</xdr:row>
      <xdr:rowOff>73269</xdr:rowOff>
    </xdr:from>
    <xdr:to>
      <xdr:col>28</xdr:col>
      <xdr:colOff>446943</xdr:colOff>
      <xdr:row>11</xdr:row>
      <xdr:rowOff>73269</xdr:rowOff>
    </xdr:to>
    <xdr:cxnSp macro="">
      <xdr:nvCxnSpPr>
        <xdr:cNvPr id="56" name="Straight Arrow Connector 55">
          <a:extLst>
            <a:ext uri="{FF2B5EF4-FFF2-40B4-BE49-F238E27FC236}">
              <a16:creationId xmlns:a16="http://schemas.microsoft.com/office/drawing/2014/main" xmlns="" id="{00000000-0008-0000-0500-000038000000}"/>
            </a:ext>
          </a:extLst>
        </xdr:cNvPr>
        <xdr:cNvCxnSpPr/>
      </xdr:nvCxnSpPr>
      <xdr:spPr>
        <a:xfrm>
          <a:off x="16126558" y="2264019"/>
          <a:ext cx="1348154"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337039</xdr:colOff>
      <xdr:row>11</xdr:row>
      <xdr:rowOff>104775</xdr:rowOff>
    </xdr:from>
    <xdr:to>
      <xdr:col>26</xdr:col>
      <xdr:colOff>337039</xdr:colOff>
      <xdr:row>27</xdr:row>
      <xdr:rowOff>131885</xdr:rowOff>
    </xdr:to>
    <xdr:cxnSp macro="">
      <xdr:nvCxnSpPr>
        <xdr:cNvPr id="59" name="Straight Arrow Connector 58">
          <a:extLst>
            <a:ext uri="{FF2B5EF4-FFF2-40B4-BE49-F238E27FC236}">
              <a16:creationId xmlns:a16="http://schemas.microsoft.com/office/drawing/2014/main" xmlns="" id="{00000000-0008-0000-0500-00003B000000}"/>
            </a:ext>
          </a:extLst>
        </xdr:cNvPr>
        <xdr:cNvCxnSpPr/>
      </xdr:nvCxnSpPr>
      <xdr:spPr>
        <a:xfrm flipV="1">
          <a:off x="16186639" y="2286000"/>
          <a:ext cx="0" cy="3217985"/>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468923</xdr:colOff>
      <xdr:row>23</xdr:row>
      <xdr:rowOff>109904</xdr:rowOff>
    </xdr:from>
    <xdr:to>
      <xdr:col>4</xdr:col>
      <xdr:colOff>468923</xdr:colOff>
      <xdr:row>27</xdr:row>
      <xdr:rowOff>124558</xdr:rowOff>
    </xdr:to>
    <xdr:cxnSp macro="">
      <xdr:nvCxnSpPr>
        <xdr:cNvPr id="63" name="Straight Arrow Connector 62">
          <a:extLst>
            <a:ext uri="{FF2B5EF4-FFF2-40B4-BE49-F238E27FC236}">
              <a16:creationId xmlns:a16="http://schemas.microsoft.com/office/drawing/2014/main" xmlns="" id="{00000000-0008-0000-0500-00003F000000}"/>
            </a:ext>
          </a:extLst>
        </xdr:cNvPr>
        <xdr:cNvCxnSpPr/>
      </xdr:nvCxnSpPr>
      <xdr:spPr>
        <a:xfrm flipV="1">
          <a:off x="2901461" y="4681904"/>
          <a:ext cx="0" cy="827942"/>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490905</xdr:colOff>
      <xdr:row>27</xdr:row>
      <xdr:rowOff>117231</xdr:rowOff>
    </xdr:from>
    <xdr:to>
      <xdr:col>26</xdr:col>
      <xdr:colOff>344365</xdr:colOff>
      <xdr:row>27</xdr:row>
      <xdr:rowOff>117231</xdr:rowOff>
    </xdr:to>
    <xdr:cxnSp macro="">
      <xdr:nvCxnSpPr>
        <xdr:cNvPr id="65" name="Straight Arrow Connector 64">
          <a:extLst>
            <a:ext uri="{FF2B5EF4-FFF2-40B4-BE49-F238E27FC236}">
              <a16:creationId xmlns:a16="http://schemas.microsoft.com/office/drawing/2014/main" xmlns="" id="{00000000-0008-0000-0500-000041000000}"/>
            </a:ext>
          </a:extLst>
        </xdr:cNvPr>
        <xdr:cNvCxnSpPr/>
      </xdr:nvCxnSpPr>
      <xdr:spPr>
        <a:xfrm>
          <a:off x="2923443" y="5502519"/>
          <a:ext cx="13232422" cy="0"/>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197827</xdr:colOff>
      <xdr:row>10</xdr:row>
      <xdr:rowOff>7327</xdr:rowOff>
    </xdr:from>
    <xdr:to>
      <xdr:col>32</xdr:col>
      <xdr:colOff>402980</xdr:colOff>
      <xdr:row>10</xdr:row>
      <xdr:rowOff>7327</xdr:rowOff>
    </xdr:to>
    <xdr:cxnSp macro="">
      <xdr:nvCxnSpPr>
        <xdr:cNvPr id="68" name="Straight Arrow Connector 67">
          <a:extLst>
            <a:ext uri="{FF2B5EF4-FFF2-40B4-BE49-F238E27FC236}">
              <a16:creationId xmlns:a16="http://schemas.microsoft.com/office/drawing/2014/main" xmlns="" id="{00000000-0008-0000-0500-000044000000}"/>
            </a:ext>
          </a:extLst>
        </xdr:cNvPr>
        <xdr:cNvCxnSpPr/>
      </xdr:nvCxnSpPr>
      <xdr:spPr>
        <a:xfrm>
          <a:off x="18441865" y="1985596"/>
          <a:ext cx="14214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432288</xdr:colOff>
      <xdr:row>8</xdr:row>
      <xdr:rowOff>58615</xdr:rowOff>
    </xdr:from>
    <xdr:to>
      <xdr:col>34</xdr:col>
      <xdr:colOff>172214</xdr:colOff>
      <xdr:row>11</xdr:row>
      <xdr:rowOff>192204</xdr:rowOff>
    </xdr:to>
    <xdr:sp macro="" textlink="">
      <xdr:nvSpPr>
        <xdr:cNvPr id="70" name="Rectangle 69">
          <a:extLst>
            <a:ext uri="{FF2B5EF4-FFF2-40B4-BE49-F238E27FC236}">
              <a16:creationId xmlns:a16="http://schemas.microsoft.com/office/drawing/2014/main" xmlns="" id="{00000000-0008-0000-0500-000046000000}"/>
            </a:ext>
          </a:extLst>
        </xdr:cNvPr>
        <xdr:cNvSpPr/>
      </xdr:nvSpPr>
      <xdr:spPr>
        <a:xfrm>
          <a:off x="19892596" y="1611923"/>
          <a:ext cx="956195" cy="77103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lt1"/>
              </a:solidFill>
              <a:effectLst/>
              <a:latin typeface="+mn-lt"/>
              <a:ea typeface="+mn-ea"/>
              <a:cs typeface="+mn-cs"/>
            </a:rPr>
            <a:t>RTC_CLKOUT </a:t>
          </a:r>
          <a:r>
            <a:rPr lang="en-US" sz="1100" baseline="0">
              <a:solidFill>
                <a:schemeClr val="lt1"/>
              </a:solidFill>
              <a:effectLst/>
              <a:latin typeface="+mn-lt"/>
              <a:ea typeface="+mn-ea"/>
              <a:cs typeface="+mn-cs"/>
            </a:rPr>
            <a:t>Enable</a:t>
          </a:r>
        </a:p>
        <a:p>
          <a:pPr algn="ctr"/>
          <a:r>
            <a:rPr lang="en-US" sz="900">
              <a:solidFill>
                <a:schemeClr val="lt1"/>
              </a:solidFill>
              <a:effectLst/>
              <a:latin typeface="+mn-lt"/>
              <a:ea typeface="+mn-ea"/>
              <a:cs typeface="+mn-cs"/>
            </a:rPr>
            <a:t>RTC_CR[CPE]</a:t>
          </a:r>
        </a:p>
      </xdr:txBody>
    </xdr:sp>
    <xdr:clientData/>
  </xdr:twoCellAnchor>
  <xdr:oneCellAnchor>
    <xdr:from>
      <xdr:col>32</xdr:col>
      <xdr:colOff>564173</xdr:colOff>
      <xdr:row>12</xdr:row>
      <xdr:rowOff>212480</xdr:rowOff>
    </xdr:from>
    <xdr:ext cx="1362075" cy="604632"/>
    <xdr:sp macro="" textlink="">
      <xdr:nvSpPr>
        <xdr:cNvPr id="72" name="TextBox 71">
          <a:extLst>
            <a:ext uri="{FF2B5EF4-FFF2-40B4-BE49-F238E27FC236}">
              <a16:creationId xmlns:a16="http://schemas.microsoft.com/office/drawing/2014/main" xmlns="" id="{00000000-0008-0000-0500-000048000000}"/>
            </a:ext>
          </a:extLst>
        </xdr:cNvPr>
        <xdr:cNvSpPr txBox="1"/>
      </xdr:nvSpPr>
      <xdr:spPr>
        <a:xfrm>
          <a:off x="20024481" y="2615711"/>
          <a:ext cx="1362075" cy="6046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RTC_CLKOUT Disabled</a:t>
          </a:r>
        </a:p>
        <a:p>
          <a:r>
            <a:rPr lang="en-US" sz="800"/>
            <a:t>1 - RTC_CLKOUT Enabled</a:t>
          </a:r>
        </a:p>
      </xdr:txBody>
    </xdr:sp>
    <xdr:clientData/>
  </xdr:oneCellAnchor>
  <xdr:twoCellAnchor>
    <xdr:from>
      <xdr:col>34</xdr:col>
      <xdr:colOff>190500</xdr:colOff>
      <xdr:row>9</xdr:row>
      <xdr:rowOff>131885</xdr:rowOff>
    </xdr:from>
    <xdr:to>
      <xdr:col>35</xdr:col>
      <xdr:colOff>571500</xdr:colOff>
      <xdr:row>9</xdr:row>
      <xdr:rowOff>131885</xdr:rowOff>
    </xdr:to>
    <xdr:cxnSp macro="">
      <xdr:nvCxnSpPr>
        <xdr:cNvPr id="73" name="Straight Arrow Connector 72">
          <a:extLst>
            <a:ext uri="{FF2B5EF4-FFF2-40B4-BE49-F238E27FC236}">
              <a16:creationId xmlns:a16="http://schemas.microsoft.com/office/drawing/2014/main" xmlns="" id="{00000000-0008-0000-0500-000049000000}"/>
            </a:ext>
          </a:extLst>
        </xdr:cNvPr>
        <xdr:cNvCxnSpPr/>
      </xdr:nvCxnSpPr>
      <xdr:spPr>
        <a:xfrm>
          <a:off x="20867077" y="1897673"/>
          <a:ext cx="9891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586154</xdr:colOff>
      <xdr:row>8</xdr:row>
      <xdr:rowOff>183173</xdr:rowOff>
    </xdr:from>
    <xdr:ext cx="990600" cy="266700"/>
    <xdr:sp macro="" textlink="">
      <xdr:nvSpPr>
        <xdr:cNvPr id="76" name="TextBox 75">
          <a:extLst>
            <a:ext uri="{FF2B5EF4-FFF2-40B4-BE49-F238E27FC236}">
              <a16:creationId xmlns:a16="http://schemas.microsoft.com/office/drawing/2014/main" xmlns="" id="{00000000-0008-0000-0500-00004C000000}"/>
            </a:ext>
          </a:extLst>
        </xdr:cNvPr>
        <xdr:cNvSpPr txBox="1"/>
      </xdr:nvSpPr>
      <xdr:spPr>
        <a:xfrm>
          <a:off x="22479000" y="1736481"/>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RTC_CLKOUT</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xdr:col>
      <xdr:colOff>542925</xdr:colOff>
      <xdr:row>0</xdr:row>
      <xdr:rowOff>66675</xdr:rowOff>
    </xdr:from>
    <xdr:ext cx="4840942" cy="895348"/>
    <xdr:sp macro="" textlink="">
      <xdr:nvSpPr>
        <xdr:cNvPr id="2" name="TextBox 1">
          <a:extLst>
            <a:ext uri="{FF2B5EF4-FFF2-40B4-BE49-F238E27FC236}">
              <a16:creationId xmlns:a16="http://schemas.microsoft.com/office/drawing/2014/main" xmlns="" id="{00000000-0008-0000-0600-000002000000}"/>
            </a:ext>
          </a:extLst>
        </xdr:cNvPr>
        <xdr:cNvSpPr txBox="1"/>
      </xdr:nvSpPr>
      <xdr:spPr>
        <a:xfrm>
          <a:off x="1762125" y="66675"/>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S32K148 SAI Clocking In-Depth</a:t>
          </a:r>
        </a:p>
      </xdr:txBody>
    </xdr:sp>
    <xdr:clientData/>
  </xdr:oneCellAnchor>
  <xdr:oneCellAnchor>
    <xdr:from>
      <xdr:col>0</xdr:col>
      <xdr:colOff>504825</xdr:colOff>
      <xdr:row>5</xdr:row>
      <xdr:rowOff>133350</xdr:rowOff>
    </xdr:from>
    <xdr:ext cx="847725" cy="266700"/>
    <xdr:sp macro="" textlink="">
      <xdr:nvSpPr>
        <xdr:cNvPr id="3" name="TextBox 2">
          <a:hlinkClick xmlns:r="http://schemas.openxmlformats.org/officeDocument/2006/relationships" r:id="rId1"/>
          <a:extLst>
            <a:ext uri="{FF2B5EF4-FFF2-40B4-BE49-F238E27FC236}">
              <a16:creationId xmlns:a16="http://schemas.microsoft.com/office/drawing/2014/main" xmlns="" id="{00000000-0008-0000-0600-000003000000}"/>
            </a:ext>
          </a:extLst>
        </xdr:cNvPr>
        <xdr:cNvSpPr txBox="1"/>
      </xdr:nvSpPr>
      <xdr:spPr>
        <a:xfrm>
          <a:off x="504825" y="10858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BUS_CLK</a:t>
          </a:r>
        </a:p>
      </xdr:txBody>
    </xdr:sp>
    <xdr:clientData/>
  </xdr:oneCellAnchor>
  <xdr:twoCellAnchor>
    <xdr:from>
      <xdr:col>1</xdr:col>
      <xdr:colOff>302173</xdr:colOff>
      <xdr:row>8</xdr:row>
      <xdr:rowOff>13138</xdr:rowOff>
    </xdr:from>
    <xdr:to>
      <xdr:col>1</xdr:col>
      <xdr:colOff>302173</xdr:colOff>
      <xdr:row>105</xdr:row>
      <xdr:rowOff>173935</xdr:rowOff>
    </xdr:to>
    <xdr:cxnSp macro="">
      <xdr:nvCxnSpPr>
        <xdr:cNvPr id="4" name="Straight Arrow Connector 3">
          <a:extLst>
            <a:ext uri="{FF2B5EF4-FFF2-40B4-BE49-F238E27FC236}">
              <a16:creationId xmlns:a16="http://schemas.microsoft.com/office/drawing/2014/main" xmlns="" id="{00000000-0008-0000-0600-000004000000}"/>
            </a:ext>
          </a:extLst>
        </xdr:cNvPr>
        <xdr:cNvCxnSpPr/>
      </xdr:nvCxnSpPr>
      <xdr:spPr>
        <a:xfrm>
          <a:off x="915086" y="1561986"/>
          <a:ext cx="0" cy="19061710"/>
        </a:xfrm>
        <a:prstGeom prst="straightConnector1">
          <a:avLst/>
        </a:prstGeom>
        <a:ln w="19050">
          <a:solidFill>
            <a:schemeClr val="accent2">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xdr:col>
      <xdr:colOff>466725</xdr:colOff>
      <xdr:row>5</xdr:row>
      <xdr:rowOff>133350</xdr:rowOff>
    </xdr:from>
    <xdr:ext cx="990600" cy="266700"/>
    <xdr:sp macro="" textlink="">
      <xdr:nvSpPr>
        <xdr:cNvPr id="21" name="TextBox 20">
          <a:hlinkClick xmlns:r="http://schemas.openxmlformats.org/officeDocument/2006/relationships" r:id="rId2"/>
          <a:extLst>
            <a:ext uri="{FF2B5EF4-FFF2-40B4-BE49-F238E27FC236}">
              <a16:creationId xmlns:a16="http://schemas.microsoft.com/office/drawing/2014/main" xmlns="" id="{00000000-0008-0000-0600-000015000000}"/>
            </a:ext>
          </a:extLst>
        </xdr:cNvPr>
        <xdr:cNvSpPr txBox="1"/>
      </xdr:nvSpPr>
      <xdr:spPr>
        <a:xfrm>
          <a:off x="1685925" y="10858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SOSCDIV1_CLK</a:t>
          </a:r>
        </a:p>
      </xdr:txBody>
    </xdr:sp>
    <xdr:clientData/>
  </xdr:oneCellAnchor>
  <xdr:twoCellAnchor>
    <xdr:from>
      <xdr:col>3</xdr:col>
      <xdr:colOff>304800</xdr:colOff>
      <xdr:row>8</xdr:row>
      <xdr:rowOff>9526</xdr:rowOff>
    </xdr:from>
    <xdr:to>
      <xdr:col>3</xdr:col>
      <xdr:colOff>304800</xdr:colOff>
      <xdr:row>105</xdr:row>
      <xdr:rowOff>182217</xdr:rowOff>
    </xdr:to>
    <xdr:cxnSp macro="">
      <xdr:nvCxnSpPr>
        <xdr:cNvPr id="22" name="Straight Arrow Connector 21">
          <a:extLst>
            <a:ext uri="{FF2B5EF4-FFF2-40B4-BE49-F238E27FC236}">
              <a16:creationId xmlns:a16="http://schemas.microsoft.com/office/drawing/2014/main" xmlns="" id="{00000000-0008-0000-0600-000016000000}"/>
            </a:ext>
          </a:extLst>
        </xdr:cNvPr>
        <xdr:cNvCxnSpPr/>
      </xdr:nvCxnSpPr>
      <xdr:spPr>
        <a:xfrm flipV="1">
          <a:off x="2143539" y="1558374"/>
          <a:ext cx="0" cy="19073604"/>
        </a:xfrm>
        <a:prstGeom prst="straightConnector1">
          <a:avLst/>
        </a:prstGeom>
        <a:ln w="38100">
          <a:solidFill>
            <a:srgbClr val="FF00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514350</xdr:colOff>
      <xdr:row>5</xdr:row>
      <xdr:rowOff>133350</xdr:rowOff>
    </xdr:from>
    <xdr:ext cx="847725" cy="266700"/>
    <xdr:sp macro="" textlink="">
      <xdr:nvSpPr>
        <xdr:cNvPr id="25" name="TextBox 24">
          <a:hlinkClick xmlns:r="http://schemas.openxmlformats.org/officeDocument/2006/relationships" r:id="rId3"/>
          <a:extLst>
            <a:ext uri="{FF2B5EF4-FFF2-40B4-BE49-F238E27FC236}">
              <a16:creationId xmlns:a16="http://schemas.microsoft.com/office/drawing/2014/main" xmlns="" id="{00000000-0008-0000-0600-000019000000}"/>
            </a:ext>
          </a:extLst>
        </xdr:cNvPr>
        <xdr:cNvSpPr txBox="1"/>
      </xdr:nvSpPr>
      <xdr:spPr>
        <a:xfrm>
          <a:off x="2952750" y="10858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MCLK[x]</a:t>
          </a:r>
        </a:p>
      </xdr:txBody>
    </xdr:sp>
    <xdr:clientData/>
  </xdr:oneCellAnchor>
  <xdr:twoCellAnchor>
    <xdr:from>
      <xdr:col>5</xdr:col>
      <xdr:colOff>314327</xdr:colOff>
      <xdr:row>8</xdr:row>
      <xdr:rowOff>19050</xdr:rowOff>
    </xdr:from>
    <xdr:to>
      <xdr:col>5</xdr:col>
      <xdr:colOff>314328</xdr:colOff>
      <xdr:row>105</xdr:row>
      <xdr:rowOff>165652</xdr:rowOff>
    </xdr:to>
    <xdr:cxnSp macro="">
      <xdr:nvCxnSpPr>
        <xdr:cNvPr id="26" name="Straight Arrow Connector 25">
          <a:extLst>
            <a:ext uri="{FF2B5EF4-FFF2-40B4-BE49-F238E27FC236}">
              <a16:creationId xmlns:a16="http://schemas.microsoft.com/office/drawing/2014/main" xmlns="" id="{00000000-0008-0000-0600-00001A000000}"/>
            </a:ext>
          </a:extLst>
        </xdr:cNvPr>
        <xdr:cNvCxnSpPr/>
      </xdr:nvCxnSpPr>
      <xdr:spPr>
        <a:xfrm flipH="1">
          <a:off x="3378892" y="1567898"/>
          <a:ext cx="1" cy="19047515"/>
        </a:xfrm>
        <a:prstGeom prst="straightConnector1">
          <a:avLst/>
        </a:prstGeom>
        <a:ln w="19050">
          <a:solidFill>
            <a:schemeClr val="accent4">
              <a:lumMod val="40000"/>
              <a:lumOff val="6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495300</xdr:colOff>
      <xdr:row>5</xdr:row>
      <xdr:rowOff>142875</xdr:rowOff>
    </xdr:from>
    <xdr:ext cx="847725" cy="266700"/>
    <xdr:sp macro="" textlink="">
      <xdr:nvSpPr>
        <xdr:cNvPr id="28" name="TextBox 27">
          <a:hlinkClick xmlns:r="http://schemas.openxmlformats.org/officeDocument/2006/relationships" r:id="rId4"/>
          <a:extLst>
            <a:ext uri="{FF2B5EF4-FFF2-40B4-BE49-F238E27FC236}">
              <a16:creationId xmlns:a16="http://schemas.microsoft.com/office/drawing/2014/main" xmlns="" id="{00000000-0008-0000-0600-00001C000000}"/>
            </a:ext>
          </a:extLst>
        </xdr:cNvPr>
        <xdr:cNvSpPr txBox="1"/>
      </xdr:nvSpPr>
      <xdr:spPr>
        <a:xfrm>
          <a:off x="4152900" y="109537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MCLK[y]</a:t>
          </a:r>
        </a:p>
      </xdr:txBody>
    </xdr:sp>
    <xdr:clientData/>
  </xdr:oneCellAnchor>
  <xdr:twoCellAnchor>
    <xdr:from>
      <xdr:col>7</xdr:col>
      <xdr:colOff>314328</xdr:colOff>
      <xdr:row>8</xdr:row>
      <xdr:rowOff>19050</xdr:rowOff>
    </xdr:from>
    <xdr:to>
      <xdr:col>7</xdr:col>
      <xdr:colOff>314329</xdr:colOff>
      <xdr:row>105</xdr:row>
      <xdr:rowOff>182217</xdr:rowOff>
    </xdr:to>
    <xdr:cxnSp macro="">
      <xdr:nvCxnSpPr>
        <xdr:cNvPr id="29" name="Straight Arrow Connector 28">
          <a:extLst>
            <a:ext uri="{FF2B5EF4-FFF2-40B4-BE49-F238E27FC236}">
              <a16:creationId xmlns:a16="http://schemas.microsoft.com/office/drawing/2014/main" xmlns="" id="{00000000-0008-0000-0600-00001D000000}"/>
            </a:ext>
          </a:extLst>
        </xdr:cNvPr>
        <xdr:cNvCxnSpPr/>
      </xdr:nvCxnSpPr>
      <xdr:spPr>
        <a:xfrm flipH="1">
          <a:off x="4604719" y="1567898"/>
          <a:ext cx="1" cy="19064080"/>
        </a:xfrm>
        <a:prstGeom prst="straightConnector1">
          <a:avLst/>
        </a:prstGeom>
        <a:ln w="19050">
          <a:solidFill>
            <a:srgbClr val="92D05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419100</xdr:colOff>
      <xdr:row>19</xdr:row>
      <xdr:rowOff>85725</xdr:rowOff>
    </xdr:from>
    <xdr:to>
      <xdr:col>20</xdr:col>
      <xdr:colOff>217359</xdr:colOff>
      <xdr:row>23</xdr:row>
      <xdr:rowOff>194275</xdr:rowOff>
    </xdr:to>
    <xdr:sp macro="" textlink="">
      <xdr:nvSpPr>
        <xdr:cNvPr id="32" name="Rectangle 31">
          <a:extLst>
            <a:ext uri="{FF2B5EF4-FFF2-40B4-BE49-F238E27FC236}">
              <a16:creationId xmlns:a16="http://schemas.microsoft.com/office/drawing/2014/main" xmlns="" id="{00000000-0008-0000-0600-000020000000}"/>
            </a:ext>
          </a:extLst>
        </xdr:cNvPr>
        <xdr:cNvSpPr/>
      </xdr:nvSpPr>
      <xdr:spPr>
        <a:xfrm>
          <a:off x="11391900" y="3819525"/>
          <a:ext cx="1017459" cy="870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RX Master Clock Select</a:t>
          </a:r>
        </a:p>
        <a:p>
          <a:pPr algn="ctr"/>
          <a:r>
            <a:rPr lang="en-US" sz="900"/>
            <a:t>SAI0_RCR2[MSEL]</a:t>
          </a:r>
        </a:p>
      </xdr:txBody>
    </xdr:sp>
    <xdr:clientData/>
  </xdr:twoCellAnchor>
  <xdr:twoCellAnchor>
    <xdr:from>
      <xdr:col>12</xdr:col>
      <xdr:colOff>409575</xdr:colOff>
      <xdr:row>8</xdr:row>
      <xdr:rowOff>171450</xdr:rowOff>
    </xdr:from>
    <xdr:to>
      <xdr:col>14</xdr:col>
      <xdr:colOff>207834</xdr:colOff>
      <xdr:row>13</xdr:row>
      <xdr:rowOff>168428</xdr:rowOff>
    </xdr:to>
    <xdr:sp macro="" textlink="">
      <xdr:nvSpPr>
        <xdr:cNvPr id="33" name="Rectangle 32">
          <a:extLst>
            <a:ext uri="{FF2B5EF4-FFF2-40B4-BE49-F238E27FC236}">
              <a16:creationId xmlns:a16="http://schemas.microsoft.com/office/drawing/2014/main" xmlns="" id="{00000000-0008-0000-0600-000021000000}"/>
            </a:ext>
          </a:extLst>
        </xdr:cNvPr>
        <xdr:cNvSpPr/>
      </xdr:nvSpPr>
      <xdr:spPr>
        <a:xfrm>
          <a:off x="7724775" y="1724025"/>
          <a:ext cx="1017459" cy="9590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SAI0 Clock Enable</a:t>
          </a:r>
          <a:endParaRPr lang="en-US" sz="1100" baseline="0"/>
        </a:p>
        <a:p>
          <a:pPr algn="ctr"/>
          <a:r>
            <a:rPr lang="en-US" sz="900"/>
            <a:t>PCC_SAI0[CGC]</a:t>
          </a:r>
        </a:p>
      </xdr:txBody>
    </xdr:sp>
    <xdr:clientData/>
  </xdr:twoCellAnchor>
  <xdr:twoCellAnchor>
    <xdr:from>
      <xdr:col>1</xdr:col>
      <xdr:colOff>308134</xdr:colOff>
      <xdr:row>11</xdr:row>
      <xdr:rowOff>95250</xdr:rowOff>
    </xdr:from>
    <xdr:to>
      <xdr:col>12</xdr:col>
      <xdr:colOff>409575</xdr:colOff>
      <xdr:row>11</xdr:row>
      <xdr:rowOff>95250</xdr:rowOff>
    </xdr:to>
    <xdr:cxnSp macro="">
      <xdr:nvCxnSpPr>
        <xdr:cNvPr id="34" name="Straight Arrow Connector 33">
          <a:extLst>
            <a:ext uri="{FF2B5EF4-FFF2-40B4-BE49-F238E27FC236}">
              <a16:creationId xmlns:a16="http://schemas.microsoft.com/office/drawing/2014/main" xmlns="" id="{00000000-0008-0000-0600-000022000000}"/>
            </a:ext>
          </a:extLst>
        </xdr:cNvPr>
        <xdr:cNvCxnSpPr/>
      </xdr:nvCxnSpPr>
      <xdr:spPr>
        <a:xfrm>
          <a:off x="917734" y="2228850"/>
          <a:ext cx="680704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571500</xdr:colOff>
      <xdr:row>15</xdr:row>
      <xdr:rowOff>0</xdr:rowOff>
    </xdr:from>
    <xdr:ext cx="860534" cy="367862"/>
    <xdr:sp macro="" textlink="">
      <xdr:nvSpPr>
        <xdr:cNvPr id="37" name="TextBox 36">
          <a:extLst>
            <a:ext uri="{FF2B5EF4-FFF2-40B4-BE49-F238E27FC236}">
              <a16:creationId xmlns:a16="http://schemas.microsoft.com/office/drawing/2014/main" xmlns="" id="{00000000-0008-0000-0600-000025000000}"/>
            </a:ext>
          </a:extLst>
        </xdr:cNvPr>
        <xdr:cNvSpPr txBox="1"/>
      </xdr:nvSpPr>
      <xdr:spPr>
        <a:xfrm>
          <a:off x="7886700" y="2924175"/>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14</xdr:col>
      <xdr:colOff>228600</xdr:colOff>
      <xdr:row>12</xdr:row>
      <xdr:rowOff>19050</xdr:rowOff>
    </xdr:from>
    <xdr:to>
      <xdr:col>48</xdr:col>
      <xdr:colOff>361950</xdr:colOff>
      <xdr:row>12</xdr:row>
      <xdr:rowOff>19050</xdr:rowOff>
    </xdr:to>
    <xdr:cxnSp macro="">
      <xdr:nvCxnSpPr>
        <xdr:cNvPr id="38" name="Straight Arrow Connector 37">
          <a:extLst>
            <a:ext uri="{FF2B5EF4-FFF2-40B4-BE49-F238E27FC236}">
              <a16:creationId xmlns:a16="http://schemas.microsoft.com/office/drawing/2014/main" xmlns="" id="{00000000-0008-0000-0600-000026000000}"/>
            </a:ext>
          </a:extLst>
        </xdr:cNvPr>
        <xdr:cNvCxnSpPr/>
      </xdr:nvCxnSpPr>
      <xdr:spPr>
        <a:xfrm>
          <a:off x="8763000" y="2371725"/>
          <a:ext cx="208597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523878</xdr:colOff>
      <xdr:row>12</xdr:row>
      <xdr:rowOff>9525</xdr:rowOff>
    </xdr:from>
    <xdr:to>
      <xdr:col>14</xdr:col>
      <xdr:colOff>523879</xdr:colOff>
      <xdr:row>34</xdr:row>
      <xdr:rowOff>157369</xdr:rowOff>
    </xdr:to>
    <xdr:cxnSp macro="">
      <xdr:nvCxnSpPr>
        <xdr:cNvPr id="40" name="Straight Arrow Connector 39">
          <a:extLst>
            <a:ext uri="{FF2B5EF4-FFF2-40B4-BE49-F238E27FC236}">
              <a16:creationId xmlns:a16="http://schemas.microsoft.com/office/drawing/2014/main" xmlns="" id="{00000000-0008-0000-0600-000028000000}"/>
            </a:ext>
          </a:extLst>
        </xdr:cNvPr>
        <xdr:cNvCxnSpPr/>
      </xdr:nvCxnSpPr>
      <xdr:spPr>
        <a:xfrm flipH="1">
          <a:off x="9104661" y="2353503"/>
          <a:ext cx="1" cy="456247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523875</xdr:colOff>
      <xdr:row>19</xdr:row>
      <xdr:rowOff>133350</xdr:rowOff>
    </xdr:from>
    <xdr:to>
      <xdr:col>18</xdr:col>
      <xdr:colOff>390525</xdr:colOff>
      <xdr:row>19</xdr:row>
      <xdr:rowOff>133350</xdr:rowOff>
    </xdr:to>
    <xdr:cxnSp macro="">
      <xdr:nvCxnSpPr>
        <xdr:cNvPr id="42" name="Straight Arrow Connector 41">
          <a:extLst>
            <a:ext uri="{FF2B5EF4-FFF2-40B4-BE49-F238E27FC236}">
              <a16:creationId xmlns:a16="http://schemas.microsoft.com/office/drawing/2014/main" xmlns="" id="{00000000-0008-0000-0600-00002A000000}"/>
            </a:ext>
          </a:extLst>
        </xdr:cNvPr>
        <xdr:cNvCxnSpPr/>
      </xdr:nvCxnSpPr>
      <xdr:spPr>
        <a:xfrm>
          <a:off x="9058275" y="3867150"/>
          <a:ext cx="2305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310666</xdr:colOff>
      <xdr:row>20</xdr:row>
      <xdr:rowOff>104775</xdr:rowOff>
    </xdr:from>
    <xdr:to>
      <xdr:col>18</xdr:col>
      <xdr:colOff>409575</xdr:colOff>
      <xdr:row>20</xdr:row>
      <xdr:rowOff>104775</xdr:rowOff>
    </xdr:to>
    <xdr:cxnSp macro="">
      <xdr:nvCxnSpPr>
        <xdr:cNvPr id="44" name="Straight Arrow Connector 43">
          <a:extLst>
            <a:ext uri="{FF2B5EF4-FFF2-40B4-BE49-F238E27FC236}">
              <a16:creationId xmlns:a16="http://schemas.microsoft.com/office/drawing/2014/main" xmlns="" id="{00000000-0008-0000-0600-00002C000000}"/>
            </a:ext>
          </a:extLst>
        </xdr:cNvPr>
        <xdr:cNvCxnSpPr/>
      </xdr:nvCxnSpPr>
      <xdr:spPr>
        <a:xfrm>
          <a:off x="3358666" y="4029075"/>
          <a:ext cx="8023709" cy="0"/>
        </a:xfrm>
        <a:prstGeom prst="straightConnector1">
          <a:avLst/>
        </a:prstGeom>
        <a:ln w="19050">
          <a:solidFill>
            <a:schemeClr val="accent4">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323850</xdr:colOff>
      <xdr:row>21</xdr:row>
      <xdr:rowOff>142875</xdr:rowOff>
    </xdr:from>
    <xdr:to>
      <xdr:col>18</xdr:col>
      <xdr:colOff>400050</xdr:colOff>
      <xdr:row>21</xdr:row>
      <xdr:rowOff>142875</xdr:rowOff>
    </xdr:to>
    <xdr:cxnSp macro="">
      <xdr:nvCxnSpPr>
        <xdr:cNvPr id="48" name="Straight Arrow Connector 47">
          <a:extLst>
            <a:ext uri="{FF2B5EF4-FFF2-40B4-BE49-F238E27FC236}">
              <a16:creationId xmlns:a16="http://schemas.microsoft.com/office/drawing/2014/main" xmlns="" id="{00000000-0008-0000-0600-000030000000}"/>
            </a:ext>
          </a:extLst>
        </xdr:cNvPr>
        <xdr:cNvCxnSpPr/>
      </xdr:nvCxnSpPr>
      <xdr:spPr>
        <a:xfrm>
          <a:off x="2152650" y="4257675"/>
          <a:ext cx="92202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312859</xdr:colOff>
      <xdr:row>23</xdr:row>
      <xdr:rowOff>66675</xdr:rowOff>
    </xdr:from>
    <xdr:to>
      <xdr:col>18</xdr:col>
      <xdr:colOff>400050</xdr:colOff>
      <xdr:row>23</xdr:row>
      <xdr:rowOff>66675</xdr:rowOff>
    </xdr:to>
    <xdr:cxnSp macro="">
      <xdr:nvCxnSpPr>
        <xdr:cNvPr id="50" name="Straight Arrow Connector 49">
          <a:extLst>
            <a:ext uri="{FF2B5EF4-FFF2-40B4-BE49-F238E27FC236}">
              <a16:creationId xmlns:a16="http://schemas.microsoft.com/office/drawing/2014/main" xmlns="" id="{00000000-0008-0000-0600-000032000000}"/>
            </a:ext>
          </a:extLst>
        </xdr:cNvPr>
        <xdr:cNvCxnSpPr/>
      </xdr:nvCxnSpPr>
      <xdr:spPr>
        <a:xfrm>
          <a:off x="4580059" y="4562475"/>
          <a:ext cx="6792791" cy="0"/>
        </a:xfrm>
        <a:prstGeom prst="straightConnector1">
          <a:avLst/>
        </a:prstGeom>
        <a:ln w="19050">
          <a:solidFill>
            <a:srgbClr val="92D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419100</xdr:colOff>
      <xdr:row>9</xdr:row>
      <xdr:rowOff>123825</xdr:rowOff>
    </xdr:from>
    <xdr:ext cx="1066800" cy="266700"/>
    <xdr:sp macro="" textlink="">
      <xdr:nvSpPr>
        <xdr:cNvPr id="57" name="TextBox 56">
          <a:extLst>
            <a:ext uri="{FF2B5EF4-FFF2-40B4-BE49-F238E27FC236}">
              <a16:creationId xmlns:a16="http://schemas.microsoft.com/office/drawing/2014/main" xmlns="" id="{00000000-0008-0000-0600-000039000000}"/>
            </a:ext>
          </a:extLst>
        </xdr:cNvPr>
        <xdr:cNvSpPr txBox="1"/>
      </xdr:nvSpPr>
      <xdr:spPr>
        <a:xfrm>
          <a:off x="8953500" y="1876425"/>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Module Clock</a:t>
          </a:r>
        </a:p>
      </xdr:txBody>
    </xdr:sp>
    <xdr:clientData/>
  </xdr:oneCellAnchor>
  <xdr:oneCellAnchor>
    <xdr:from>
      <xdr:col>18</xdr:col>
      <xdr:colOff>561975</xdr:colOff>
      <xdr:row>25</xdr:row>
      <xdr:rowOff>28574</xdr:rowOff>
    </xdr:from>
    <xdr:ext cx="1066800" cy="619125"/>
    <xdr:sp macro="" textlink="">
      <xdr:nvSpPr>
        <xdr:cNvPr id="58" name="TextBox 57">
          <a:extLst>
            <a:ext uri="{FF2B5EF4-FFF2-40B4-BE49-F238E27FC236}">
              <a16:creationId xmlns:a16="http://schemas.microsoft.com/office/drawing/2014/main" xmlns="" id="{00000000-0008-0000-0600-00003A000000}"/>
            </a:ext>
          </a:extLst>
        </xdr:cNvPr>
        <xdr:cNvSpPr txBox="1"/>
      </xdr:nvSpPr>
      <xdr:spPr>
        <a:xfrm>
          <a:off x="11534775" y="4933949"/>
          <a:ext cx="1066800"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Module</a:t>
          </a:r>
          <a:r>
            <a:rPr lang="en-US" sz="800" baseline="0"/>
            <a:t> Clock</a:t>
          </a:r>
          <a:endParaRPr lang="en-US" sz="800"/>
        </a:p>
        <a:p>
          <a:r>
            <a:rPr lang="en-US" sz="800"/>
            <a:t>1 - MCLK[x]</a:t>
          </a:r>
        </a:p>
        <a:p>
          <a:r>
            <a:rPr lang="en-US" sz="800"/>
            <a:t>2</a:t>
          </a:r>
          <a:r>
            <a:rPr lang="en-US" sz="800" baseline="0"/>
            <a:t> - SOSCDIV1_CLK</a:t>
          </a:r>
        </a:p>
        <a:p>
          <a:r>
            <a:rPr lang="en-US" sz="800" baseline="0"/>
            <a:t>3 - MCLK[y]</a:t>
          </a:r>
          <a:endParaRPr lang="en-US" sz="800"/>
        </a:p>
      </xdr:txBody>
    </xdr:sp>
    <xdr:clientData/>
  </xdr:oneCellAnchor>
  <xdr:twoCellAnchor>
    <xdr:from>
      <xdr:col>20</xdr:col>
      <xdr:colOff>238125</xdr:colOff>
      <xdr:row>21</xdr:row>
      <xdr:rowOff>21945</xdr:rowOff>
    </xdr:from>
    <xdr:to>
      <xdr:col>48</xdr:col>
      <xdr:colOff>381000</xdr:colOff>
      <xdr:row>21</xdr:row>
      <xdr:rowOff>21945</xdr:rowOff>
    </xdr:to>
    <xdr:cxnSp macro="">
      <xdr:nvCxnSpPr>
        <xdr:cNvPr id="59" name="Straight Arrow Connector 58">
          <a:extLst>
            <a:ext uri="{FF2B5EF4-FFF2-40B4-BE49-F238E27FC236}">
              <a16:creationId xmlns:a16="http://schemas.microsoft.com/office/drawing/2014/main" xmlns="" id="{00000000-0008-0000-0600-00003B000000}"/>
            </a:ext>
          </a:extLst>
        </xdr:cNvPr>
        <xdr:cNvCxnSpPr/>
      </xdr:nvCxnSpPr>
      <xdr:spPr>
        <a:xfrm>
          <a:off x="12430125" y="4165320"/>
          <a:ext cx="172116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390525</xdr:colOff>
      <xdr:row>34</xdr:row>
      <xdr:rowOff>36858</xdr:rowOff>
    </xdr:from>
    <xdr:to>
      <xdr:col>20</xdr:col>
      <xdr:colOff>188784</xdr:colOff>
      <xdr:row>38</xdr:row>
      <xdr:rowOff>183508</xdr:rowOff>
    </xdr:to>
    <xdr:sp macro="" textlink="">
      <xdr:nvSpPr>
        <xdr:cNvPr id="60" name="Rectangle 59">
          <a:extLst>
            <a:ext uri="{FF2B5EF4-FFF2-40B4-BE49-F238E27FC236}">
              <a16:creationId xmlns:a16="http://schemas.microsoft.com/office/drawing/2014/main" xmlns="" id="{00000000-0008-0000-0600-00003C000000}"/>
            </a:ext>
          </a:extLst>
        </xdr:cNvPr>
        <xdr:cNvSpPr/>
      </xdr:nvSpPr>
      <xdr:spPr>
        <a:xfrm>
          <a:off x="11422960" y="6795467"/>
          <a:ext cx="1024085" cy="91693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TX Master Clock Select</a:t>
          </a:r>
        </a:p>
        <a:p>
          <a:pPr algn="ctr"/>
          <a:r>
            <a:rPr lang="en-US" sz="900"/>
            <a:t>SAI0_TCR2[MSEL]</a:t>
          </a:r>
        </a:p>
      </xdr:txBody>
    </xdr:sp>
    <xdr:clientData/>
  </xdr:twoCellAnchor>
  <xdr:oneCellAnchor>
    <xdr:from>
      <xdr:col>18</xdr:col>
      <xdr:colOff>552450</xdr:colOff>
      <xdr:row>39</xdr:row>
      <xdr:rowOff>183459</xdr:rowOff>
    </xdr:from>
    <xdr:ext cx="1066800" cy="619125"/>
    <xdr:sp macro="" textlink="">
      <xdr:nvSpPr>
        <xdr:cNvPr id="61" name="TextBox 60">
          <a:extLst>
            <a:ext uri="{FF2B5EF4-FFF2-40B4-BE49-F238E27FC236}">
              <a16:creationId xmlns:a16="http://schemas.microsoft.com/office/drawing/2014/main" xmlns="" id="{00000000-0008-0000-0600-00003D000000}"/>
            </a:ext>
          </a:extLst>
        </xdr:cNvPr>
        <xdr:cNvSpPr txBox="1"/>
      </xdr:nvSpPr>
      <xdr:spPr>
        <a:xfrm>
          <a:off x="11584885" y="7919416"/>
          <a:ext cx="1066800"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Module</a:t>
          </a:r>
          <a:r>
            <a:rPr lang="en-US" sz="800" baseline="0"/>
            <a:t> Clock</a:t>
          </a:r>
          <a:endParaRPr lang="en-US" sz="800"/>
        </a:p>
        <a:p>
          <a:r>
            <a:rPr lang="en-US" sz="800"/>
            <a:t>1 - MCLK[x]</a:t>
          </a:r>
        </a:p>
        <a:p>
          <a:r>
            <a:rPr lang="en-US" sz="800"/>
            <a:t>2</a:t>
          </a:r>
          <a:r>
            <a:rPr lang="en-US" sz="800" baseline="0"/>
            <a:t> - SOSCDIV1_CLK</a:t>
          </a:r>
        </a:p>
        <a:p>
          <a:r>
            <a:rPr lang="en-US" sz="800" baseline="0"/>
            <a:t>3 - MCLK[y]</a:t>
          </a:r>
          <a:endParaRPr lang="en-US" sz="800"/>
        </a:p>
      </xdr:txBody>
    </xdr:sp>
    <xdr:clientData/>
  </xdr:oneCellAnchor>
  <xdr:twoCellAnchor>
    <xdr:from>
      <xdr:col>14</xdr:col>
      <xdr:colOff>523875</xdr:colOff>
      <xdr:row>34</xdr:row>
      <xdr:rowOff>136665</xdr:rowOff>
    </xdr:from>
    <xdr:to>
      <xdr:col>18</xdr:col>
      <xdr:colOff>390525</xdr:colOff>
      <xdr:row>34</xdr:row>
      <xdr:rowOff>136665</xdr:rowOff>
    </xdr:to>
    <xdr:cxnSp macro="">
      <xdr:nvCxnSpPr>
        <xdr:cNvPr id="63" name="Straight Arrow Connector 62">
          <a:extLst>
            <a:ext uri="{FF2B5EF4-FFF2-40B4-BE49-F238E27FC236}">
              <a16:creationId xmlns:a16="http://schemas.microsoft.com/office/drawing/2014/main" xmlns="" id="{00000000-0008-0000-0600-00003F000000}"/>
            </a:ext>
          </a:extLst>
        </xdr:cNvPr>
        <xdr:cNvCxnSpPr/>
      </xdr:nvCxnSpPr>
      <xdr:spPr>
        <a:xfrm>
          <a:off x="9104658" y="6895274"/>
          <a:ext cx="231830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304800</xdr:colOff>
      <xdr:row>35</xdr:row>
      <xdr:rowOff>154472</xdr:rowOff>
    </xdr:from>
    <xdr:to>
      <xdr:col>18</xdr:col>
      <xdr:colOff>364435</xdr:colOff>
      <xdr:row>35</xdr:row>
      <xdr:rowOff>154472</xdr:rowOff>
    </xdr:to>
    <xdr:cxnSp macro="">
      <xdr:nvCxnSpPr>
        <xdr:cNvPr id="64" name="Straight Arrow Connector 63">
          <a:extLst>
            <a:ext uri="{FF2B5EF4-FFF2-40B4-BE49-F238E27FC236}">
              <a16:creationId xmlns:a16="http://schemas.microsoft.com/office/drawing/2014/main" xmlns="" id="{00000000-0008-0000-0600-000040000000}"/>
            </a:ext>
          </a:extLst>
        </xdr:cNvPr>
        <xdr:cNvCxnSpPr/>
      </xdr:nvCxnSpPr>
      <xdr:spPr>
        <a:xfrm>
          <a:off x="3369365" y="7103581"/>
          <a:ext cx="8027505" cy="0"/>
        </a:xfrm>
        <a:prstGeom prst="straightConnector1">
          <a:avLst/>
        </a:prstGeom>
        <a:ln w="19050">
          <a:solidFill>
            <a:schemeClr val="accent4">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295275</xdr:colOff>
      <xdr:row>36</xdr:row>
      <xdr:rowOff>171038</xdr:rowOff>
    </xdr:from>
    <xdr:to>
      <xdr:col>18</xdr:col>
      <xdr:colOff>371475</xdr:colOff>
      <xdr:row>36</xdr:row>
      <xdr:rowOff>171038</xdr:rowOff>
    </xdr:to>
    <xdr:cxnSp macro="">
      <xdr:nvCxnSpPr>
        <xdr:cNvPr id="65" name="Straight Arrow Connector 64">
          <a:extLst>
            <a:ext uri="{FF2B5EF4-FFF2-40B4-BE49-F238E27FC236}">
              <a16:creationId xmlns:a16="http://schemas.microsoft.com/office/drawing/2014/main" xmlns="" id="{00000000-0008-0000-0600-000041000000}"/>
            </a:ext>
          </a:extLst>
        </xdr:cNvPr>
        <xdr:cNvCxnSpPr/>
      </xdr:nvCxnSpPr>
      <xdr:spPr>
        <a:xfrm>
          <a:off x="2134014" y="7310647"/>
          <a:ext cx="9269896"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314325</xdr:colOff>
      <xdr:row>38</xdr:row>
      <xdr:rowOff>29406</xdr:rowOff>
    </xdr:from>
    <xdr:to>
      <xdr:col>18</xdr:col>
      <xdr:colOff>381000</xdr:colOff>
      <xdr:row>38</xdr:row>
      <xdr:rowOff>29406</xdr:rowOff>
    </xdr:to>
    <xdr:cxnSp macro="">
      <xdr:nvCxnSpPr>
        <xdr:cNvPr id="66" name="Straight Arrow Connector 65">
          <a:extLst>
            <a:ext uri="{FF2B5EF4-FFF2-40B4-BE49-F238E27FC236}">
              <a16:creationId xmlns:a16="http://schemas.microsoft.com/office/drawing/2014/main" xmlns="" id="{00000000-0008-0000-0600-000042000000}"/>
            </a:ext>
          </a:extLst>
        </xdr:cNvPr>
        <xdr:cNvCxnSpPr/>
      </xdr:nvCxnSpPr>
      <xdr:spPr>
        <a:xfrm>
          <a:off x="4604716" y="7558297"/>
          <a:ext cx="6808719" cy="0"/>
        </a:xfrm>
        <a:prstGeom prst="straightConnector1">
          <a:avLst/>
        </a:prstGeom>
        <a:ln w="19050">
          <a:solidFill>
            <a:srgbClr val="92D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200025</xdr:colOff>
      <xdr:row>37</xdr:row>
      <xdr:rowOff>22861</xdr:rowOff>
    </xdr:from>
    <xdr:to>
      <xdr:col>48</xdr:col>
      <xdr:colOff>381000</xdr:colOff>
      <xdr:row>37</xdr:row>
      <xdr:rowOff>22861</xdr:rowOff>
    </xdr:to>
    <xdr:cxnSp macro="">
      <xdr:nvCxnSpPr>
        <xdr:cNvPr id="67" name="Straight Arrow Connector 66">
          <a:extLst>
            <a:ext uri="{FF2B5EF4-FFF2-40B4-BE49-F238E27FC236}">
              <a16:creationId xmlns:a16="http://schemas.microsoft.com/office/drawing/2014/main" xmlns="" id="{00000000-0008-0000-0600-000043000000}"/>
            </a:ext>
          </a:extLst>
        </xdr:cNvPr>
        <xdr:cNvCxnSpPr/>
      </xdr:nvCxnSpPr>
      <xdr:spPr>
        <a:xfrm>
          <a:off x="12392025" y="7442836"/>
          <a:ext cx="172497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390525</xdr:colOff>
      <xdr:row>18</xdr:row>
      <xdr:rowOff>154885</xdr:rowOff>
    </xdr:from>
    <xdr:ext cx="1066800" cy="266700"/>
    <xdr:sp macro="" textlink="">
      <xdr:nvSpPr>
        <xdr:cNvPr id="68" name="TextBox 67">
          <a:extLst>
            <a:ext uri="{FF2B5EF4-FFF2-40B4-BE49-F238E27FC236}">
              <a16:creationId xmlns:a16="http://schemas.microsoft.com/office/drawing/2014/main" xmlns="" id="{00000000-0008-0000-0600-000044000000}"/>
            </a:ext>
          </a:extLst>
        </xdr:cNvPr>
        <xdr:cNvSpPr txBox="1"/>
      </xdr:nvSpPr>
      <xdr:spPr>
        <a:xfrm>
          <a:off x="13261699" y="3683276"/>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MCLK_RX_SAI0</a:t>
          </a:r>
        </a:p>
      </xdr:txBody>
    </xdr:sp>
    <xdr:clientData/>
  </xdr:oneCellAnchor>
  <xdr:oneCellAnchor>
    <xdr:from>
      <xdr:col>21</xdr:col>
      <xdr:colOff>407561</xdr:colOff>
      <xdr:row>34</xdr:row>
      <xdr:rowOff>144235</xdr:rowOff>
    </xdr:from>
    <xdr:ext cx="1066800" cy="266700"/>
    <xdr:sp macro="" textlink="">
      <xdr:nvSpPr>
        <xdr:cNvPr id="70" name="TextBox 69">
          <a:extLst>
            <a:ext uri="{FF2B5EF4-FFF2-40B4-BE49-F238E27FC236}">
              <a16:creationId xmlns:a16="http://schemas.microsoft.com/office/drawing/2014/main" xmlns="" id="{00000000-0008-0000-0600-000046000000}"/>
            </a:ext>
          </a:extLst>
        </xdr:cNvPr>
        <xdr:cNvSpPr txBox="1"/>
      </xdr:nvSpPr>
      <xdr:spPr>
        <a:xfrm>
          <a:off x="13278735" y="6902844"/>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MCLK_TX_SAI0</a:t>
          </a:r>
        </a:p>
      </xdr:txBody>
    </xdr:sp>
    <xdr:clientData/>
  </xdr:oneCellAnchor>
  <xdr:twoCellAnchor>
    <xdr:from>
      <xdr:col>21</xdr:col>
      <xdr:colOff>348157</xdr:colOff>
      <xdr:row>21</xdr:row>
      <xdr:rowOff>24848</xdr:rowOff>
    </xdr:from>
    <xdr:to>
      <xdr:col>21</xdr:col>
      <xdr:colOff>348158</xdr:colOff>
      <xdr:row>26</xdr:row>
      <xdr:rowOff>32845</xdr:rowOff>
    </xdr:to>
    <xdr:cxnSp macro="">
      <xdr:nvCxnSpPr>
        <xdr:cNvPr id="72" name="Straight Arrow Connector 71">
          <a:extLst>
            <a:ext uri="{FF2B5EF4-FFF2-40B4-BE49-F238E27FC236}">
              <a16:creationId xmlns:a16="http://schemas.microsoft.com/office/drawing/2014/main" xmlns="" id="{00000000-0008-0000-0600-000048000000}"/>
            </a:ext>
          </a:extLst>
        </xdr:cNvPr>
        <xdr:cNvCxnSpPr/>
      </xdr:nvCxnSpPr>
      <xdr:spPr>
        <a:xfrm>
          <a:off x="13219331" y="4149587"/>
          <a:ext cx="1" cy="101019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348155</xdr:colOff>
      <xdr:row>26</xdr:row>
      <xdr:rowOff>32845</xdr:rowOff>
    </xdr:from>
    <xdr:to>
      <xdr:col>27</xdr:col>
      <xdr:colOff>407276</xdr:colOff>
      <xdr:row>26</xdr:row>
      <xdr:rowOff>32845</xdr:rowOff>
    </xdr:to>
    <xdr:cxnSp macro="">
      <xdr:nvCxnSpPr>
        <xdr:cNvPr id="74" name="Straight Arrow Connector 73">
          <a:extLst>
            <a:ext uri="{FF2B5EF4-FFF2-40B4-BE49-F238E27FC236}">
              <a16:creationId xmlns:a16="http://schemas.microsoft.com/office/drawing/2014/main" xmlns="" id="{00000000-0008-0000-0600-00004A000000}"/>
            </a:ext>
          </a:extLst>
        </xdr:cNvPr>
        <xdr:cNvCxnSpPr/>
      </xdr:nvCxnSpPr>
      <xdr:spPr>
        <a:xfrm>
          <a:off x="13177345" y="5150069"/>
          <a:ext cx="372460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413846</xdr:colOff>
      <xdr:row>24</xdr:row>
      <xdr:rowOff>62549</xdr:rowOff>
    </xdr:from>
    <xdr:to>
      <xdr:col>29</xdr:col>
      <xdr:colOff>212105</xdr:colOff>
      <xdr:row>28</xdr:row>
      <xdr:rowOff>177668</xdr:rowOff>
    </xdr:to>
    <xdr:sp macro="" textlink="">
      <xdr:nvSpPr>
        <xdr:cNvPr id="75" name="Rectangle 74">
          <a:extLst>
            <a:ext uri="{FF2B5EF4-FFF2-40B4-BE49-F238E27FC236}">
              <a16:creationId xmlns:a16="http://schemas.microsoft.com/office/drawing/2014/main" xmlns="" id="{00000000-0008-0000-0600-00004B000000}"/>
            </a:ext>
          </a:extLst>
        </xdr:cNvPr>
        <xdr:cNvSpPr/>
      </xdr:nvSpPr>
      <xdr:spPr>
        <a:xfrm>
          <a:off x="16962498" y="4775353"/>
          <a:ext cx="1024085" cy="943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RX BCLK Divide</a:t>
          </a:r>
        </a:p>
        <a:p>
          <a:pPr algn="ctr"/>
          <a:r>
            <a:rPr lang="en-US" sz="1100" baseline="0"/>
            <a:t>0,1,...,255</a:t>
          </a:r>
        </a:p>
        <a:p>
          <a:pPr algn="ctr"/>
          <a:r>
            <a:rPr lang="en-US" sz="900"/>
            <a:t>SAI0_RCR2[DIV]</a:t>
          </a:r>
        </a:p>
      </xdr:txBody>
    </xdr:sp>
    <xdr:clientData/>
  </xdr:twoCellAnchor>
  <xdr:twoCellAnchor>
    <xdr:from>
      <xdr:col>29</xdr:col>
      <xdr:colOff>197069</xdr:colOff>
      <xdr:row>27</xdr:row>
      <xdr:rowOff>26276</xdr:rowOff>
    </xdr:from>
    <xdr:to>
      <xdr:col>32</xdr:col>
      <xdr:colOff>426983</xdr:colOff>
      <xdr:row>27</xdr:row>
      <xdr:rowOff>26276</xdr:rowOff>
    </xdr:to>
    <xdr:cxnSp macro="">
      <xdr:nvCxnSpPr>
        <xdr:cNvPr id="77" name="Straight Arrow Connector 76">
          <a:extLst>
            <a:ext uri="{FF2B5EF4-FFF2-40B4-BE49-F238E27FC236}">
              <a16:creationId xmlns:a16="http://schemas.microsoft.com/office/drawing/2014/main" xmlns="" id="{00000000-0008-0000-0600-00004D000000}"/>
            </a:ext>
          </a:extLst>
        </xdr:cNvPr>
        <xdr:cNvCxnSpPr/>
      </xdr:nvCxnSpPr>
      <xdr:spPr>
        <a:xfrm>
          <a:off x="17913569" y="5366845"/>
          <a:ext cx="206265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472966</xdr:colOff>
      <xdr:row>28</xdr:row>
      <xdr:rowOff>177362</xdr:rowOff>
    </xdr:from>
    <xdr:ext cx="784334" cy="266700"/>
    <xdr:sp macro="" textlink="">
      <xdr:nvSpPr>
        <xdr:cNvPr id="79" name="TextBox 78">
          <a:hlinkClick xmlns:r="http://schemas.openxmlformats.org/officeDocument/2006/relationships" r:id="rId5"/>
          <a:extLst>
            <a:ext uri="{FF2B5EF4-FFF2-40B4-BE49-F238E27FC236}">
              <a16:creationId xmlns:a16="http://schemas.microsoft.com/office/drawing/2014/main" xmlns="" id="{00000000-0008-0000-0600-00004F000000}"/>
            </a:ext>
          </a:extLst>
        </xdr:cNvPr>
        <xdr:cNvSpPr txBox="1"/>
      </xdr:nvSpPr>
      <xdr:spPr>
        <a:xfrm>
          <a:off x="18189466" y="5695293"/>
          <a:ext cx="78433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BCLK_SAI0</a:t>
          </a:r>
        </a:p>
      </xdr:txBody>
    </xdr:sp>
    <xdr:clientData/>
  </xdr:oneCellAnchor>
  <xdr:twoCellAnchor>
    <xdr:from>
      <xdr:col>32</xdr:col>
      <xdr:colOff>13138</xdr:colOff>
      <xdr:row>29</xdr:row>
      <xdr:rowOff>98535</xdr:rowOff>
    </xdr:from>
    <xdr:to>
      <xdr:col>32</xdr:col>
      <xdr:colOff>433552</xdr:colOff>
      <xdr:row>29</xdr:row>
      <xdr:rowOff>98535</xdr:rowOff>
    </xdr:to>
    <xdr:cxnSp macro="">
      <xdr:nvCxnSpPr>
        <xdr:cNvPr id="80" name="Straight Arrow Connector 79">
          <a:extLst>
            <a:ext uri="{FF2B5EF4-FFF2-40B4-BE49-F238E27FC236}">
              <a16:creationId xmlns:a16="http://schemas.microsoft.com/office/drawing/2014/main" xmlns="" id="{00000000-0008-0000-0600-000050000000}"/>
            </a:ext>
          </a:extLst>
        </xdr:cNvPr>
        <xdr:cNvCxnSpPr/>
      </xdr:nvCxnSpPr>
      <xdr:spPr>
        <a:xfrm>
          <a:off x="19562379" y="5833242"/>
          <a:ext cx="4204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426983</xdr:colOff>
      <xdr:row>26</xdr:row>
      <xdr:rowOff>52552</xdr:rowOff>
    </xdr:from>
    <xdr:to>
      <xdr:col>34</xdr:col>
      <xdr:colOff>225242</xdr:colOff>
      <xdr:row>30</xdr:row>
      <xdr:rowOff>180809</xdr:rowOff>
    </xdr:to>
    <xdr:sp macro="" textlink="">
      <xdr:nvSpPr>
        <xdr:cNvPr id="82" name="Rectangle 81">
          <a:extLst>
            <a:ext uri="{FF2B5EF4-FFF2-40B4-BE49-F238E27FC236}">
              <a16:creationId xmlns:a16="http://schemas.microsoft.com/office/drawing/2014/main" xmlns="" id="{00000000-0008-0000-0600-000052000000}"/>
            </a:ext>
          </a:extLst>
        </xdr:cNvPr>
        <xdr:cNvSpPr/>
      </xdr:nvSpPr>
      <xdr:spPr>
        <a:xfrm>
          <a:off x="19976224" y="5182914"/>
          <a:ext cx="1020087" cy="9428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RX BCLK Select</a:t>
          </a:r>
        </a:p>
        <a:p>
          <a:pPr algn="ctr"/>
          <a:r>
            <a:rPr lang="en-US" sz="900"/>
            <a:t>SAI0_RCR2[BCD]</a:t>
          </a:r>
        </a:p>
      </xdr:txBody>
    </xdr:sp>
    <xdr:clientData/>
  </xdr:twoCellAnchor>
  <xdr:oneCellAnchor>
    <xdr:from>
      <xdr:col>32</xdr:col>
      <xdr:colOff>571500</xdr:colOff>
      <xdr:row>31</xdr:row>
      <xdr:rowOff>210206</xdr:rowOff>
    </xdr:from>
    <xdr:ext cx="1066800" cy="354725"/>
    <xdr:sp macro="" textlink="">
      <xdr:nvSpPr>
        <xdr:cNvPr id="85" name="TextBox 84">
          <a:extLst>
            <a:ext uri="{FF2B5EF4-FFF2-40B4-BE49-F238E27FC236}">
              <a16:creationId xmlns:a16="http://schemas.microsoft.com/office/drawing/2014/main" xmlns="" id="{00000000-0008-0000-0600-000055000000}"/>
            </a:ext>
          </a:extLst>
        </xdr:cNvPr>
        <xdr:cNvSpPr txBox="1"/>
      </xdr:nvSpPr>
      <xdr:spPr>
        <a:xfrm>
          <a:off x="20120741" y="6365327"/>
          <a:ext cx="1066800"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BCLK_SAI0</a:t>
          </a:r>
        </a:p>
        <a:p>
          <a:r>
            <a:rPr lang="en-US" sz="800"/>
            <a:t>1 - MCLK_RX_SAI0</a:t>
          </a:r>
        </a:p>
      </xdr:txBody>
    </xdr:sp>
    <xdr:clientData/>
  </xdr:oneCellAnchor>
  <xdr:twoCellAnchor>
    <xdr:from>
      <xdr:col>34</xdr:col>
      <xdr:colOff>216776</xdr:colOff>
      <xdr:row>28</xdr:row>
      <xdr:rowOff>19707</xdr:rowOff>
    </xdr:from>
    <xdr:to>
      <xdr:col>36</xdr:col>
      <xdr:colOff>381000</xdr:colOff>
      <xdr:row>28</xdr:row>
      <xdr:rowOff>19707</xdr:rowOff>
    </xdr:to>
    <xdr:cxnSp macro="">
      <xdr:nvCxnSpPr>
        <xdr:cNvPr id="86" name="Straight Arrow Connector 85">
          <a:extLst>
            <a:ext uri="{FF2B5EF4-FFF2-40B4-BE49-F238E27FC236}">
              <a16:creationId xmlns:a16="http://schemas.microsoft.com/office/drawing/2014/main" xmlns="" id="{00000000-0008-0000-0600-000056000000}"/>
            </a:ext>
          </a:extLst>
        </xdr:cNvPr>
        <xdr:cNvCxnSpPr/>
      </xdr:nvCxnSpPr>
      <xdr:spPr>
        <a:xfrm>
          <a:off x="20987845" y="5570483"/>
          <a:ext cx="13860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394137</xdr:colOff>
      <xdr:row>26</xdr:row>
      <xdr:rowOff>59121</xdr:rowOff>
    </xdr:from>
    <xdr:to>
      <xdr:col>38</xdr:col>
      <xdr:colOff>192397</xdr:colOff>
      <xdr:row>30</xdr:row>
      <xdr:rowOff>187378</xdr:rowOff>
    </xdr:to>
    <xdr:sp macro="" textlink="">
      <xdr:nvSpPr>
        <xdr:cNvPr id="88" name="Rectangle 87">
          <a:extLst>
            <a:ext uri="{FF2B5EF4-FFF2-40B4-BE49-F238E27FC236}">
              <a16:creationId xmlns:a16="http://schemas.microsoft.com/office/drawing/2014/main" xmlns="" id="{00000000-0008-0000-0600-000058000000}"/>
            </a:ext>
          </a:extLst>
        </xdr:cNvPr>
        <xdr:cNvSpPr/>
      </xdr:nvSpPr>
      <xdr:spPr>
        <a:xfrm>
          <a:off x="22387034" y="5189483"/>
          <a:ext cx="1020087" cy="96908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RX BCLK Enable</a:t>
          </a:r>
        </a:p>
        <a:p>
          <a:pPr algn="ctr"/>
          <a:r>
            <a:rPr lang="en-US" sz="900"/>
            <a:t>SAI0_RSCR[BCE]</a:t>
          </a:r>
        </a:p>
      </xdr:txBody>
    </xdr:sp>
    <xdr:clientData/>
  </xdr:twoCellAnchor>
  <xdr:oneCellAnchor>
    <xdr:from>
      <xdr:col>36</xdr:col>
      <xdr:colOff>551792</xdr:colOff>
      <xdr:row>31</xdr:row>
      <xdr:rowOff>199368</xdr:rowOff>
    </xdr:from>
    <xdr:ext cx="814552" cy="354725"/>
    <xdr:sp macro="" textlink="">
      <xdr:nvSpPr>
        <xdr:cNvPr id="90" name="TextBox 89">
          <a:extLst>
            <a:ext uri="{FF2B5EF4-FFF2-40B4-BE49-F238E27FC236}">
              <a16:creationId xmlns:a16="http://schemas.microsoft.com/office/drawing/2014/main" xmlns="" id="{00000000-0008-0000-0600-00005A000000}"/>
            </a:ext>
          </a:extLst>
        </xdr:cNvPr>
        <xdr:cNvSpPr txBox="1"/>
      </xdr:nvSpPr>
      <xdr:spPr>
        <a:xfrm>
          <a:off x="22497392" y="6400143"/>
          <a:ext cx="81455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a:t>
          </a:r>
          <a:r>
            <a:rPr lang="en-US" sz="800" baseline="0"/>
            <a:t> off</a:t>
          </a:r>
          <a:endParaRPr lang="en-US" sz="800"/>
        </a:p>
        <a:p>
          <a:r>
            <a:rPr lang="en-US" sz="800"/>
            <a:t>1 - BCLK on</a:t>
          </a:r>
        </a:p>
      </xdr:txBody>
    </xdr:sp>
    <xdr:clientData/>
  </xdr:oneCellAnchor>
  <xdr:twoCellAnchor>
    <xdr:from>
      <xdr:col>38</xdr:col>
      <xdr:colOff>203639</xdr:colOff>
      <xdr:row>28</xdr:row>
      <xdr:rowOff>19708</xdr:rowOff>
    </xdr:from>
    <xdr:to>
      <xdr:col>40</xdr:col>
      <xdr:colOff>367863</xdr:colOff>
      <xdr:row>28</xdr:row>
      <xdr:rowOff>19708</xdr:rowOff>
    </xdr:to>
    <xdr:cxnSp macro="">
      <xdr:nvCxnSpPr>
        <xdr:cNvPr id="91" name="Straight Arrow Connector 90">
          <a:extLst>
            <a:ext uri="{FF2B5EF4-FFF2-40B4-BE49-F238E27FC236}">
              <a16:creationId xmlns:a16="http://schemas.microsoft.com/office/drawing/2014/main" xmlns="" id="{00000000-0008-0000-0600-00005B000000}"/>
            </a:ext>
          </a:extLst>
        </xdr:cNvPr>
        <xdr:cNvCxnSpPr/>
      </xdr:nvCxnSpPr>
      <xdr:spPr>
        <a:xfrm>
          <a:off x="23418363" y="5570484"/>
          <a:ext cx="1386052"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367862</xdr:colOff>
      <xdr:row>25</xdr:row>
      <xdr:rowOff>170793</xdr:rowOff>
    </xdr:from>
    <xdr:ext cx="1195551" cy="266700"/>
    <xdr:sp macro="" textlink="">
      <xdr:nvSpPr>
        <xdr:cNvPr id="92" name="TextBox 91">
          <a:extLst>
            <a:ext uri="{FF2B5EF4-FFF2-40B4-BE49-F238E27FC236}">
              <a16:creationId xmlns:a16="http://schemas.microsoft.com/office/drawing/2014/main" xmlns="" id="{00000000-0008-0000-0600-00005C000000}"/>
            </a:ext>
          </a:extLst>
        </xdr:cNvPr>
        <xdr:cNvSpPr txBox="1"/>
      </xdr:nvSpPr>
      <xdr:spPr>
        <a:xfrm>
          <a:off x="23582586" y="5090948"/>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BCLK_RX_SAI0_PS</a:t>
          </a:r>
        </a:p>
      </xdr:txBody>
    </xdr:sp>
    <xdr:clientData/>
  </xdr:oneCellAnchor>
  <xdr:twoCellAnchor>
    <xdr:from>
      <xdr:col>40</xdr:col>
      <xdr:colOff>409575</xdr:colOff>
      <xdr:row>26</xdr:row>
      <xdr:rowOff>47625</xdr:rowOff>
    </xdr:from>
    <xdr:to>
      <xdr:col>42</xdr:col>
      <xdr:colOff>207834</xdr:colOff>
      <xdr:row>30</xdr:row>
      <xdr:rowOff>175882</xdr:rowOff>
    </xdr:to>
    <xdr:sp macro="" textlink="">
      <xdr:nvSpPr>
        <xdr:cNvPr id="93" name="Rectangle 92">
          <a:extLst>
            <a:ext uri="{FF2B5EF4-FFF2-40B4-BE49-F238E27FC236}">
              <a16:creationId xmlns:a16="http://schemas.microsoft.com/office/drawing/2014/main" xmlns="" id="{00000000-0008-0000-0600-00005D000000}"/>
            </a:ext>
          </a:extLst>
        </xdr:cNvPr>
        <xdr:cNvSpPr/>
      </xdr:nvSpPr>
      <xdr:spPr>
        <a:xfrm>
          <a:off x="24793575" y="5200650"/>
          <a:ext cx="1017459" cy="9664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RX BCLK Swap</a:t>
          </a:r>
        </a:p>
        <a:p>
          <a:pPr algn="ctr"/>
          <a:r>
            <a:rPr lang="en-US" sz="900"/>
            <a:t>SAI0_RCR2[BCS]</a:t>
          </a:r>
        </a:p>
      </xdr:txBody>
    </xdr:sp>
    <xdr:clientData/>
  </xdr:twoCellAnchor>
  <xdr:oneCellAnchor>
    <xdr:from>
      <xdr:col>40</xdr:col>
      <xdr:colOff>571500</xdr:colOff>
      <xdr:row>31</xdr:row>
      <xdr:rowOff>200026</xdr:rowOff>
    </xdr:from>
    <xdr:ext cx="1648558" cy="381000"/>
    <xdr:sp macro="" textlink="">
      <xdr:nvSpPr>
        <xdr:cNvPr id="95" name="TextBox 94">
          <a:extLst>
            <a:ext uri="{FF2B5EF4-FFF2-40B4-BE49-F238E27FC236}">
              <a16:creationId xmlns:a16="http://schemas.microsoft.com/office/drawing/2014/main" xmlns="" id="{00000000-0008-0000-0600-00005F000000}"/>
            </a:ext>
          </a:extLst>
        </xdr:cNvPr>
        <xdr:cNvSpPr txBox="1"/>
      </xdr:nvSpPr>
      <xdr:spPr>
        <a:xfrm>
          <a:off x="24955500" y="6400801"/>
          <a:ext cx="1648558"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BCLK_RX_SAI0_PS</a:t>
          </a:r>
        </a:p>
        <a:p>
          <a:r>
            <a:rPr lang="en-US" sz="800"/>
            <a:t>1 -</a:t>
          </a:r>
          <a:r>
            <a:rPr lang="en-US" sz="800" baseline="0"/>
            <a:t> Use BCLK_TX_SAI0_PS</a:t>
          </a:r>
        </a:p>
      </xdr:txBody>
    </xdr:sp>
    <xdr:clientData/>
  </xdr:oneCellAnchor>
  <xdr:twoCellAnchor>
    <xdr:from>
      <xdr:col>42</xdr:col>
      <xdr:colOff>228600</xdr:colOff>
      <xdr:row>28</xdr:row>
      <xdr:rowOff>28575</xdr:rowOff>
    </xdr:from>
    <xdr:to>
      <xdr:col>43</xdr:col>
      <xdr:colOff>371475</xdr:colOff>
      <xdr:row>28</xdr:row>
      <xdr:rowOff>28575</xdr:rowOff>
    </xdr:to>
    <xdr:cxnSp macro="">
      <xdr:nvCxnSpPr>
        <xdr:cNvPr id="96" name="Straight Arrow Connector 95">
          <a:extLst>
            <a:ext uri="{FF2B5EF4-FFF2-40B4-BE49-F238E27FC236}">
              <a16:creationId xmlns:a16="http://schemas.microsoft.com/office/drawing/2014/main" xmlns="" id="{00000000-0008-0000-0600-000060000000}"/>
            </a:ext>
          </a:extLst>
        </xdr:cNvPr>
        <xdr:cNvCxnSpPr/>
      </xdr:nvCxnSpPr>
      <xdr:spPr>
        <a:xfrm>
          <a:off x="25831800" y="5600700"/>
          <a:ext cx="7524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390525</xdr:colOff>
      <xdr:row>26</xdr:row>
      <xdr:rowOff>47625</xdr:rowOff>
    </xdr:from>
    <xdr:to>
      <xdr:col>45</xdr:col>
      <xdr:colOff>188784</xdr:colOff>
      <xdr:row>30</xdr:row>
      <xdr:rowOff>175882</xdr:rowOff>
    </xdr:to>
    <xdr:sp macro="" textlink="">
      <xdr:nvSpPr>
        <xdr:cNvPr id="98" name="Rectangle 97">
          <a:extLst>
            <a:ext uri="{FF2B5EF4-FFF2-40B4-BE49-F238E27FC236}">
              <a16:creationId xmlns:a16="http://schemas.microsoft.com/office/drawing/2014/main" xmlns="" id="{00000000-0008-0000-0600-000062000000}"/>
            </a:ext>
          </a:extLst>
        </xdr:cNvPr>
        <xdr:cNvSpPr/>
      </xdr:nvSpPr>
      <xdr:spPr>
        <a:xfrm>
          <a:off x="26603325" y="5200650"/>
          <a:ext cx="1017459" cy="9664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RX BCLK Sync Mode</a:t>
          </a:r>
        </a:p>
        <a:p>
          <a:pPr algn="ctr"/>
          <a:r>
            <a:rPr lang="en-US" sz="900"/>
            <a:t>SAI0_RCR2[SYNC]</a:t>
          </a:r>
        </a:p>
      </xdr:txBody>
    </xdr:sp>
    <xdr:clientData/>
  </xdr:twoCellAnchor>
  <xdr:oneCellAnchor>
    <xdr:from>
      <xdr:col>43</xdr:col>
      <xdr:colOff>571500</xdr:colOff>
      <xdr:row>31</xdr:row>
      <xdr:rowOff>209549</xdr:rowOff>
    </xdr:from>
    <xdr:ext cx="1509347" cy="619125"/>
    <xdr:sp macro="" textlink="">
      <xdr:nvSpPr>
        <xdr:cNvPr id="99" name="TextBox 98">
          <a:extLst>
            <a:ext uri="{FF2B5EF4-FFF2-40B4-BE49-F238E27FC236}">
              <a16:creationId xmlns:a16="http://schemas.microsoft.com/office/drawing/2014/main" xmlns="" id="{00000000-0008-0000-0600-000063000000}"/>
            </a:ext>
          </a:extLst>
        </xdr:cNvPr>
        <xdr:cNvSpPr txBox="1"/>
      </xdr:nvSpPr>
      <xdr:spPr>
        <a:xfrm>
          <a:off x="26784300" y="6410324"/>
          <a:ext cx="1509347"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BCLK_TX_SAI0</a:t>
          </a:r>
        </a:p>
        <a:p>
          <a:r>
            <a:rPr lang="en-US" sz="800" baseline="0"/>
            <a:t>2 - Reserved</a:t>
          </a:r>
        </a:p>
        <a:p>
          <a:r>
            <a:rPr lang="en-US" sz="800" baseline="0"/>
            <a:t>3 - Reserved</a:t>
          </a:r>
        </a:p>
      </xdr:txBody>
    </xdr:sp>
    <xdr:clientData/>
  </xdr:oneCellAnchor>
  <xdr:twoCellAnchor>
    <xdr:from>
      <xdr:col>45</xdr:col>
      <xdr:colOff>200025</xdr:colOff>
      <xdr:row>29</xdr:row>
      <xdr:rowOff>34586</xdr:rowOff>
    </xdr:from>
    <xdr:to>
      <xdr:col>48</xdr:col>
      <xdr:colOff>361950</xdr:colOff>
      <xdr:row>29</xdr:row>
      <xdr:rowOff>34586</xdr:rowOff>
    </xdr:to>
    <xdr:cxnSp macro="">
      <xdr:nvCxnSpPr>
        <xdr:cNvPr id="100" name="Straight Arrow Connector 99">
          <a:extLst>
            <a:ext uri="{FF2B5EF4-FFF2-40B4-BE49-F238E27FC236}">
              <a16:creationId xmlns:a16="http://schemas.microsoft.com/office/drawing/2014/main" xmlns="" id="{00000000-0008-0000-0600-000064000000}"/>
            </a:ext>
          </a:extLst>
        </xdr:cNvPr>
        <xdr:cNvCxnSpPr/>
      </xdr:nvCxnSpPr>
      <xdr:spPr>
        <a:xfrm>
          <a:off x="27632025" y="5835311"/>
          <a:ext cx="19907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45</xdr:col>
      <xdr:colOff>303296</xdr:colOff>
      <xdr:row>26</xdr:row>
      <xdr:rowOff>127334</xdr:rowOff>
    </xdr:from>
    <xdr:ext cx="1195551" cy="266700"/>
    <xdr:sp macro="" textlink="">
      <xdr:nvSpPr>
        <xdr:cNvPr id="102" name="TextBox 101">
          <a:extLst>
            <a:ext uri="{FF2B5EF4-FFF2-40B4-BE49-F238E27FC236}">
              <a16:creationId xmlns:a16="http://schemas.microsoft.com/office/drawing/2014/main" xmlns="" id="{00000000-0008-0000-0600-000066000000}"/>
            </a:ext>
          </a:extLst>
        </xdr:cNvPr>
        <xdr:cNvSpPr txBox="1"/>
      </xdr:nvSpPr>
      <xdr:spPr>
        <a:xfrm>
          <a:off x="27825533" y="5290887"/>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BCLK_RX_SAI0</a:t>
          </a:r>
        </a:p>
      </xdr:txBody>
    </xdr:sp>
    <xdr:clientData/>
  </xdr:oneCellAnchor>
  <xdr:twoCellAnchor>
    <xdr:from>
      <xdr:col>27</xdr:col>
      <xdr:colOff>405849</xdr:colOff>
      <xdr:row>39</xdr:row>
      <xdr:rowOff>140804</xdr:rowOff>
    </xdr:from>
    <xdr:to>
      <xdr:col>29</xdr:col>
      <xdr:colOff>204108</xdr:colOff>
      <xdr:row>44</xdr:row>
      <xdr:rowOff>173099</xdr:rowOff>
    </xdr:to>
    <xdr:sp macro="" textlink="">
      <xdr:nvSpPr>
        <xdr:cNvPr id="103" name="Rectangle 102">
          <a:extLst>
            <a:ext uri="{FF2B5EF4-FFF2-40B4-BE49-F238E27FC236}">
              <a16:creationId xmlns:a16="http://schemas.microsoft.com/office/drawing/2014/main" xmlns="" id="{00000000-0008-0000-0600-000067000000}"/>
            </a:ext>
          </a:extLst>
        </xdr:cNvPr>
        <xdr:cNvSpPr/>
      </xdr:nvSpPr>
      <xdr:spPr>
        <a:xfrm>
          <a:off x="16954501" y="7893326"/>
          <a:ext cx="1024085" cy="105105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TX BCLK Divide</a:t>
          </a:r>
        </a:p>
        <a:p>
          <a:pPr algn="ctr"/>
          <a:r>
            <a:rPr lang="en-US" sz="1100" baseline="0"/>
            <a:t>0,1,...,255</a:t>
          </a:r>
        </a:p>
        <a:p>
          <a:pPr algn="ctr"/>
          <a:r>
            <a:rPr lang="en-US" sz="900"/>
            <a:t>SAI0_TCR2[DIV]</a:t>
          </a:r>
        </a:p>
      </xdr:txBody>
    </xdr:sp>
    <xdr:clientData/>
  </xdr:twoCellAnchor>
  <xdr:twoCellAnchor>
    <xdr:from>
      <xdr:col>21</xdr:col>
      <xdr:colOff>339587</xdr:colOff>
      <xdr:row>37</xdr:row>
      <xdr:rowOff>33130</xdr:rowOff>
    </xdr:from>
    <xdr:to>
      <xdr:col>21</xdr:col>
      <xdr:colOff>339587</xdr:colOff>
      <xdr:row>41</xdr:row>
      <xdr:rowOff>151375</xdr:rowOff>
    </xdr:to>
    <xdr:cxnSp macro="">
      <xdr:nvCxnSpPr>
        <xdr:cNvPr id="104" name="Straight Arrow Connector 103">
          <a:extLst>
            <a:ext uri="{FF2B5EF4-FFF2-40B4-BE49-F238E27FC236}">
              <a16:creationId xmlns:a16="http://schemas.microsoft.com/office/drawing/2014/main" xmlns="" id="{00000000-0008-0000-0600-000068000000}"/>
            </a:ext>
          </a:extLst>
        </xdr:cNvPr>
        <xdr:cNvCxnSpPr/>
      </xdr:nvCxnSpPr>
      <xdr:spPr>
        <a:xfrm>
          <a:off x="13210761" y="7388087"/>
          <a:ext cx="0" cy="92165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339584</xdr:colOff>
      <xdr:row>41</xdr:row>
      <xdr:rowOff>151375</xdr:rowOff>
    </xdr:from>
    <xdr:to>
      <xdr:col>27</xdr:col>
      <xdr:colOff>398705</xdr:colOff>
      <xdr:row>41</xdr:row>
      <xdr:rowOff>151375</xdr:rowOff>
    </xdr:to>
    <xdr:cxnSp macro="">
      <xdr:nvCxnSpPr>
        <xdr:cNvPr id="105" name="Straight Arrow Connector 104">
          <a:extLst>
            <a:ext uri="{FF2B5EF4-FFF2-40B4-BE49-F238E27FC236}">
              <a16:creationId xmlns:a16="http://schemas.microsoft.com/office/drawing/2014/main" xmlns="" id="{00000000-0008-0000-0600-000069000000}"/>
            </a:ext>
          </a:extLst>
        </xdr:cNvPr>
        <xdr:cNvCxnSpPr/>
      </xdr:nvCxnSpPr>
      <xdr:spPr>
        <a:xfrm>
          <a:off x="13210758" y="8276614"/>
          <a:ext cx="373659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389282</xdr:colOff>
      <xdr:row>39</xdr:row>
      <xdr:rowOff>91106</xdr:rowOff>
    </xdr:from>
    <xdr:to>
      <xdr:col>34</xdr:col>
      <xdr:colOff>187541</xdr:colOff>
      <xdr:row>44</xdr:row>
      <xdr:rowOff>161387</xdr:rowOff>
    </xdr:to>
    <xdr:sp macro="" textlink="">
      <xdr:nvSpPr>
        <xdr:cNvPr id="106" name="Rectangle 105">
          <a:extLst>
            <a:ext uri="{FF2B5EF4-FFF2-40B4-BE49-F238E27FC236}">
              <a16:creationId xmlns:a16="http://schemas.microsoft.com/office/drawing/2014/main" xmlns="" id="{00000000-0008-0000-0600-00006A000000}"/>
            </a:ext>
          </a:extLst>
        </xdr:cNvPr>
        <xdr:cNvSpPr/>
      </xdr:nvSpPr>
      <xdr:spPr>
        <a:xfrm>
          <a:off x="20002499" y="7843628"/>
          <a:ext cx="1024085" cy="10890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TX BCLK Select</a:t>
          </a:r>
        </a:p>
        <a:p>
          <a:pPr algn="ctr"/>
          <a:r>
            <a:rPr lang="en-US" sz="900"/>
            <a:t>SAI0_TCR2[BCD]</a:t>
          </a:r>
        </a:p>
      </xdr:txBody>
    </xdr:sp>
    <xdr:clientData/>
  </xdr:twoCellAnchor>
  <xdr:oneCellAnchor>
    <xdr:from>
      <xdr:col>32</xdr:col>
      <xdr:colOff>554935</xdr:colOff>
      <xdr:row>45</xdr:row>
      <xdr:rowOff>198782</xdr:rowOff>
    </xdr:from>
    <xdr:ext cx="1066800" cy="354725"/>
    <xdr:sp macro="" textlink="">
      <xdr:nvSpPr>
        <xdr:cNvPr id="107" name="TextBox 106">
          <a:extLst>
            <a:ext uri="{FF2B5EF4-FFF2-40B4-BE49-F238E27FC236}">
              <a16:creationId xmlns:a16="http://schemas.microsoft.com/office/drawing/2014/main" xmlns="" id="{00000000-0008-0000-0600-00006B000000}"/>
            </a:ext>
          </a:extLst>
        </xdr:cNvPr>
        <xdr:cNvSpPr txBox="1"/>
      </xdr:nvSpPr>
      <xdr:spPr>
        <a:xfrm>
          <a:off x="20168152" y="9177130"/>
          <a:ext cx="1066800"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BCLK_SAI0</a:t>
          </a:r>
        </a:p>
        <a:p>
          <a:r>
            <a:rPr lang="en-US" sz="800"/>
            <a:t>1 - MCLK_TX_SAI0</a:t>
          </a:r>
        </a:p>
      </xdr:txBody>
    </xdr:sp>
    <xdr:clientData/>
  </xdr:oneCellAnchor>
  <xdr:twoCellAnchor>
    <xdr:from>
      <xdr:col>29</xdr:col>
      <xdr:colOff>198783</xdr:colOff>
      <xdr:row>40</xdr:row>
      <xdr:rowOff>198781</xdr:rowOff>
    </xdr:from>
    <xdr:to>
      <xdr:col>32</xdr:col>
      <xdr:colOff>364435</xdr:colOff>
      <xdr:row>40</xdr:row>
      <xdr:rowOff>198781</xdr:rowOff>
    </xdr:to>
    <xdr:cxnSp macro="">
      <xdr:nvCxnSpPr>
        <xdr:cNvPr id="108" name="Straight Arrow Connector 107">
          <a:extLst>
            <a:ext uri="{FF2B5EF4-FFF2-40B4-BE49-F238E27FC236}">
              <a16:creationId xmlns:a16="http://schemas.microsoft.com/office/drawing/2014/main" xmlns="" id="{00000000-0008-0000-0600-00006C000000}"/>
            </a:ext>
          </a:extLst>
        </xdr:cNvPr>
        <xdr:cNvCxnSpPr/>
      </xdr:nvCxnSpPr>
      <xdr:spPr>
        <a:xfrm>
          <a:off x="17973261" y="8158368"/>
          <a:ext cx="200439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472109</xdr:colOff>
      <xdr:row>42</xdr:row>
      <xdr:rowOff>165658</xdr:rowOff>
    </xdr:from>
    <xdr:ext cx="784334" cy="266700"/>
    <xdr:sp macro="" textlink="">
      <xdr:nvSpPr>
        <xdr:cNvPr id="110" name="TextBox 109">
          <a:hlinkClick xmlns:r="http://schemas.openxmlformats.org/officeDocument/2006/relationships" r:id="rId5"/>
          <a:extLst>
            <a:ext uri="{FF2B5EF4-FFF2-40B4-BE49-F238E27FC236}">
              <a16:creationId xmlns:a16="http://schemas.microsoft.com/office/drawing/2014/main" xmlns="" id="{00000000-0008-0000-0600-00006E000000}"/>
            </a:ext>
          </a:extLst>
        </xdr:cNvPr>
        <xdr:cNvSpPr txBox="1"/>
      </xdr:nvSpPr>
      <xdr:spPr>
        <a:xfrm>
          <a:off x="18246587" y="8531093"/>
          <a:ext cx="78433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BCLK_SAI0</a:t>
          </a:r>
        </a:p>
      </xdr:txBody>
    </xdr:sp>
    <xdr:clientData/>
  </xdr:oneCellAnchor>
  <xdr:twoCellAnchor>
    <xdr:from>
      <xdr:col>32</xdr:col>
      <xdr:colOff>0</xdr:colOff>
      <xdr:row>43</xdr:row>
      <xdr:rowOff>99397</xdr:rowOff>
    </xdr:from>
    <xdr:to>
      <xdr:col>32</xdr:col>
      <xdr:colOff>381001</xdr:colOff>
      <xdr:row>43</xdr:row>
      <xdr:rowOff>99397</xdr:rowOff>
    </xdr:to>
    <xdr:cxnSp macro="">
      <xdr:nvCxnSpPr>
        <xdr:cNvPr id="111" name="Straight Arrow Connector 110">
          <a:extLst>
            <a:ext uri="{FF2B5EF4-FFF2-40B4-BE49-F238E27FC236}">
              <a16:creationId xmlns:a16="http://schemas.microsoft.com/office/drawing/2014/main" xmlns="" id="{00000000-0008-0000-0600-00006F000000}"/>
            </a:ext>
          </a:extLst>
        </xdr:cNvPr>
        <xdr:cNvCxnSpPr/>
      </xdr:nvCxnSpPr>
      <xdr:spPr>
        <a:xfrm>
          <a:off x="19613217" y="8663614"/>
          <a:ext cx="3810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198783</xdr:colOff>
      <xdr:row>42</xdr:row>
      <xdr:rowOff>33132</xdr:rowOff>
    </xdr:from>
    <xdr:to>
      <xdr:col>36</xdr:col>
      <xdr:colOff>363007</xdr:colOff>
      <xdr:row>42</xdr:row>
      <xdr:rowOff>33132</xdr:rowOff>
    </xdr:to>
    <xdr:cxnSp macro="">
      <xdr:nvCxnSpPr>
        <xdr:cNvPr id="113" name="Straight Arrow Connector 112">
          <a:extLst>
            <a:ext uri="{FF2B5EF4-FFF2-40B4-BE49-F238E27FC236}">
              <a16:creationId xmlns:a16="http://schemas.microsoft.com/office/drawing/2014/main" xmlns="" id="{00000000-0008-0000-0600-000071000000}"/>
            </a:ext>
          </a:extLst>
        </xdr:cNvPr>
        <xdr:cNvCxnSpPr/>
      </xdr:nvCxnSpPr>
      <xdr:spPr>
        <a:xfrm>
          <a:off x="21037826" y="8398567"/>
          <a:ext cx="139005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381000</xdr:colOff>
      <xdr:row>39</xdr:row>
      <xdr:rowOff>140803</xdr:rowOff>
    </xdr:from>
    <xdr:to>
      <xdr:col>38</xdr:col>
      <xdr:colOff>179260</xdr:colOff>
      <xdr:row>44</xdr:row>
      <xdr:rowOff>169671</xdr:rowOff>
    </xdr:to>
    <xdr:sp macro="" textlink="">
      <xdr:nvSpPr>
        <xdr:cNvPr id="114" name="Rectangle 113">
          <a:extLst>
            <a:ext uri="{FF2B5EF4-FFF2-40B4-BE49-F238E27FC236}">
              <a16:creationId xmlns:a16="http://schemas.microsoft.com/office/drawing/2014/main" xmlns="" id="{00000000-0008-0000-0600-000072000000}"/>
            </a:ext>
          </a:extLst>
        </xdr:cNvPr>
        <xdr:cNvSpPr/>
      </xdr:nvSpPr>
      <xdr:spPr>
        <a:xfrm>
          <a:off x="22445870" y="7893325"/>
          <a:ext cx="1024086" cy="10641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TX BCLK Enable</a:t>
          </a:r>
        </a:p>
        <a:p>
          <a:pPr algn="ctr"/>
          <a:r>
            <a:rPr lang="en-US" sz="900"/>
            <a:t>SAI0_TSCR[BCE]</a:t>
          </a:r>
        </a:p>
      </xdr:txBody>
    </xdr:sp>
    <xdr:clientData/>
  </xdr:twoCellAnchor>
  <xdr:oneCellAnchor>
    <xdr:from>
      <xdr:col>36</xdr:col>
      <xdr:colOff>579781</xdr:colOff>
      <xdr:row>45</xdr:row>
      <xdr:rowOff>182220</xdr:rowOff>
    </xdr:from>
    <xdr:ext cx="814552" cy="354725"/>
    <xdr:sp macro="" textlink="">
      <xdr:nvSpPr>
        <xdr:cNvPr id="115" name="TextBox 114">
          <a:extLst>
            <a:ext uri="{FF2B5EF4-FFF2-40B4-BE49-F238E27FC236}">
              <a16:creationId xmlns:a16="http://schemas.microsoft.com/office/drawing/2014/main" xmlns="" id="{00000000-0008-0000-0600-000073000000}"/>
            </a:ext>
          </a:extLst>
        </xdr:cNvPr>
        <xdr:cNvSpPr txBox="1"/>
      </xdr:nvSpPr>
      <xdr:spPr>
        <a:xfrm>
          <a:off x="22644651" y="9177133"/>
          <a:ext cx="81455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a:t>
          </a:r>
          <a:r>
            <a:rPr lang="en-US" sz="800" baseline="0"/>
            <a:t> off</a:t>
          </a:r>
          <a:endParaRPr lang="en-US" sz="800"/>
        </a:p>
        <a:p>
          <a:r>
            <a:rPr lang="en-US" sz="800"/>
            <a:t>1 - BCLK on</a:t>
          </a:r>
        </a:p>
      </xdr:txBody>
    </xdr:sp>
    <xdr:clientData/>
  </xdr:oneCellAnchor>
  <xdr:twoCellAnchor>
    <xdr:from>
      <xdr:col>38</xdr:col>
      <xdr:colOff>190500</xdr:colOff>
      <xdr:row>44</xdr:row>
      <xdr:rowOff>24854</xdr:rowOff>
    </xdr:from>
    <xdr:to>
      <xdr:col>40</xdr:col>
      <xdr:colOff>372717</xdr:colOff>
      <xdr:row>44</xdr:row>
      <xdr:rowOff>24854</xdr:rowOff>
    </xdr:to>
    <xdr:cxnSp macro="">
      <xdr:nvCxnSpPr>
        <xdr:cNvPr id="116" name="Straight Arrow Connector 115">
          <a:extLst>
            <a:ext uri="{FF2B5EF4-FFF2-40B4-BE49-F238E27FC236}">
              <a16:creationId xmlns:a16="http://schemas.microsoft.com/office/drawing/2014/main" xmlns="" id="{00000000-0008-0000-0600-000074000000}"/>
            </a:ext>
          </a:extLst>
        </xdr:cNvPr>
        <xdr:cNvCxnSpPr/>
      </xdr:nvCxnSpPr>
      <xdr:spPr>
        <a:xfrm>
          <a:off x="23481196" y="8812702"/>
          <a:ext cx="1408043"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397567</xdr:colOff>
      <xdr:row>39</xdr:row>
      <xdr:rowOff>157368</xdr:rowOff>
    </xdr:from>
    <xdr:to>
      <xdr:col>42</xdr:col>
      <xdr:colOff>195826</xdr:colOff>
      <xdr:row>44</xdr:row>
      <xdr:rowOff>186236</xdr:rowOff>
    </xdr:to>
    <xdr:sp macro="" textlink="">
      <xdr:nvSpPr>
        <xdr:cNvPr id="118" name="Rectangle 117">
          <a:extLst>
            <a:ext uri="{FF2B5EF4-FFF2-40B4-BE49-F238E27FC236}">
              <a16:creationId xmlns:a16="http://schemas.microsoft.com/office/drawing/2014/main" xmlns="" id="{00000000-0008-0000-0600-000076000000}"/>
            </a:ext>
          </a:extLst>
        </xdr:cNvPr>
        <xdr:cNvSpPr/>
      </xdr:nvSpPr>
      <xdr:spPr>
        <a:xfrm>
          <a:off x="24914089" y="7909890"/>
          <a:ext cx="1024085" cy="10641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TX BCLK Swap</a:t>
          </a:r>
        </a:p>
        <a:p>
          <a:pPr algn="ctr"/>
          <a:r>
            <a:rPr lang="en-US" sz="900"/>
            <a:t>SAI0_TCR2[BCS]</a:t>
          </a:r>
        </a:p>
      </xdr:txBody>
    </xdr:sp>
    <xdr:clientData/>
  </xdr:twoCellAnchor>
  <xdr:oneCellAnchor>
    <xdr:from>
      <xdr:col>40</xdr:col>
      <xdr:colOff>579782</xdr:colOff>
      <xdr:row>45</xdr:row>
      <xdr:rowOff>182218</xdr:rowOff>
    </xdr:from>
    <xdr:ext cx="1648558" cy="381000"/>
    <xdr:sp macro="" textlink="">
      <xdr:nvSpPr>
        <xdr:cNvPr id="120" name="TextBox 119">
          <a:extLst>
            <a:ext uri="{FF2B5EF4-FFF2-40B4-BE49-F238E27FC236}">
              <a16:creationId xmlns:a16="http://schemas.microsoft.com/office/drawing/2014/main" xmlns="" id="{00000000-0008-0000-0600-000078000000}"/>
            </a:ext>
          </a:extLst>
        </xdr:cNvPr>
        <xdr:cNvSpPr txBox="1"/>
      </xdr:nvSpPr>
      <xdr:spPr>
        <a:xfrm>
          <a:off x="25096304" y="9177131"/>
          <a:ext cx="1648558"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BCLK_TX_SAI0_PS</a:t>
          </a:r>
        </a:p>
        <a:p>
          <a:r>
            <a:rPr lang="en-US" sz="800"/>
            <a:t>1 -</a:t>
          </a:r>
          <a:r>
            <a:rPr lang="en-US" sz="800" baseline="0"/>
            <a:t> Use BCLK_RX_SAI0_PS</a:t>
          </a:r>
        </a:p>
      </xdr:txBody>
    </xdr:sp>
    <xdr:clientData/>
  </xdr:oneCellAnchor>
  <xdr:oneCellAnchor>
    <xdr:from>
      <xdr:col>38</xdr:col>
      <xdr:colOff>314739</xdr:colOff>
      <xdr:row>41</xdr:row>
      <xdr:rowOff>140812</xdr:rowOff>
    </xdr:from>
    <xdr:ext cx="1195551" cy="266700"/>
    <xdr:sp macro="" textlink="">
      <xdr:nvSpPr>
        <xdr:cNvPr id="121" name="TextBox 120">
          <a:extLst>
            <a:ext uri="{FF2B5EF4-FFF2-40B4-BE49-F238E27FC236}">
              <a16:creationId xmlns:a16="http://schemas.microsoft.com/office/drawing/2014/main" xmlns="" id="{00000000-0008-0000-0600-000079000000}"/>
            </a:ext>
          </a:extLst>
        </xdr:cNvPr>
        <xdr:cNvSpPr txBox="1"/>
      </xdr:nvSpPr>
      <xdr:spPr>
        <a:xfrm>
          <a:off x="23605435" y="8307464"/>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BCLK_TX_SAI0_PS</a:t>
          </a:r>
        </a:p>
      </xdr:txBody>
    </xdr:sp>
    <xdr:clientData/>
  </xdr:oneCellAnchor>
  <xdr:twoCellAnchor>
    <xdr:from>
      <xdr:col>38</xdr:col>
      <xdr:colOff>347871</xdr:colOff>
      <xdr:row>30</xdr:row>
      <xdr:rowOff>16565</xdr:rowOff>
    </xdr:from>
    <xdr:to>
      <xdr:col>38</xdr:col>
      <xdr:colOff>347871</xdr:colOff>
      <xdr:row>44</xdr:row>
      <xdr:rowOff>33130</xdr:rowOff>
    </xdr:to>
    <xdr:cxnSp macro="">
      <xdr:nvCxnSpPr>
        <xdr:cNvPr id="124" name="Straight Arrow Connector 123">
          <a:extLst>
            <a:ext uri="{FF2B5EF4-FFF2-40B4-BE49-F238E27FC236}">
              <a16:creationId xmlns:a16="http://schemas.microsoft.com/office/drawing/2014/main" xmlns="" id="{00000000-0008-0000-0600-00007C000000}"/>
            </a:ext>
          </a:extLst>
        </xdr:cNvPr>
        <xdr:cNvCxnSpPr/>
      </xdr:nvCxnSpPr>
      <xdr:spPr>
        <a:xfrm>
          <a:off x="23638567" y="5971761"/>
          <a:ext cx="0" cy="2849217"/>
        </a:xfrm>
        <a:prstGeom prst="straightConnector1">
          <a:avLst/>
        </a:prstGeom>
        <a:ln w="38100">
          <a:solidFill>
            <a:schemeClr val="accent5"/>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331304</xdr:colOff>
      <xdr:row>30</xdr:row>
      <xdr:rowOff>24848</xdr:rowOff>
    </xdr:from>
    <xdr:to>
      <xdr:col>40</xdr:col>
      <xdr:colOff>347869</xdr:colOff>
      <xdr:row>30</xdr:row>
      <xdr:rowOff>24848</xdr:rowOff>
    </xdr:to>
    <xdr:cxnSp macro="">
      <xdr:nvCxnSpPr>
        <xdr:cNvPr id="126" name="Straight Arrow Connector 125">
          <a:extLst>
            <a:ext uri="{FF2B5EF4-FFF2-40B4-BE49-F238E27FC236}">
              <a16:creationId xmlns:a16="http://schemas.microsoft.com/office/drawing/2014/main" xmlns="" id="{00000000-0008-0000-0600-00007E000000}"/>
            </a:ext>
          </a:extLst>
        </xdr:cNvPr>
        <xdr:cNvCxnSpPr/>
      </xdr:nvCxnSpPr>
      <xdr:spPr>
        <a:xfrm>
          <a:off x="23622000" y="5980044"/>
          <a:ext cx="1242391"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554935</xdr:colOff>
      <xdr:row>28</xdr:row>
      <xdr:rowOff>24848</xdr:rowOff>
    </xdr:from>
    <xdr:to>
      <xdr:col>38</xdr:col>
      <xdr:colOff>554935</xdr:colOff>
      <xdr:row>40</xdr:row>
      <xdr:rowOff>115956</xdr:rowOff>
    </xdr:to>
    <xdr:cxnSp macro="">
      <xdr:nvCxnSpPr>
        <xdr:cNvPr id="128" name="Straight Arrow Connector 127">
          <a:extLst>
            <a:ext uri="{FF2B5EF4-FFF2-40B4-BE49-F238E27FC236}">
              <a16:creationId xmlns:a16="http://schemas.microsoft.com/office/drawing/2014/main" xmlns="" id="{00000000-0008-0000-0600-000080000000}"/>
            </a:ext>
          </a:extLst>
        </xdr:cNvPr>
        <xdr:cNvCxnSpPr/>
      </xdr:nvCxnSpPr>
      <xdr:spPr>
        <a:xfrm>
          <a:off x="23845631" y="5565913"/>
          <a:ext cx="0" cy="2509630"/>
        </a:xfrm>
        <a:prstGeom prst="straightConnector1">
          <a:avLst/>
        </a:prstGeom>
        <a:ln w="38100">
          <a:solidFill>
            <a:schemeClr val="accent2"/>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530087</xdr:colOff>
      <xdr:row>40</xdr:row>
      <xdr:rowOff>107678</xdr:rowOff>
    </xdr:from>
    <xdr:to>
      <xdr:col>40</xdr:col>
      <xdr:colOff>381000</xdr:colOff>
      <xdr:row>40</xdr:row>
      <xdr:rowOff>107678</xdr:rowOff>
    </xdr:to>
    <xdr:cxnSp macro="">
      <xdr:nvCxnSpPr>
        <xdr:cNvPr id="130" name="Straight Arrow Connector 129">
          <a:extLst>
            <a:ext uri="{FF2B5EF4-FFF2-40B4-BE49-F238E27FC236}">
              <a16:creationId xmlns:a16="http://schemas.microsoft.com/office/drawing/2014/main" xmlns="" id="{00000000-0008-0000-0600-000082000000}"/>
            </a:ext>
          </a:extLst>
        </xdr:cNvPr>
        <xdr:cNvCxnSpPr/>
      </xdr:nvCxnSpPr>
      <xdr:spPr>
        <a:xfrm>
          <a:off x="23820783" y="8042417"/>
          <a:ext cx="1076739"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198782</xdr:colOff>
      <xdr:row>42</xdr:row>
      <xdr:rowOff>91115</xdr:rowOff>
    </xdr:from>
    <xdr:to>
      <xdr:col>43</xdr:col>
      <xdr:colOff>341657</xdr:colOff>
      <xdr:row>42</xdr:row>
      <xdr:rowOff>91115</xdr:rowOff>
    </xdr:to>
    <xdr:cxnSp macro="">
      <xdr:nvCxnSpPr>
        <xdr:cNvPr id="133" name="Straight Arrow Connector 132">
          <a:extLst>
            <a:ext uri="{FF2B5EF4-FFF2-40B4-BE49-F238E27FC236}">
              <a16:creationId xmlns:a16="http://schemas.microsoft.com/office/drawing/2014/main" xmlns="" id="{00000000-0008-0000-0600-000085000000}"/>
            </a:ext>
          </a:extLst>
        </xdr:cNvPr>
        <xdr:cNvCxnSpPr/>
      </xdr:nvCxnSpPr>
      <xdr:spPr>
        <a:xfrm>
          <a:off x="25941130" y="8464832"/>
          <a:ext cx="75578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364435</xdr:colOff>
      <xdr:row>39</xdr:row>
      <xdr:rowOff>149086</xdr:rowOff>
    </xdr:from>
    <xdr:to>
      <xdr:col>45</xdr:col>
      <xdr:colOff>162694</xdr:colOff>
      <xdr:row>44</xdr:row>
      <xdr:rowOff>177954</xdr:rowOff>
    </xdr:to>
    <xdr:sp macro="" textlink="">
      <xdr:nvSpPr>
        <xdr:cNvPr id="134" name="Rectangle 133">
          <a:extLst>
            <a:ext uri="{FF2B5EF4-FFF2-40B4-BE49-F238E27FC236}">
              <a16:creationId xmlns:a16="http://schemas.microsoft.com/office/drawing/2014/main" xmlns="" id="{00000000-0008-0000-0600-000086000000}"/>
            </a:ext>
          </a:extLst>
        </xdr:cNvPr>
        <xdr:cNvSpPr/>
      </xdr:nvSpPr>
      <xdr:spPr>
        <a:xfrm>
          <a:off x="26719696" y="7901608"/>
          <a:ext cx="1024085" cy="10641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 TX BCLK Sync Mode</a:t>
          </a:r>
        </a:p>
        <a:p>
          <a:pPr algn="ctr"/>
          <a:r>
            <a:rPr lang="en-US" sz="900"/>
            <a:t>SAI0_TCR2[SYNC]</a:t>
          </a:r>
        </a:p>
      </xdr:txBody>
    </xdr:sp>
    <xdr:clientData/>
  </xdr:twoCellAnchor>
  <xdr:oneCellAnchor>
    <xdr:from>
      <xdr:col>43</xdr:col>
      <xdr:colOff>554935</xdr:colOff>
      <xdr:row>45</xdr:row>
      <xdr:rowOff>182216</xdr:rowOff>
    </xdr:from>
    <xdr:ext cx="1509347" cy="619125"/>
    <xdr:sp macro="" textlink="">
      <xdr:nvSpPr>
        <xdr:cNvPr id="135" name="TextBox 134">
          <a:extLst>
            <a:ext uri="{FF2B5EF4-FFF2-40B4-BE49-F238E27FC236}">
              <a16:creationId xmlns:a16="http://schemas.microsoft.com/office/drawing/2014/main" xmlns="" id="{00000000-0008-0000-0600-000087000000}"/>
            </a:ext>
          </a:extLst>
        </xdr:cNvPr>
        <xdr:cNvSpPr txBox="1"/>
      </xdr:nvSpPr>
      <xdr:spPr>
        <a:xfrm>
          <a:off x="26910196" y="9177129"/>
          <a:ext cx="1509347"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BCLK_RX_SAI0</a:t>
          </a:r>
        </a:p>
        <a:p>
          <a:r>
            <a:rPr lang="en-US" sz="800" baseline="0"/>
            <a:t>2 - Reserved</a:t>
          </a:r>
        </a:p>
        <a:p>
          <a:r>
            <a:rPr lang="en-US" sz="800" baseline="0"/>
            <a:t>3 - Reserved</a:t>
          </a:r>
        </a:p>
      </xdr:txBody>
    </xdr:sp>
    <xdr:clientData/>
  </xdr:oneCellAnchor>
  <xdr:twoCellAnchor>
    <xdr:from>
      <xdr:col>45</xdr:col>
      <xdr:colOff>182218</xdr:colOff>
      <xdr:row>42</xdr:row>
      <xdr:rowOff>33136</xdr:rowOff>
    </xdr:from>
    <xdr:to>
      <xdr:col>48</xdr:col>
      <xdr:colOff>390525</xdr:colOff>
      <xdr:row>42</xdr:row>
      <xdr:rowOff>33136</xdr:rowOff>
    </xdr:to>
    <xdr:cxnSp macro="">
      <xdr:nvCxnSpPr>
        <xdr:cNvPr id="136" name="Straight Arrow Connector 135">
          <a:extLst>
            <a:ext uri="{FF2B5EF4-FFF2-40B4-BE49-F238E27FC236}">
              <a16:creationId xmlns:a16="http://schemas.microsoft.com/office/drawing/2014/main" xmlns="" id="{00000000-0008-0000-0600-000088000000}"/>
            </a:ext>
          </a:extLst>
        </xdr:cNvPr>
        <xdr:cNvCxnSpPr/>
      </xdr:nvCxnSpPr>
      <xdr:spPr>
        <a:xfrm>
          <a:off x="27614218" y="8481811"/>
          <a:ext cx="203710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45</xdr:col>
      <xdr:colOff>356153</xdr:colOff>
      <xdr:row>39</xdr:row>
      <xdr:rowOff>149090</xdr:rowOff>
    </xdr:from>
    <xdr:ext cx="1195551" cy="266700"/>
    <xdr:sp macro="" textlink="">
      <xdr:nvSpPr>
        <xdr:cNvPr id="137" name="TextBox 136">
          <a:extLst>
            <a:ext uri="{FF2B5EF4-FFF2-40B4-BE49-F238E27FC236}">
              <a16:creationId xmlns:a16="http://schemas.microsoft.com/office/drawing/2014/main" xmlns="" id="{00000000-0008-0000-0600-000089000000}"/>
            </a:ext>
          </a:extLst>
        </xdr:cNvPr>
        <xdr:cNvSpPr txBox="1"/>
      </xdr:nvSpPr>
      <xdr:spPr>
        <a:xfrm>
          <a:off x="27937240" y="7901612"/>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BCLK_TX_SAI0</a:t>
          </a:r>
        </a:p>
      </xdr:txBody>
    </xdr:sp>
    <xdr:clientData/>
  </xdr:oneCellAnchor>
  <xdr:twoCellAnchor>
    <xdr:from>
      <xdr:col>54</xdr:col>
      <xdr:colOff>14654</xdr:colOff>
      <xdr:row>11</xdr:row>
      <xdr:rowOff>104298</xdr:rowOff>
    </xdr:from>
    <xdr:to>
      <xdr:col>61</xdr:col>
      <xdr:colOff>363070</xdr:colOff>
      <xdr:row>44</xdr:row>
      <xdr:rowOff>2928</xdr:rowOff>
    </xdr:to>
    <xdr:grpSp>
      <xdr:nvGrpSpPr>
        <xdr:cNvPr id="166" name="Group 165">
          <a:extLst>
            <a:ext uri="{FF2B5EF4-FFF2-40B4-BE49-F238E27FC236}">
              <a16:creationId xmlns:a16="http://schemas.microsoft.com/office/drawing/2014/main" xmlns="" id="{00000000-0008-0000-0600-0000A6000000}"/>
            </a:ext>
          </a:extLst>
        </xdr:cNvPr>
        <xdr:cNvGrpSpPr/>
      </xdr:nvGrpSpPr>
      <xdr:grpSpPr>
        <a:xfrm>
          <a:off x="32933054" y="2247423"/>
          <a:ext cx="4615616" cy="6623280"/>
          <a:chOff x="29168481" y="2243760"/>
          <a:chExt cx="4603893" cy="6629141"/>
        </a:xfrm>
      </xdr:grpSpPr>
      <xdr:grpSp>
        <xdr:nvGrpSpPr>
          <xdr:cNvPr id="164" name="Group 163">
            <a:extLst>
              <a:ext uri="{FF2B5EF4-FFF2-40B4-BE49-F238E27FC236}">
                <a16:creationId xmlns:a16="http://schemas.microsoft.com/office/drawing/2014/main" xmlns="" id="{00000000-0008-0000-0600-0000A4000000}"/>
              </a:ext>
            </a:extLst>
          </xdr:cNvPr>
          <xdr:cNvGrpSpPr/>
        </xdr:nvGrpSpPr>
        <xdr:grpSpPr>
          <a:xfrm>
            <a:off x="29180866" y="2243760"/>
            <a:ext cx="4591508" cy="6629141"/>
            <a:chOff x="29180866" y="2243760"/>
            <a:chExt cx="4591508" cy="6629141"/>
          </a:xfrm>
        </xdr:grpSpPr>
        <xdr:grpSp>
          <xdr:nvGrpSpPr>
            <xdr:cNvPr id="162" name="Group 161">
              <a:extLst>
                <a:ext uri="{FF2B5EF4-FFF2-40B4-BE49-F238E27FC236}">
                  <a16:creationId xmlns:a16="http://schemas.microsoft.com/office/drawing/2014/main" xmlns="" id="{00000000-0008-0000-0600-0000A2000000}"/>
                </a:ext>
              </a:extLst>
            </xdr:cNvPr>
            <xdr:cNvGrpSpPr/>
          </xdr:nvGrpSpPr>
          <xdr:grpSpPr>
            <a:xfrm>
              <a:off x="29180866" y="2243760"/>
              <a:ext cx="4591508" cy="6629141"/>
              <a:chOff x="29180866" y="2243760"/>
              <a:chExt cx="4591508" cy="6629141"/>
            </a:xfrm>
          </xdr:grpSpPr>
          <xdr:grpSp>
            <xdr:nvGrpSpPr>
              <xdr:cNvPr id="160" name="Group 159">
                <a:extLst>
                  <a:ext uri="{FF2B5EF4-FFF2-40B4-BE49-F238E27FC236}">
                    <a16:creationId xmlns:a16="http://schemas.microsoft.com/office/drawing/2014/main" xmlns="" id="{00000000-0008-0000-0600-0000A0000000}"/>
                  </a:ext>
                </a:extLst>
              </xdr:cNvPr>
              <xdr:cNvGrpSpPr/>
            </xdr:nvGrpSpPr>
            <xdr:grpSpPr>
              <a:xfrm>
                <a:off x="29180866" y="2243760"/>
                <a:ext cx="4591508" cy="6629141"/>
                <a:chOff x="29180866" y="2243760"/>
                <a:chExt cx="4591508" cy="6629141"/>
              </a:xfrm>
            </xdr:grpSpPr>
            <xdr:grpSp>
              <xdr:nvGrpSpPr>
                <xdr:cNvPr id="155" name="Group 154">
                  <a:extLst>
                    <a:ext uri="{FF2B5EF4-FFF2-40B4-BE49-F238E27FC236}">
                      <a16:creationId xmlns:a16="http://schemas.microsoft.com/office/drawing/2014/main" xmlns="" id="{00000000-0008-0000-0600-00009B000000}"/>
                    </a:ext>
                  </a:extLst>
                </xdr:cNvPr>
                <xdr:cNvGrpSpPr/>
              </xdr:nvGrpSpPr>
              <xdr:grpSpPr>
                <a:xfrm>
                  <a:off x="29180866" y="2243760"/>
                  <a:ext cx="4591508" cy="6629141"/>
                  <a:chOff x="3339294" y="30942433"/>
                  <a:chExt cx="4580453" cy="6129459"/>
                </a:xfrm>
              </xdr:grpSpPr>
              <xdr:sp macro="" textlink="">
                <xdr:nvSpPr>
                  <xdr:cNvPr id="157" name="Rectangle 156">
                    <a:extLst>
                      <a:ext uri="{FF2B5EF4-FFF2-40B4-BE49-F238E27FC236}">
                        <a16:creationId xmlns:a16="http://schemas.microsoft.com/office/drawing/2014/main" xmlns="" id="{00000000-0008-0000-0600-00009D000000}"/>
                      </a:ext>
                    </a:extLst>
                  </xdr:cNvPr>
                  <xdr:cNvSpPr/>
                </xdr:nvSpPr>
                <xdr:spPr>
                  <a:xfrm>
                    <a:off x="3371850" y="30980142"/>
                    <a:ext cx="4547897" cy="6091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5400"/>
                      <a:t>SAI0</a:t>
                    </a:r>
                  </a:p>
                </xdr:txBody>
              </xdr:sp>
              <xdr:sp macro="" textlink="">
                <xdr:nvSpPr>
                  <xdr:cNvPr id="158" name="TextBox 157">
                    <a:extLst>
                      <a:ext uri="{FF2B5EF4-FFF2-40B4-BE49-F238E27FC236}">
                        <a16:creationId xmlns:a16="http://schemas.microsoft.com/office/drawing/2014/main" xmlns="" id="{00000000-0008-0000-0600-00009E000000}"/>
                      </a:ext>
                    </a:extLst>
                  </xdr:cNvPr>
                  <xdr:cNvSpPr txBox="1"/>
                </xdr:nvSpPr>
                <xdr:spPr>
                  <a:xfrm>
                    <a:off x="3339294" y="30942433"/>
                    <a:ext cx="667408" cy="28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BIU</a:t>
                    </a:r>
                  </a:p>
                </xdr:txBody>
              </xdr:sp>
            </xdr:grpSp>
            <xdr:sp macro="" textlink="">
              <xdr:nvSpPr>
                <xdr:cNvPr id="159" name="TextBox 158">
                  <a:extLst>
                    <a:ext uri="{FF2B5EF4-FFF2-40B4-BE49-F238E27FC236}">
                      <a16:creationId xmlns:a16="http://schemas.microsoft.com/office/drawing/2014/main" xmlns="" id="{00000000-0008-0000-0600-00009F000000}"/>
                    </a:ext>
                  </a:extLst>
                </xdr:cNvPr>
                <xdr:cNvSpPr txBox="1"/>
              </xdr:nvSpPr>
              <xdr:spPr>
                <a:xfrm>
                  <a:off x="29194054" y="4008083"/>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RX Master</a:t>
                  </a:r>
                  <a:r>
                    <a:rPr lang="en-US" sz="1000" baseline="0">
                      <a:solidFill>
                        <a:schemeClr val="bg1"/>
                      </a:solidFill>
                    </a:rPr>
                    <a:t> Clock</a:t>
                  </a:r>
                  <a:endParaRPr lang="en-US" sz="1000">
                    <a:solidFill>
                      <a:schemeClr val="bg1"/>
                    </a:solidFill>
                  </a:endParaRPr>
                </a:p>
              </xdr:txBody>
            </xdr:sp>
          </xdr:grpSp>
          <xdr:sp macro="" textlink="">
            <xdr:nvSpPr>
              <xdr:cNvPr id="161" name="TextBox 160">
                <a:extLst>
                  <a:ext uri="{FF2B5EF4-FFF2-40B4-BE49-F238E27FC236}">
                    <a16:creationId xmlns:a16="http://schemas.microsoft.com/office/drawing/2014/main" xmlns="" id="{00000000-0008-0000-0600-0000A1000000}"/>
                  </a:ext>
                </a:extLst>
              </xdr:cNvPr>
              <xdr:cNvSpPr txBox="1"/>
            </xdr:nvSpPr>
            <xdr:spPr>
              <a:xfrm>
                <a:off x="29188194" y="7270030"/>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TX Master</a:t>
                </a:r>
                <a:r>
                  <a:rPr lang="en-US" sz="1000" baseline="0">
                    <a:solidFill>
                      <a:schemeClr val="bg1"/>
                    </a:solidFill>
                  </a:rPr>
                  <a:t> Clock</a:t>
                </a:r>
                <a:endParaRPr lang="en-US" sz="1000">
                  <a:solidFill>
                    <a:schemeClr val="bg1"/>
                  </a:solidFill>
                </a:endParaRPr>
              </a:p>
            </xdr:txBody>
          </xdr:sp>
        </xdr:grpSp>
        <xdr:sp macro="" textlink="">
          <xdr:nvSpPr>
            <xdr:cNvPr id="163" name="TextBox 162">
              <a:extLst>
                <a:ext uri="{FF2B5EF4-FFF2-40B4-BE49-F238E27FC236}">
                  <a16:creationId xmlns:a16="http://schemas.microsoft.com/office/drawing/2014/main" xmlns="" id="{00000000-0008-0000-0600-0000A3000000}"/>
                </a:ext>
              </a:extLst>
            </xdr:cNvPr>
            <xdr:cNvSpPr txBox="1"/>
          </xdr:nvSpPr>
          <xdr:spPr>
            <a:xfrm>
              <a:off x="29188193" y="5636126"/>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RX Bit</a:t>
              </a:r>
              <a:r>
                <a:rPr lang="en-US" sz="1000" baseline="0">
                  <a:solidFill>
                    <a:schemeClr val="bg1"/>
                  </a:solidFill>
                </a:rPr>
                <a:t> Clock</a:t>
              </a:r>
              <a:endParaRPr lang="en-US" sz="1000">
                <a:solidFill>
                  <a:schemeClr val="bg1"/>
                </a:solidFill>
              </a:endParaRPr>
            </a:p>
          </xdr:txBody>
        </xdr:sp>
      </xdr:grpSp>
      <xdr:sp macro="" textlink="">
        <xdr:nvSpPr>
          <xdr:cNvPr id="165" name="TextBox 164">
            <a:extLst>
              <a:ext uri="{FF2B5EF4-FFF2-40B4-BE49-F238E27FC236}">
                <a16:creationId xmlns:a16="http://schemas.microsoft.com/office/drawing/2014/main" xmlns="" id="{00000000-0008-0000-0600-0000A5000000}"/>
              </a:ext>
            </a:extLst>
          </xdr:cNvPr>
          <xdr:cNvSpPr txBox="1"/>
        </xdr:nvSpPr>
        <xdr:spPr>
          <a:xfrm>
            <a:off x="29168481" y="8330712"/>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TX Bit</a:t>
            </a:r>
            <a:r>
              <a:rPr lang="en-US" sz="1000" baseline="0">
                <a:solidFill>
                  <a:schemeClr val="bg1"/>
                </a:solidFill>
              </a:rPr>
              <a:t> Clock</a:t>
            </a:r>
            <a:endParaRPr lang="en-US" sz="1000">
              <a:solidFill>
                <a:schemeClr val="bg1"/>
              </a:solidFill>
            </a:endParaRPr>
          </a:p>
        </xdr:txBody>
      </xdr:sp>
    </xdr:grpSp>
    <xdr:clientData/>
  </xdr:twoCellAnchor>
  <xdr:twoCellAnchor>
    <xdr:from>
      <xdr:col>54</xdr:col>
      <xdr:colOff>9158</xdr:colOff>
      <xdr:row>54</xdr:row>
      <xdr:rowOff>68953</xdr:rowOff>
    </xdr:from>
    <xdr:to>
      <xdr:col>61</xdr:col>
      <xdr:colOff>357574</xdr:colOff>
      <xdr:row>88</xdr:row>
      <xdr:rowOff>186658</xdr:rowOff>
    </xdr:to>
    <xdr:grpSp>
      <xdr:nvGrpSpPr>
        <xdr:cNvPr id="167" name="Group 166">
          <a:extLst>
            <a:ext uri="{FF2B5EF4-FFF2-40B4-BE49-F238E27FC236}">
              <a16:creationId xmlns:a16="http://schemas.microsoft.com/office/drawing/2014/main" xmlns="" id="{00000000-0008-0000-0600-0000A7000000}"/>
            </a:ext>
          </a:extLst>
        </xdr:cNvPr>
        <xdr:cNvGrpSpPr/>
      </xdr:nvGrpSpPr>
      <xdr:grpSpPr>
        <a:xfrm>
          <a:off x="32927558" y="10898878"/>
          <a:ext cx="4615616" cy="7032855"/>
          <a:chOff x="29168481" y="2243760"/>
          <a:chExt cx="4603893" cy="6629141"/>
        </a:xfrm>
      </xdr:grpSpPr>
      <xdr:grpSp>
        <xdr:nvGrpSpPr>
          <xdr:cNvPr id="168" name="Group 167">
            <a:extLst>
              <a:ext uri="{FF2B5EF4-FFF2-40B4-BE49-F238E27FC236}">
                <a16:creationId xmlns:a16="http://schemas.microsoft.com/office/drawing/2014/main" xmlns="" id="{00000000-0008-0000-0600-0000A8000000}"/>
              </a:ext>
            </a:extLst>
          </xdr:cNvPr>
          <xdr:cNvGrpSpPr/>
        </xdr:nvGrpSpPr>
        <xdr:grpSpPr>
          <a:xfrm>
            <a:off x="29180866" y="2243760"/>
            <a:ext cx="4591508" cy="6629141"/>
            <a:chOff x="29180866" y="2243760"/>
            <a:chExt cx="4591508" cy="6629141"/>
          </a:xfrm>
        </xdr:grpSpPr>
        <xdr:grpSp>
          <xdr:nvGrpSpPr>
            <xdr:cNvPr id="170" name="Group 169">
              <a:extLst>
                <a:ext uri="{FF2B5EF4-FFF2-40B4-BE49-F238E27FC236}">
                  <a16:creationId xmlns:a16="http://schemas.microsoft.com/office/drawing/2014/main" xmlns="" id="{00000000-0008-0000-0600-0000AA000000}"/>
                </a:ext>
              </a:extLst>
            </xdr:cNvPr>
            <xdr:cNvGrpSpPr/>
          </xdr:nvGrpSpPr>
          <xdr:grpSpPr>
            <a:xfrm>
              <a:off x="29180866" y="2243760"/>
              <a:ext cx="4591508" cy="6629141"/>
              <a:chOff x="29180866" y="2243760"/>
              <a:chExt cx="4591508" cy="6629141"/>
            </a:xfrm>
          </xdr:grpSpPr>
          <xdr:grpSp>
            <xdr:nvGrpSpPr>
              <xdr:cNvPr id="172" name="Group 171">
                <a:extLst>
                  <a:ext uri="{FF2B5EF4-FFF2-40B4-BE49-F238E27FC236}">
                    <a16:creationId xmlns:a16="http://schemas.microsoft.com/office/drawing/2014/main" xmlns="" id="{00000000-0008-0000-0600-0000AC000000}"/>
                  </a:ext>
                </a:extLst>
              </xdr:cNvPr>
              <xdr:cNvGrpSpPr/>
            </xdr:nvGrpSpPr>
            <xdr:grpSpPr>
              <a:xfrm>
                <a:off x="29180866" y="2243760"/>
                <a:ext cx="4591508" cy="6629141"/>
                <a:chOff x="29180866" y="2243760"/>
                <a:chExt cx="4591508" cy="6629141"/>
              </a:xfrm>
            </xdr:grpSpPr>
            <xdr:grpSp>
              <xdr:nvGrpSpPr>
                <xdr:cNvPr id="174" name="Group 173">
                  <a:extLst>
                    <a:ext uri="{FF2B5EF4-FFF2-40B4-BE49-F238E27FC236}">
                      <a16:creationId xmlns:a16="http://schemas.microsoft.com/office/drawing/2014/main" xmlns="" id="{00000000-0008-0000-0600-0000AE000000}"/>
                    </a:ext>
                  </a:extLst>
                </xdr:cNvPr>
                <xdr:cNvGrpSpPr/>
              </xdr:nvGrpSpPr>
              <xdr:grpSpPr>
                <a:xfrm>
                  <a:off x="29180866" y="2243760"/>
                  <a:ext cx="4591508" cy="6629141"/>
                  <a:chOff x="3339294" y="30942433"/>
                  <a:chExt cx="4580453" cy="6129459"/>
                </a:xfrm>
              </xdr:grpSpPr>
              <xdr:sp macro="" textlink="">
                <xdr:nvSpPr>
                  <xdr:cNvPr id="176" name="Rectangle 175">
                    <a:extLst>
                      <a:ext uri="{FF2B5EF4-FFF2-40B4-BE49-F238E27FC236}">
                        <a16:creationId xmlns:a16="http://schemas.microsoft.com/office/drawing/2014/main" xmlns="" id="{00000000-0008-0000-0600-0000B0000000}"/>
                      </a:ext>
                    </a:extLst>
                  </xdr:cNvPr>
                  <xdr:cNvSpPr/>
                </xdr:nvSpPr>
                <xdr:spPr>
                  <a:xfrm>
                    <a:off x="3371850" y="30980142"/>
                    <a:ext cx="4547897" cy="6091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5400"/>
                      <a:t>SAI1</a:t>
                    </a:r>
                  </a:p>
                </xdr:txBody>
              </xdr:sp>
              <xdr:sp macro="" textlink="">
                <xdr:nvSpPr>
                  <xdr:cNvPr id="177" name="TextBox 176">
                    <a:extLst>
                      <a:ext uri="{FF2B5EF4-FFF2-40B4-BE49-F238E27FC236}">
                        <a16:creationId xmlns:a16="http://schemas.microsoft.com/office/drawing/2014/main" xmlns="" id="{00000000-0008-0000-0600-0000B1000000}"/>
                      </a:ext>
                    </a:extLst>
                  </xdr:cNvPr>
                  <xdr:cNvSpPr txBox="1"/>
                </xdr:nvSpPr>
                <xdr:spPr>
                  <a:xfrm>
                    <a:off x="3339294" y="30942433"/>
                    <a:ext cx="667408" cy="28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BIU</a:t>
                    </a:r>
                  </a:p>
                </xdr:txBody>
              </xdr:sp>
            </xdr:grpSp>
            <xdr:sp macro="" textlink="">
              <xdr:nvSpPr>
                <xdr:cNvPr id="175" name="TextBox 174">
                  <a:extLst>
                    <a:ext uri="{FF2B5EF4-FFF2-40B4-BE49-F238E27FC236}">
                      <a16:creationId xmlns:a16="http://schemas.microsoft.com/office/drawing/2014/main" xmlns="" id="{00000000-0008-0000-0600-0000AF000000}"/>
                    </a:ext>
                  </a:extLst>
                </xdr:cNvPr>
                <xdr:cNvSpPr txBox="1"/>
              </xdr:nvSpPr>
              <xdr:spPr>
                <a:xfrm>
                  <a:off x="29194054" y="3945065"/>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RX Master</a:t>
                  </a:r>
                  <a:r>
                    <a:rPr lang="en-US" sz="1000" baseline="0">
                      <a:solidFill>
                        <a:schemeClr val="bg1"/>
                      </a:solidFill>
                    </a:rPr>
                    <a:t> Clock</a:t>
                  </a:r>
                  <a:endParaRPr lang="en-US" sz="1000">
                    <a:solidFill>
                      <a:schemeClr val="bg1"/>
                    </a:solidFill>
                  </a:endParaRPr>
                </a:p>
              </xdr:txBody>
            </xdr:sp>
          </xdr:grpSp>
          <xdr:sp macro="" textlink="">
            <xdr:nvSpPr>
              <xdr:cNvPr id="173" name="TextBox 172">
                <a:extLst>
                  <a:ext uri="{FF2B5EF4-FFF2-40B4-BE49-F238E27FC236}">
                    <a16:creationId xmlns:a16="http://schemas.microsoft.com/office/drawing/2014/main" xmlns="" id="{00000000-0008-0000-0600-0000AD000000}"/>
                  </a:ext>
                </a:extLst>
              </xdr:cNvPr>
              <xdr:cNvSpPr txBox="1"/>
            </xdr:nvSpPr>
            <xdr:spPr>
              <a:xfrm>
                <a:off x="29188194" y="7233674"/>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TX Master</a:t>
                </a:r>
                <a:r>
                  <a:rPr lang="en-US" sz="1000" baseline="0">
                    <a:solidFill>
                      <a:schemeClr val="bg1"/>
                    </a:solidFill>
                  </a:rPr>
                  <a:t> Clock</a:t>
                </a:r>
                <a:endParaRPr lang="en-US" sz="1000">
                  <a:solidFill>
                    <a:schemeClr val="bg1"/>
                  </a:solidFill>
                </a:endParaRPr>
              </a:p>
            </xdr:txBody>
          </xdr:sp>
        </xdr:grpSp>
        <xdr:sp macro="" textlink="">
          <xdr:nvSpPr>
            <xdr:cNvPr id="171" name="TextBox 170">
              <a:extLst>
                <a:ext uri="{FF2B5EF4-FFF2-40B4-BE49-F238E27FC236}">
                  <a16:creationId xmlns:a16="http://schemas.microsoft.com/office/drawing/2014/main" xmlns="" id="{00000000-0008-0000-0600-0000AB000000}"/>
                </a:ext>
              </a:extLst>
            </xdr:cNvPr>
            <xdr:cNvSpPr txBox="1"/>
          </xdr:nvSpPr>
          <xdr:spPr>
            <a:xfrm>
              <a:off x="29188193" y="5499403"/>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RX Bit</a:t>
              </a:r>
              <a:r>
                <a:rPr lang="en-US" sz="1000" baseline="0">
                  <a:solidFill>
                    <a:schemeClr val="bg1"/>
                  </a:solidFill>
                </a:rPr>
                <a:t> Clock</a:t>
              </a:r>
              <a:endParaRPr lang="en-US" sz="1000">
                <a:solidFill>
                  <a:schemeClr val="bg1"/>
                </a:solidFill>
              </a:endParaRPr>
            </a:p>
          </xdr:txBody>
        </xdr:sp>
      </xdr:grpSp>
      <xdr:sp macro="" textlink="">
        <xdr:nvSpPr>
          <xdr:cNvPr id="169" name="TextBox 168">
            <a:extLst>
              <a:ext uri="{FF2B5EF4-FFF2-40B4-BE49-F238E27FC236}">
                <a16:creationId xmlns:a16="http://schemas.microsoft.com/office/drawing/2014/main" xmlns="" id="{00000000-0008-0000-0600-0000A9000000}"/>
              </a:ext>
            </a:extLst>
          </xdr:cNvPr>
          <xdr:cNvSpPr txBox="1"/>
        </xdr:nvSpPr>
        <xdr:spPr>
          <a:xfrm>
            <a:off x="29168481" y="8357647"/>
            <a:ext cx="1234658" cy="306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TX Bit</a:t>
            </a:r>
            <a:r>
              <a:rPr lang="en-US" sz="1000" baseline="0">
                <a:solidFill>
                  <a:schemeClr val="bg1"/>
                </a:solidFill>
              </a:rPr>
              <a:t> Clock</a:t>
            </a:r>
            <a:endParaRPr lang="en-US" sz="1000">
              <a:solidFill>
                <a:schemeClr val="bg1"/>
              </a:solidFill>
            </a:endParaRPr>
          </a:p>
        </xdr:txBody>
      </xdr:sp>
    </xdr:grpSp>
    <xdr:clientData/>
  </xdr:twoCellAnchor>
  <xdr:oneCellAnchor>
    <xdr:from>
      <xdr:col>0</xdr:col>
      <xdr:colOff>496956</xdr:colOff>
      <xdr:row>106</xdr:row>
      <xdr:rowOff>198783</xdr:rowOff>
    </xdr:from>
    <xdr:ext cx="847725" cy="266700"/>
    <xdr:sp macro="" textlink="">
      <xdr:nvSpPr>
        <xdr:cNvPr id="182" name="TextBox 181">
          <a:hlinkClick xmlns:r="http://schemas.openxmlformats.org/officeDocument/2006/relationships" r:id="rId1"/>
          <a:extLst>
            <a:ext uri="{FF2B5EF4-FFF2-40B4-BE49-F238E27FC236}">
              <a16:creationId xmlns:a16="http://schemas.microsoft.com/office/drawing/2014/main" xmlns="" id="{00000000-0008-0000-0600-0000B6000000}"/>
            </a:ext>
          </a:extLst>
        </xdr:cNvPr>
        <xdr:cNvSpPr txBox="1"/>
      </xdr:nvSpPr>
      <xdr:spPr>
        <a:xfrm>
          <a:off x="496956" y="2084732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BUS_CLK</a:t>
          </a:r>
        </a:p>
      </xdr:txBody>
    </xdr:sp>
    <xdr:clientData/>
  </xdr:oneCellAnchor>
  <xdr:oneCellAnchor>
    <xdr:from>
      <xdr:col>2</xdr:col>
      <xdr:colOff>458856</xdr:colOff>
      <xdr:row>106</xdr:row>
      <xdr:rowOff>198783</xdr:rowOff>
    </xdr:from>
    <xdr:ext cx="990600" cy="266700"/>
    <xdr:sp macro="" textlink="">
      <xdr:nvSpPr>
        <xdr:cNvPr id="183" name="TextBox 182">
          <a:hlinkClick xmlns:r="http://schemas.openxmlformats.org/officeDocument/2006/relationships" r:id="rId2"/>
          <a:extLst>
            <a:ext uri="{FF2B5EF4-FFF2-40B4-BE49-F238E27FC236}">
              <a16:creationId xmlns:a16="http://schemas.microsoft.com/office/drawing/2014/main" xmlns="" id="{00000000-0008-0000-0600-0000B7000000}"/>
            </a:ext>
          </a:extLst>
        </xdr:cNvPr>
        <xdr:cNvSpPr txBox="1"/>
      </xdr:nvSpPr>
      <xdr:spPr>
        <a:xfrm>
          <a:off x="1684682" y="2084732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SOSCDIV1_CLK</a:t>
          </a:r>
        </a:p>
      </xdr:txBody>
    </xdr:sp>
    <xdr:clientData/>
  </xdr:oneCellAnchor>
  <xdr:oneCellAnchor>
    <xdr:from>
      <xdr:col>4</xdr:col>
      <xdr:colOff>506481</xdr:colOff>
      <xdr:row>106</xdr:row>
      <xdr:rowOff>198783</xdr:rowOff>
    </xdr:from>
    <xdr:ext cx="847725" cy="266700"/>
    <xdr:sp macro="" textlink="">
      <xdr:nvSpPr>
        <xdr:cNvPr id="184" name="TextBox 183">
          <a:hlinkClick xmlns:r="http://schemas.openxmlformats.org/officeDocument/2006/relationships" r:id="rId3"/>
          <a:extLst>
            <a:ext uri="{FF2B5EF4-FFF2-40B4-BE49-F238E27FC236}">
              <a16:creationId xmlns:a16="http://schemas.microsoft.com/office/drawing/2014/main" xmlns="" id="{00000000-0008-0000-0600-0000B8000000}"/>
            </a:ext>
          </a:extLst>
        </xdr:cNvPr>
        <xdr:cNvSpPr txBox="1"/>
      </xdr:nvSpPr>
      <xdr:spPr>
        <a:xfrm>
          <a:off x="2958133" y="2084732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MCLK[x]</a:t>
          </a:r>
        </a:p>
      </xdr:txBody>
    </xdr:sp>
    <xdr:clientData/>
  </xdr:oneCellAnchor>
  <xdr:oneCellAnchor>
    <xdr:from>
      <xdr:col>6</xdr:col>
      <xdr:colOff>487431</xdr:colOff>
      <xdr:row>107</xdr:row>
      <xdr:rowOff>1242</xdr:rowOff>
    </xdr:from>
    <xdr:ext cx="847725" cy="266700"/>
    <xdr:sp macro="" textlink="">
      <xdr:nvSpPr>
        <xdr:cNvPr id="185" name="TextBox 184">
          <a:hlinkClick xmlns:r="http://schemas.openxmlformats.org/officeDocument/2006/relationships" r:id="rId4"/>
          <a:extLst>
            <a:ext uri="{FF2B5EF4-FFF2-40B4-BE49-F238E27FC236}">
              <a16:creationId xmlns:a16="http://schemas.microsoft.com/office/drawing/2014/main" xmlns="" id="{00000000-0008-0000-0600-0000B9000000}"/>
            </a:ext>
          </a:extLst>
        </xdr:cNvPr>
        <xdr:cNvSpPr txBox="1"/>
      </xdr:nvSpPr>
      <xdr:spPr>
        <a:xfrm>
          <a:off x="4164909" y="20856851"/>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MCLK[y]</a:t>
          </a:r>
        </a:p>
      </xdr:txBody>
    </xdr:sp>
    <xdr:clientData/>
  </xdr:oneCellAnchor>
  <xdr:twoCellAnchor>
    <xdr:from>
      <xdr:col>18</xdr:col>
      <xdr:colOff>414901</xdr:colOff>
      <xdr:row>62</xdr:row>
      <xdr:rowOff>5196</xdr:rowOff>
    </xdr:from>
    <xdr:to>
      <xdr:col>20</xdr:col>
      <xdr:colOff>213160</xdr:colOff>
      <xdr:row>66</xdr:row>
      <xdr:rowOff>165700</xdr:rowOff>
    </xdr:to>
    <xdr:sp macro="" textlink="">
      <xdr:nvSpPr>
        <xdr:cNvPr id="186" name="Rectangle 185">
          <a:extLst>
            <a:ext uri="{FF2B5EF4-FFF2-40B4-BE49-F238E27FC236}">
              <a16:creationId xmlns:a16="http://schemas.microsoft.com/office/drawing/2014/main" xmlns="" id="{00000000-0008-0000-0600-0000BA000000}"/>
            </a:ext>
          </a:extLst>
        </xdr:cNvPr>
        <xdr:cNvSpPr/>
      </xdr:nvSpPr>
      <xdr:spPr>
        <a:xfrm>
          <a:off x="11387701" y="12406746"/>
          <a:ext cx="1017459" cy="922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RX Master Clock Select</a:t>
          </a:r>
        </a:p>
        <a:p>
          <a:pPr algn="ctr"/>
          <a:r>
            <a:rPr lang="en-US" sz="900"/>
            <a:t>SAI1_RCR2[MSEL]</a:t>
          </a:r>
        </a:p>
      </xdr:txBody>
    </xdr:sp>
    <xdr:clientData/>
  </xdr:twoCellAnchor>
  <xdr:twoCellAnchor>
    <xdr:from>
      <xdr:col>12</xdr:col>
      <xdr:colOff>405376</xdr:colOff>
      <xdr:row>51</xdr:row>
      <xdr:rowOff>93518</xdr:rowOff>
    </xdr:from>
    <xdr:to>
      <xdr:col>14</xdr:col>
      <xdr:colOff>203635</xdr:colOff>
      <xdr:row>56</xdr:row>
      <xdr:rowOff>159769</xdr:rowOff>
    </xdr:to>
    <xdr:sp macro="" textlink="">
      <xdr:nvSpPr>
        <xdr:cNvPr id="187" name="Rectangle 186">
          <a:extLst>
            <a:ext uri="{FF2B5EF4-FFF2-40B4-BE49-F238E27FC236}">
              <a16:creationId xmlns:a16="http://schemas.microsoft.com/office/drawing/2014/main" xmlns="" id="{00000000-0008-0000-0600-0000BB000000}"/>
            </a:ext>
          </a:extLst>
        </xdr:cNvPr>
        <xdr:cNvSpPr/>
      </xdr:nvSpPr>
      <xdr:spPr>
        <a:xfrm>
          <a:off x="7720576" y="10323368"/>
          <a:ext cx="1017459" cy="10187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SAI1 Clock Enable</a:t>
          </a:r>
          <a:endParaRPr lang="en-US" sz="1100" baseline="0"/>
        </a:p>
        <a:p>
          <a:pPr algn="ctr"/>
          <a:r>
            <a:rPr lang="en-US" sz="900"/>
            <a:t>PCC_SAI1[CGC]</a:t>
          </a:r>
        </a:p>
      </xdr:txBody>
    </xdr:sp>
    <xdr:clientData/>
  </xdr:twoCellAnchor>
  <xdr:twoCellAnchor>
    <xdr:from>
      <xdr:col>1</xdr:col>
      <xdr:colOff>303935</xdr:colOff>
      <xdr:row>54</xdr:row>
      <xdr:rowOff>42430</xdr:rowOff>
    </xdr:from>
    <xdr:to>
      <xdr:col>12</xdr:col>
      <xdr:colOff>405376</xdr:colOff>
      <xdr:row>54</xdr:row>
      <xdr:rowOff>42430</xdr:rowOff>
    </xdr:to>
    <xdr:cxnSp macro="">
      <xdr:nvCxnSpPr>
        <xdr:cNvPr id="188" name="Straight Arrow Connector 187">
          <a:extLst>
            <a:ext uri="{FF2B5EF4-FFF2-40B4-BE49-F238E27FC236}">
              <a16:creationId xmlns:a16="http://schemas.microsoft.com/office/drawing/2014/main" xmlns="" id="{00000000-0008-0000-0600-0000BC000000}"/>
            </a:ext>
          </a:extLst>
        </xdr:cNvPr>
        <xdr:cNvCxnSpPr/>
      </xdr:nvCxnSpPr>
      <xdr:spPr>
        <a:xfrm>
          <a:off x="913535" y="10843780"/>
          <a:ext cx="6807041"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567301</xdr:colOff>
      <xdr:row>58</xdr:row>
      <xdr:rowOff>16452</xdr:rowOff>
    </xdr:from>
    <xdr:ext cx="860534" cy="367862"/>
    <xdr:sp macro="" textlink="">
      <xdr:nvSpPr>
        <xdr:cNvPr id="189" name="TextBox 188">
          <a:extLst>
            <a:ext uri="{FF2B5EF4-FFF2-40B4-BE49-F238E27FC236}">
              <a16:creationId xmlns:a16="http://schemas.microsoft.com/office/drawing/2014/main" xmlns="" id="{00000000-0008-0000-0600-0000BD000000}"/>
            </a:ext>
          </a:extLst>
        </xdr:cNvPr>
        <xdr:cNvSpPr txBox="1"/>
      </xdr:nvSpPr>
      <xdr:spPr>
        <a:xfrm>
          <a:off x="7882501" y="11579802"/>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14</xdr:col>
      <xdr:colOff>224401</xdr:colOff>
      <xdr:row>55</xdr:row>
      <xdr:rowOff>21648</xdr:rowOff>
    </xdr:from>
    <xdr:to>
      <xdr:col>48</xdr:col>
      <xdr:colOff>361950</xdr:colOff>
      <xdr:row>55</xdr:row>
      <xdr:rowOff>21648</xdr:rowOff>
    </xdr:to>
    <xdr:cxnSp macro="">
      <xdr:nvCxnSpPr>
        <xdr:cNvPr id="190" name="Straight Arrow Connector 189">
          <a:extLst>
            <a:ext uri="{FF2B5EF4-FFF2-40B4-BE49-F238E27FC236}">
              <a16:creationId xmlns:a16="http://schemas.microsoft.com/office/drawing/2014/main" xmlns="" id="{00000000-0008-0000-0600-0000BE000000}"/>
            </a:ext>
          </a:extLst>
        </xdr:cNvPr>
        <xdr:cNvCxnSpPr/>
      </xdr:nvCxnSpPr>
      <xdr:spPr>
        <a:xfrm>
          <a:off x="8758801" y="11061123"/>
          <a:ext cx="2086394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519679</xdr:colOff>
      <xdr:row>55</xdr:row>
      <xdr:rowOff>19050</xdr:rowOff>
    </xdr:from>
    <xdr:to>
      <xdr:col>14</xdr:col>
      <xdr:colOff>519680</xdr:colOff>
      <xdr:row>79</xdr:row>
      <xdr:rowOff>35276</xdr:rowOff>
    </xdr:to>
    <xdr:cxnSp macro="">
      <xdr:nvCxnSpPr>
        <xdr:cNvPr id="191" name="Straight Arrow Connector 190">
          <a:extLst>
            <a:ext uri="{FF2B5EF4-FFF2-40B4-BE49-F238E27FC236}">
              <a16:creationId xmlns:a16="http://schemas.microsoft.com/office/drawing/2014/main" xmlns="" id="{00000000-0008-0000-0600-0000BF000000}"/>
            </a:ext>
          </a:extLst>
        </xdr:cNvPr>
        <xdr:cNvCxnSpPr/>
      </xdr:nvCxnSpPr>
      <xdr:spPr>
        <a:xfrm>
          <a:off x="9054079" y="11010900"/>
          <a:ext cx="1" cy="462632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519676</xdr:colOff>
      <xdr:row>62</xdr:row>
      <xdr:rowOff>81396</xdr:rowOff>
    </xdr:from>
    <xdr:to>
      <xdr:col>18</xdr:col>
      <xdr:colOff>386326</xdr:colOff>
      <xdr:row>62</xdr:row>
      <xdr:rowOff>81396</xdr:rowOff>
    </xdr:to>
    <xdr:cxnSp macro="">
      <xdr:nvCxnSpPr>
        <xdr:cNvPr id="192" name="Straight Arrow Connector 191">
          <a:extLst>
            <a:ext uri="{FF2B5EF4-FFF2-40B4-BE49-F238E27FC236}">
              <a16:creationId xmlns:a16="http://schemas.microsoft.com/office/drawing/2014/main" xmlns="" id="{00000000-0008-0000-0600-0000C0000000}"/>
            </a:ext>
          </a:extLst>
        </xdr:cNvPr>
        <xdr:cNvCxnSpPr/>
      </xdr:nvCxnSpPr>
      <xdr:spPr>
        <a:xfrm>
          <a:off x="9054076" y="12482946"/>
          <a:ext cx="2305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306467</xdr:colOff>
      <xdr:row>63</xdr:row>
      <xdr:rowOff>89189</xdr:rowOff>
    </xdr:from>
    <xdr:to>
      <xdr:col>18</xdr:col>
      <xdr:colOff>405376</xdr:colOff>
      <xdr:row>63</xdr:row>
      <xdr:rowOff>89189</xdr:rowOff>
    </xdr:to>
    <xdr:cxnSp macro="">
      <xdr:nvCxnSpPr>
        <xdr:cNvPr id="193" name="Straight Arrow Connector 192">
          <a:extLst>
            <a:ext uri="{FF2B5EF4-FFF2-40B4-BE49-F238E27FC236}">
              <a16:creationId xmlns:a16="http://schemas.microsoft.com/office/drawing/2014/main" xmlns="" id="{00000000-0008-0000-0600-0000C1000000}"/>
            </a:ext>
          </a:extLst>
        </xdr:cNvPr>
        <xdr:cNvCxnSpPr/>
      </xdr:nvCxnSpPr>
      <xdr:spPr>
        <a:xfrm>
          <a:off x="3354467" y="12681239"/>
          <a:ext cx="8023709" cy="0"/>
        </a:xfrm>
        <a:prstGeom prst="straightConnector1">
          <a:avLst/>
        </a:prstGeom>
        <a:ln w="19050">
          <a:solidFill>
            <a:schemeClr val="accent4">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319651</xdr:colOff>
      <xdr:row>64</xdr:row>
      <xdr:rowOff>87457</xdr:rowOff>
    </xdr:from>
    <xdr:to>
      <xdr:col>18</xdr:col>
      <xdr:colOff>395851</xdr:colOff>
      <xdr:row>64</xdr:row>
      <xdr:rowOff>87457</xdr:rowOff>
    </xdr:to>
    <xdr:cxnSp macro="">
      <xdr:nvCxnSpPr>
        <xdr:cNvPr id="194" name="Straight Arrow Connector 193">
          <a:extLst>
            <a:ext uri="{FF2B5EF4-FFF2-40B4-BE49-F238E27FC236}">
              <a16:creationId xmlns:a16="http://schemas.microsoft.com/office/drawing/2014/main" xmlns="" id="{00000000-0008-0000-0600-0000C2000000}"/>
            </a:ext>
          </a:extLst>
        </xdr:cNvPr>
        <xdr:cNvCxnSpPr/>
      </xdr:nvCxnSpPr>
      <xdr:spPr>
        <a:xfrm>
          <a:off x="2148451" y="12870007"/>
          <a:ext cx="92202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308660</xdr:colOff>
      <xdr:row>66</xdr:row>
      <xdr:rowOff>19050</xdr:rowOff>
    </xdr:from>
    <xdr:to>
      <xdr:col>18</xdr:col>
      <xdr:colOff>395851</xdr:colOff>
      <xdr:row>66</xdr:row>
      <xdr:rowOff>19050</xdr:rowOff>
    </xdr:to>
    <xdr:cxnSp macro="">
      <xdr:nvCxnSpPr>
        <xdr:cNvPr id="195" name="Straight Arrow Connector 194">
          <a:extLst>
            <a:ext uri="{FF2B5EF4-FFF2-40B4-BE49-F238E27FC236}">
              <a16:creationId xmlns:a16="http://schemas.microsoft.com/office/drawing/2014/main" xmlns="" id="{00000000-0008-0000-0600-0000C3000000}"/>
            </a:ext>
          </a:extLst>
        </xdr:cNvPr>
        <xdr:cNvCxnSpPr/>
      </xdr:nvCxnSpPr>
      <xdr:spPr>
        <a:xfrm>
          <a:off x="4575860" y="13182600"/>
          <a:ext cx="6792791" cy="0"/>
        </a:xfrm>
        <a:prstGeom prst="straightConnector1">
          <a:avLst/>
        </a:prstGeom>
        <a:ln w="19050">
          <a:solidFill>
            <a:srgbClr val="92D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414901</xdr:colOff>
      <xdr:row>52</xdr:row>
      <xdr:rowOff>148937</xdr:rowOff>
    </xdr:from>
    <xdr:ext cx="1066800" cy="266700"/>
    <xdr:sp macro="" textlink="">
      <xdr:nvSpPr>
        <xdr:cNvPr id="196" name="TextBox 195">
          <a:extLst>
            <a:ext uri="{FF2B5EF4-FFF2-40B4-BE49-F238E27FC236}">
              <a16:creationId xmlns:a16="http://schemas.microsoft.com/office/drawing/2014/main" xmlns="" id="{00000000-0008-0000-0600-0000C4000000}"/>
            </a:ext>
          </a:extLst>
        </xdr:cNvPr>
        <xdr:cNvSpPr txBox="1"/>
      </xdr:nvSpPr>
      <xdr:spPr>
        <a:xfrm>
          <a:off x="8949301" y="10569287"/>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Module Clock</a:t>
          </a:r>
        </a:p>
      </xdr:txBody>
    </xdr:sp>
    <xdr:clientData/>
  </xdr:oneCellAnchor>
  <xdr:oneCellAnchor>
    <xdr:from>
      <xdr:col>18</xdr:col>
      <xdr:colOff>557776</xdr:colOff>
      <xdr:row>68</xdr:row>
      <xdr:rowOff>6061</xdr:rowOff>
    </xdr:from>
    <xdr:ext cx="1066800" cy="619125"/>
    <xdr:sp macro="" textlink="">
      <xdr:nvSpPr>
        <xdr:cNvPr id="197" name="TextBox 196">
          <a:extLst>
            <a:ext uri="{FF2B5EF4-FFF2-40B4-BE49-F238E27FC236}">
              <a16:creationId xmlns:a16="http://schemas.microsoft.com/office/drawing/2014/main" xmlns="" id="{00000000-0008-0000-0600-0000C5000000}"/>
            </a:ext>
          </a:extLst>
        </xdr:cNvPr>
        <xdr:cNvSpPr txBox="1"/>
      </xdr:nvSpPr>
      <xdr:spPr>
        <a:xfrm>
          <a:off x="11530576" y="13550611"/>
          <a:ext cx="1066800"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Module</a:t>
          </a:r>
          <a:r>
            <a:rPr lang="en-US" sz="800" baseline="0"/>
            <a:t> Clock</a:t>
          </a:r>
          <a:endParaRPr lang="en-US" sz="800"/>
        </a:p>
        <a:p>
          <a:r>
            <a:rPr lang="en-US" sz="800"/>
            <a:t>1 - MCLK[x]</a:t>
          </a:r>
        </a:p>
        <a:p>
          <a:r>
            <a:rPr lang="en-US" sz="800"/>
            <a:t>2</a:t>
          </a:r>
          <a:r>
            <a:rPr lang="en-US" sz="800" baseline="0"/>
            <a:t> - SOSCDIV1_CLK</a:t>
          </a:r>
        </a:p>
        <a:p>
          <a:r>
            <a:rPr lang="en-US" sz="800" baseline="0"/>
            <a:t>3 - MCLK[y]</a:t>
          </a:r>
          <a:endParaRPr lang="en-US" sz="800"/>
        </a:p>
      </xdr:txBody>
    </xdr:sp>
    <xdr:clientData/>
  </xdr:oneCellAnchor>
  <xdr:twoCellAnchor>
    <xdr:from>
      <xdr:col>20</xdr:col>
      <xdr:colOff>233926</xdr:colOff>
      <xdr:row>64</xdr:row>
      <xdr:rowOff>33202</xdr:rowOff>
    </xdr:from>
    <xdr:to>
      <xdr:col>48</xdr:col>
      <xdr:colOff>352425</xdr:colOff>
      <xdr:row>64</xdr:row>
      <xdr:rowOff>33202</xdr:rowOff>
    </xdr:to>
    <xdr:cxnSp macro="">
      <xdr:nvCxnSpPr>
        <xdr:cNvPr id="198" name="Straight Arrow Connector 197">
          <a:extLst>
            <a:ext uri="{FF2B5EF4-FFF2-40B4-BE49-F238E27FC236}">
              <a16:creationId xmlns:a16="http://schemas.microsoft.com/office/drawing/2014/main" xmlns="" id="{00000000-0008-0000-0600-0000C6000000}"/>
            </a:ext>
          </a:extLst>
        </xdr:cNvPr>
        <xdr:cNvCxnSpPr/>
      </xdr:nvCxnSpPr>
      <xdr:spPr>
        <a:xfrm>
          <a:off x="12425926" y="12863377"/>
          <a:ext cx="1718729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386326</xdr:colOff>
      <xdr:row>78</xdr:row>
      <xdr:rowOff>162415</xdr:rowOff>
    </xdr:from>
    <xdr:to>
      <xdr:col>20</xdr:col>
      <xdr:colOff>184585</xdr:colOff>
      <xdr:row>83</xdr:row>
      <xdr:rowOff>170520</xdr:rowOff>
    </xdr:to>
    <xdr:sp macro="" textlink="">
      <xdr:nvSpPr>
        <xdr:cNvPr id="199" name="Rectangle 198">
          <a:extLst>
            <a:ext uri="{FF2B5EF4-FFF2-40B4-BE49-F238E27FC236}">
              <a16:creationId xmlns:a16="http://schemas.microsoft.com/office/drawing/2014/main" xmlns="" id="{00000000-0008-0000-0600-0000C7000000}"/>
            </a:ext>
          </a:extLst>
        </xdr:cNvPr>
        <xdr:cNvSpPr/>
      </xdr:nvSpPr>
      <xdr:spPr>
        <a:xfrm>
          <a:off x="11359126" y="15821515"/>
          <a:ext cx="1017459" cy="9606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TX Master Clock Select</a:t>
          </a:r>
        </a:p>
        <a:p>
          <a:pPr algn="ctr"/>
          <a:r>
            <a:rPr lang="en-US" sz="900"/>
            <a:t>SAI1_TCR2[MSEL]</a:t>
          </a:r>
        </a:p>
      </xdr:txBody>
    </xdr:sp>
    <xdr:clientData/>
  </xdr:twoCellAnchor>
  <xdr:oneCellAnchor>
    <xdr:from>
      <xdr:col>18</xdr:col>
      <xdr:colOff>548251</xdr:colOff>
      <xdr:row>84</xdr:row>
      <xdr:rowOff>206839</xdr:rowOff>
    </xdr:from>
    <xdr:ext cx="1066800" cy="619125"/>
    <xdr:sp macro="" textlink="">
      <xdr:nvSpPr>
        <xdr:cNvPr id="200" name="TextBox 199">
          <a:extLst>
            <a:ext uri="{FF2B5EF4-FFF2-40B4-BE49-F238E27FC236}">
              <a16:creationId xmlns:a16="http://schemas.microsoft.com/office/drawing/2014/main" xmlns="" id="{00000000-0008-0000-0600-0000C8000000}"/>
            </a:ext>
          </a:extLst>
        </xdr:cNvPr>
        <xdr:cNvSpPr txBox="1"/>
      </xdr:nvSpPr>
      <xdr:spPr>
        <a:xfrm>
          <a:off x="11521051" y="17018464"/>
          <a:ext cx="1066800"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Module</a:t>
          </a:r>
          <a:r>
            <a:rPr lang="en-US" sz="800" baseline="0"/>
            <a:t> Clock</a:t>
          </a:r>
          <a:endParaRPr lang="en-US" sz="800"/>
        </a:p>
        <a:p>
          <a:r>
            <a:rPr lang="en-US" sz="800"/>
            <a:t>1 - MCLK[x]</a:t>
          </a:r>
        </a:p>
        <a:p>
          <a:r>
            <a:rPr lang="en-US" sz="800"/>
            <a:t>2</a:t>
          </a:r>
          <a:r>
            <a:rPr lang="en-US" sz="800" baseline="0"/>
            <a:t> - SOSCDIV1_CLK</a:t>
          </a:r>
        </a:p>
        <a:p>
          <a:r>
            <a:rPr lang="en-US" sz="800" baseline="0"/>
            <a:t>3 - MCLK[y]</a:t>
          </a:r>
          <a:endParaRPr lang="en-US" sz="800"/>
        </a:p>
      </xdr:txBody>
    </xdr:sp>
    <xdr:clientData/>
  </xdr:oneCellAnchor>
  <xdr:twoCellAnchor>
    <xdr:from>
      <xdr:col>14</xdr:col>
      <xdr:colOff>519676</xdr:colOff>
      <xdr:row>79</xdr:row>
      <xdr:rowOff>52672</xdr:rowOff>
    </xdr:from>
    <xdr:to>
      <xdr:col>18</xdr:col>
      <xdr:colOff>386326</xdr:colOff>
      <xdr:row>79</xdr:row>
      <xdr:rowOff>52672</xdr:rowOff>
    </xdr:to>
    <xdr:cxnSp macro="">
      <xdr:nvCxnSpPr>
        <xdr:cNvPr id="201" name="Straight Arrow Connector 200">
          <a:extLst>
            <a:ext uri="{FF2B5EF4-FFF2-40B4-BE49-F238E27FC236}">
              <a16:creationId xmlns:a16="http://schemas.microsoft.com/office/drawing/2014/main" xmlns="" id="{00000000-0008-0000-0600-0000C9000000}"/>
            </a:ext>
          </a:extLst>
        </xdr:cNvPr>
        <xdr:cNvCxnSpPr/>
      </xdr:nvCxnSpPr>
      <xdr:spPr>
        <a:xfrm>
          <a:off x="9054076" y="15902272"/>
          <a:ext cx="2305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300601</xdr:colOff>
      <xdr:row>80</xdr:row>
      <xdr:rowOff>89529</xdr:rowOff>
    </xdr:from>
    <xdr:to>
      <xdr:col>18</xdr:col>
      <xdr:colOff>360236</xdr:colOff>
      <xdr:row>80</xdr:row>
      <xdr:rowOff>89529</xdr:rowOff>
    </xdr:to>
    <xdr:cxnSp macro="">
      <xdr:nvCxnSpPr>
        <xdr:cNvPr id="202" name="Straight Arrow Connector 201">
          <a:extLst>
            <a:ext uri="{FF2B5EF4-FFF2-40B4-BE49-F238E27FC236}">
              <a16:creationId xmlns:a16="http://schemas.microsoft.com/office/drawing/2014/main" xmlns="" id="{00000000-0008-0000-0600-0000CA000000}"/>
            </a:ext>
          </a:extLst>
        </xdr:cNvPr>
        <xdr:cNvCxnSpPr/>
      </xdr:nvCxnSpPr>
      <xdr:spPr>
        <a:xfrm>
          <a:off x="3348601" y="16129629"/>
          <a:ext cx="7984435" cy="0"/>
        </a:xfrm>
        <a:prstGeom prst="straightConnector1">
          <a:avLst/>
        </a:prstGeom>
        <a:ln w="19050">
          <a:solidFill>
            <a:schemeClr val="accent4">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291076</xdr:colOff>
      <xdr:row>81</xdr:row>
      <xdr:rowOff>161513</xdr:rowOff>
    </xdr:from>
    <xdr:to>
      <xdr:col>18</xdr:col>
      <xdr:colOff>367276</xdr:colOff>
      <xdr:row>81</xdr:row>
      <xdr:rowOff>161513</xdr:rowOff>
    </xdr:to>
    <xdr:cxnSp macro="">
      <xdr:nvCxnSpPr>
        <xdr:cNvPr id="203" name="Straight Arrow Connector 202">
          <a:extLst>
            <a:ext uri="{FF2B5EF4-FFF2-40B4-BE49-F238E27FC236}">
              <a16:creationId xmlns:a16="http://schemas.microsoft.com/office/drawing/2014/main" xmlns="" id="{00000000-0008-0000-0600-0000CB000000}"/>
            </a:ext>
          </a:extLst>
        </xdr:cNvPr>
        <xdr:cNvCxnSpPr/>
      </xdr:nvCxnSpPr>
      <xdr:spPr>
        <a:xfrm>
          <a:off x="2119876" y="16392113"/>
          <a:ext cx="92202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310126</xdr:colOff>
      <xdr:row>83</xdr:row>
      <xdr:rowOff>64043</xdr:rowOff>
    </xdr:from>
    <xdr:to>
      <xdr:col>18</xdr:col>
      <xdr:colOff>376801</xdr:colOff>
      <xdr:row>83</xdr:row>
      <xdr:rowOff>64043</xdr:rowOff>
    </xdr:to>
    <xdr:cxnSp macro="">
      <xdr:nvCxnSpPr>
        <xdr:cNvPr id="204" name="Straight Arrow Connector 203">
          <a:extLst>
            <a:ext uri="{FF2B5EF4-FFF2-40B4-BE49-F238E27FC236}">
              <a16:creationId xmlns:a16="http://schemas.microsoft.com/office/drawing/2014/main" xmlns="" id="{00000000-0008-0000-0600-0000CC000000}"/>
            </a:ext>
          </a:extLst>
        </xdr:cNvPr>
        <xdr:cNvCxnSpPr/>
      </xdr:nvCxnSpPr>
      <xdr:spPr>
        <a:xfrm>
          <a:off x="4577326" y="16675643"/>
          <a:ext cx="6772275" cy="0"/>
        </a:xfrm>
        <a:prstGeom prst="straightConnector1">
          <a:avLst/>
        </a:prstGeom>
        <a:ln w="19050">
          <a:solidFill>
            <a:srgbClr val="92D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195826</xdr:colOff>
      <xdr:row>81</xdr:row>
      <xdr:rowOff>30654</xdr:rowOff>
    </xdr:from>
    <xdr:to>
      <xdr:col>48</xdr:col>
      <xdr:colOff>381000</xdr:colOff>
      <xdr:row>81</xdr:row>
      <xdr:rowOff>30654</xdr:rowOff>
    </xdr:to>
    <xdr:cxnSp macro="">
      <xdr:nvCxnSpPr>
        <xdr:cNvPr id="205" name="Straight Arrow Connector 204">
          <a:extLst>
            <a:ext uri="{FF2B5EF4-FFF2-40B4-BE49-F238E27FC236}">
              <a16:creationId xmlns:a16="http://schemas.microsoft.com/office/drawing/2014/main" xmlns="" id="{00000000-0008-0000-0600-0000CD000000}"/>
            </a:ext>
          </a:extLst>
        </xdr:cNvPr>
        <xdr:cNvCxnSpPr/>
      </xdr:nvCxnSpPr>
      <xdr:spPr>
        <a:xfrm>
          <a:off x="12387826" y="16327929"/>
          <a:ext cx="1725397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386326</xdr:colOff>
      <xdr:row>61</xdr:row>
      <xdr:rowOff>150556</xdr:rowOff>
    </xdr:from>
    <xdr:ext cx="1066800" cy="266700"/>
    <xdr:sp macro="" textlink="">
      <xdr:nvSpPr>
        <xdr:cNvPr id="206" name="TextBox 205">
          <a:extLst>
            <a:ext uri="{FF2B5EF4-FFF2-40B4-BE49-F238E27FC236}">
              <a16:creationId xmlns:a16="http://schemas.microsoft.com/office/drawing/2014/main" xmlns="" id="{00000000-0008-0000-0600-0000CE000000}"/>
            </a:ext>
          </a:extLst>
        </xdr:cNvPr>
        <xdr:cNvSpPr txBox="1"/>
      </xdr:nvSpPr>
      <xdr:spPr>
        <a:xfrm>
          <a:off x="13187926" y="12361606"/>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MCLK_RX_SAI1</a:t>
          </a:r>
        </a:p>
      </xdr:txBody>
    </xdr:sp>
    <xdr:clientData/>
  </xdr:oneCellAnchor>
  <xdr:oneCellAnchor>
    <xdr:from>
      <xdr:col>21</xdr:col>
      <xdr:colOff>403362</xdr:colOff>
      <xdr:row>78</xdr:row>
      <xdr:rowOff>136442</xdr:rowOff>
    </xdr:from>
    <xdr:ext cx="1066800" cy="266700"/>
    <xdr:sp macro="" textlink="">
      <xdr:nvSpPr>
        <xdr:cNvPr id="207" name="TextBox 206">
          <a:extLst>
            <a:ext uri="{FF2B5EF4-FFF2-40B4-BE49-F238E27FC236}">
              <a16:creationId xmlns:a16="http://schemas.microsoft.com/office/drawing/2014/main" xmlns="" id="{00000000-0008-0000-0600-0000CF000000}"/>
            </a:ext>
          </a:extLst>
        </xdr:cNvPr>
        <xdr:cNvSpPr txBox="1"/>
      </xdr:nvSpPr>
      <xdr:spPr>
        <a:xfrm>
          <a:off x="13204962" y="15795542"/>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MCLK_TX_SAI1</a:t>
          </a:r>
        </a:p>
      </xdr:txBody>
    </xdr:sp>
    <xdr:clientData/>
  </xdr:oneCellAnchor>
  <xdr:twoCellAnchor>
    <xdr:from>
      <xdr:col>21</xdr:col>
      <xdr:colOff>343959</xdr:colOff>
      <xdr:row>64</xdr:row>
      <xdr:rowOff>28575</xdr:rowOff>
    </xdr:from>
    <xdr:to>
      <xdr:col>21</xdr:col>
      <xdr:colOff>343959</xdr:colOff>
      <xdr:row>69</xdr:row>
      <xdr:rowOff>170525</xdr:rowOff>
    </xdr:to>
    <xdr:cxnSp macro="">
      <xdr:nvCxnSpPr>
        <xdr:cNvPr id="208" name="Straight Arrow Connector 207">
          <a:extLst>
            <a:ext uri="{FF2B5EF4-FFF2-40B4-BE49-F238E27FC236}">
              <a16:creationId xmlns:a16="http://schemas.microsoft.com/office/drawing/2014/main" xmlns="" id="{00000000-0008-0000-0600-0000D0000000}"/>
            </a:ext>
          </a:extLst>
        </xdr:cNvPr>
        <xdr:cNvCxnSpPr/>
      </xdr:nvCxnSpPr>
      <xdr:spPr>
        <a:xfrm>
          <a:off x="13145559" y="12811125"/>
          <a:ext cx="0" cy="113255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343956</xdr:colOff>
      <xdr:row>69</xdr:row>
      <xdr:rowOff>170525</xdr:rowOff>
    </xdr:from>
    <xdr:to>
      <xdr:col>27</xdr:col>
      <xdr:colOff>403077</xdr:colOff>
      <xdr:row>69</xdr:row>
      <xdr:rowOff>170525</xdr:rowOff>
    </xdr:to>
    <xdr:cxnSp macro="">
      <xdr:nvCxnSpPr>
        <xdr:cNvPr id="209" name="Straight Arrow Connector 208">
          <a:extLst>
            <a:ext uri="{FF2B5EF4-FFF2-40B4-BE49-F238E27FC236}">
              <a16:creationId xmlns:a16="http://schemas.microsoft.com/office/drawing/2014/main" xmlns="" id="{00000000-0008-0000-0600-0000D1000000}"/>
            </a:ext>
          </a:extLst>
        </xdr:cNvPr>
        <xdr:cNvCxnSpPr/>
      </xdr:nvCxnSpPr>
      <xdr:spPr>
        <a:xfrm>
          <a:off x="13145556" y="13829375"/>
          <a:ext cx="37167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409647</xdr:colOff>
      <xdr:row>67</xdr:row>
      <xdr:rowOff>184642</xdr:rowOff>
    </xdr:from>
    <xdr:to>
      <xdr:col>29</xdr:col>
      <xdr:colOff>207906</xdr:colOff>
      <xdr:row>72</xdr:row>
      <xdr:rowOff>178534</xdr:rowOff>
    </xdr:to>
    <xdr:sp macro="" textlink="">
      <xdr:nvSpPr>
        <xdr:cNvPr id="210" name="Rectangle 209">
          <a:extLst>
            <a:ext uri="{FF2B5EF4-FFF2-40B4-BE49-F238E27FC236}">
              <a16:creationId xmlns:a16="http://schemas.microsoft.com/office/drawing/2014/main" xmlns="" id="{00000000-0008-0000-0600-0000D2000000}"/>
            </a:ext>
          </a:extLst>
        </xdr:cNvPr>
        <xdr:cNvSpPr/>
      </xdr:nvSpPr>
      <xdr:spPr>
        <a:xfrm>
          <a:off x="16868847" y="13586317"/>
          <a:ext cx="1017459" cy="10225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RX BCLK Divide</a:t>
          </a:r>
        </a:p>
        <a:p>
          <a:pPr algn="ctr"/>
          <a:r>
            <a:rPr lang="en-US" sz="1100" baseline="0"/>
            <a:t>0,1,...,255</a:t>
          </a:r>
        </a:p>
        <a:p>
          <a:pPr algn="ctr"/>
          <a:r>
            <a:rPr lang="en-US" sz="900"/>
            <a:t>SAI1_RCR2[DIV]</a:t>
          </a:r>
        </a:p>
      </xdr:txBody>
    </xdr:sp>
    <xdr:clientData/>
  </xdr:twoCellAnchor>
  <xdr:twoCellAnchor>
    <xdr:from>
      <xdr:col>29</xdr:col>
      <xdr:colOff>192870</xdr:colOff>
      <xdr:row>71</xdr:row>
      <xdr:rowOff>19349</xdr:rowOff>
    </xdr:from>
    <xdr:to>
      <xdr:col>32</xdr:col>
      <xdr:colOff>422784</xdr:colOff>
      <xdr:row>71</xdr:row>
      <xdr:rowOff>19349</xdr:rowOff>
    </xdr:to>
    <xdr:cxnSp macro="">
      <xdr:nvCxnSpPr>
        <xdr:cNvPr id="211" name="Straight Arrow Connector 210">
          <a:extLst>
            <a:ext uri="{FF2B5EF4-FFF2-40B4-BE49-F238E27FC236}">
              <a16:creationId xmlns:a16="http://schemas.microsoft.com/office/drawing/2014/main" xmlns="" id="{00000000-0008-0000-0600-0000D3000000}"/>
            </a:ext>
          </a:extLst>
        </xdr:cNvPr>
        <xdr:cNvCxnSpPr/>
      </xdr:nvCxnSpPr>
      <xdr:spPr>
        <a:xfrm>
          <a:off x="17871270" y="14211599"/>
          <a:ext cx="20587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478292</xdr:colOff>
      <xdr:row>72</xdr:row>
      <xdr:rowOff>168703</xdr:rowOff>
    </xdr:from>
    <xdr:ext cx="784334" cy="266700"/>
    <xdr:sp macro="" textlink="">
      <xdr:nvSpPr>
        <xdr:cNvPr id="212" name="TextBox 211">
          <a:hlinkClick xmlns:r="http://schemas.openxmlformats.org/officeDocument/2006/relationships" r:id="rId6"/>
          <a:extLst>
            <a:ext uri="{FF2B5EF4-FFF2-40B4-BE49-F238E27FC236}">
              <a16:creationId xmlns:a16="http://schemas.microsoft.com/office/drawing/2014/main" xmlns="" id="{00000000-0008-0000-0600-0000D4000000}"/>
            </a:ext>
          </a:extLst>
        </xdr:cNvPr>
        <xdr:cNvSpPr txBox="1"/>
      </xdr:nvSpPr>
      <xdr:spPr>
        <a:xfrm>
          <a:off x="18156692" y="14589553"/>
          <a:ext cx="78433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BCLK_SAI1</a:t>
          </a:r>
        </a:p>
      </xdr:txBody>
    </xdr:sp>
    <xdr:clientData/>
  </xdr:oneCellAnchor>
  <xdr:twoCellAnchor>
    <xdr:from>
      <xdr:col>32</xdr:col>
      <xdr:colOff>5476</xdr:colOff>
      <xdr:row>73</xdr:row>
      <xdr:rowOff>97669</xdr:rowOff>
    </xdr:from>
    <xdr:to>
      <xdr:col>32</xdr:col>
      <xdr:colOff>429353</xdr:colOff>
      <xdr:row>73</xdr:row>
      <xdr:rowOff>97669</xdr:rowOff>
    </xdr:to>
    <xdr:cxnSp macro="">
      <xdr:nvCxnSpPr>
        <xdr:cNvPr id="213" name="Straight Arrow Connector 212">
          <a:extLst>
            <a:ext uri="{FF2B5EF4-FFF2-40B4-BE49-F238E27FC236}">
              <a16:creationId xmlns:a16="http://schemas.microsoft.com/office/drawing/2014/main" xmlns="" id="{00000000-0008-0000-0600-0000D5000000}"/>
            </a:ext>
          </a:extLst>
        </xdr:cNvPr>
        <xdr:cNvCxnSpPr/>
      </xdr:nvCxnSpPr>
      <xdr:spPr>
        <a:xfrm>
          <a:off x="19512676" y="14518519"/>
          <a:ext cx="42387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422784</xdr:colOff>
      <xdr:row>69</xdr:row>
      <xdr:rowOff>161657</xdr:rowOff>
    </xdr:from>
    <xdr:to>
      <xdr:col>34</xdr:col>
      <xdr:colOff>221043</xdr:colOff>
      <xdr:row>74</xdr:row>
      <xdr:rowOff>178211</xdr:rowOff>
    </xdr:to>
    <xdr:sp macro="" textlink="">
      <xdr:nvSpPr>
        <xdr:cNvPr id="214" name="Rectangle 213">
          <a:extLst>
            <a:ext uri="{FF2B5EF4-FFF2-40B4-BE49-F238E27FC236}">
              <a16:creationId xmlns:a16="http://schemas.microsoft.com/office/drawing/2014/main" xmlns="" id="{00000000-0008-0000-0600-0000D6000000}"/>
            </a:ext>
          </a:extLst>
        </xdr:cNvPr>
        <xdr:cNvSpPr/>
      </xdr:nvSpPr>
      <xdr:spPr>
        <a:xfrm>
          <a:off x="19929984" y="13972907"/>
          <a:ext cx="1017459" cy="10357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RX BCLK Select</a:t>
          </a:r>
        </a:p>
        <a:p>
          <a:pPr algn="ctr"/>
          <a:r>
            <a:rPr lang="en-US" sz="900"/>
            <a:t>SAI1_RCR2[BCD]</a:t>
          </a:r>
        </a:p>
      </xdr:txBody>
    </xdr:sp>
    <xdr:clientData/>
  </xdr:twoCellAnchor>
  <xdr:oneCellAnchor>
    <xdr:from>
      <xdr:col>32</xdr:col>
      <xdr:colOff>567301</xdr:colOff>
      <xdr:row>76</xdr:row>
      <xdr:rowOff>5852</xdr:rowOff>
    </xdr:from>
    <xdr:ext cx="1066800" cy="354725"/>
    <xdr:sp macro="" textlink="">
      <xdr:nvSpPr>
        <xdr:cNvPr id="215" name="TextBox 214">
          <a:extLst>
            <a:ext uri="{FF2B5EF4-FFF2-40B4-BE49-F238E27FC236}">
              <a16:creationId xmlns:a16="http://schemas.microsoft.com/office/drawing/2014/main" xmlns="" id="{00000000-0008-0000-0600-0000D7000000}"/>
            </a:ext>
          </a:extLst>
        </xdr:cNvPr>
        <xdr:cNvSpPr txBox="1"/>
      </xdr:nvSpPr>
      <xdr:spPr>
        <a:xfrm>
          <a:off x="20074501" y="15255377"/>
          <a:ext cx="1066800"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BCLK_SAI1</a:t>
          </a:r>
        </a:p>
        <a:p>
          <a:r>
            <a:rPr lang="en-US" sz="800"/>
            <a:t>1 - MCLK_RX_SAI1</a:t>
          </a:r>
        </a:p>
      </xdr:txBody>
    </xdr:sp>
    <xdr:clientData/>
  </xdr:oneCellAnchor>
  <xdr:twoCellAnchor>
    <xdr:from>
      <xdr:col>34</xdr:col>
      <xdr:colOff>212577</xdr:colOff>
      <xdr:row>73</xdr:row>
      <xdr:rowOff>30098</xdr:rowOff>
    </xdr:from>
    <xdr:to>
      <xdr:col>36</xdr:col>
      <xdr:colOff>376801</xdr:colOff>
      <xdr:row>73</xdr:row>
      <xdr:rowOff>30098</xdr:rowOff>
    </xdr:to>
    <xdr:cxnSp macro="">
      <xdr:nvCxnSpPr>
        <xdr:cNvPr id="216" name="Straight Arrow Connector 215">
          <a:extLst>
            <a:ext uri="{FF2B5EF4-FFF2-40B4-BE49-F238E27FC236}">
              <a16:creationId xmlns:a16="http://schemas.microsoft.com/office/drawing/2014/main" xmlns="" id="{00000000-0008-0000-0600-0000D8000000}"/>
            </a:ext>
          </a:extLst>
        </xdr:cNvPr>
        <xdr:cNvCxnSpPr/>
      </xdr:nvCxnSpPr>
      <xdr:spPr>
        <a:xfrm>
          <a:off x="20938977" y="14650973"/>
          <a:ext cx="13834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389938</xdr:colOff>
      <xdr:row>69</xdr:row>
      <xdr:rowOff>158701</xdr:rowOff>
    </xdr:from>
    <xdr:to>
      <xdr:col>38</xdr:col>
      <xdr:colOff>188198</xdr:colOff>
      <xdr:row>74</xdr:row>
      <xdr:rowOff>175255</xdr:rowOff>
    </xdr:to>
    <xdr:sp macro="" textlink="">
      <xdr:nvSpPr>
        <xdr:cNvPr id="217" name="Rectangle 216">
          <a:extLst>
            <a:ext uri="{FF2B5EF4-FFF2-40B4-BE49-F238E27FC236}">
              <a16:creationId xmlns:a16="http://schemas.microsoft.com/office/drawing/2014/main" xmlns="" id="{00000000-0008-0000-0600-0000D9000000}"/>
            </a:ext>
          </a:extLst>
        </xdr:cNvPr>
        <xdr:cNvSpPr/>
      </xdr:nvSpPr>
      <xdr:spPr>
        <a:xfrm>
          <a:off x="22335538" y="13969951"/>
          <a:ext cx="1017460" cy="10547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RX BCLK Enable</a:t>
          </a:r>
        </a:p>
        <a:p>
          <a:pPr algn="ctr"/>
          <a:r>
            <a:rPr lang="en-US" sz="900"/>
            <a:t>SAI1_RSCR[BCE]</a:t>
          </a:r>
        </a:p>
      </xdr:txBody>
    </xdr:sp>
    <xdr:clientData/>
  </xdr:twoCellAnchor>
  <xdr:oneCellAnchor>
    <xdr:from>
      <xdr:col>36</xdr:col>
      <xdr:colOff>547593</xdr:colOff>
      <xdr:row>75</xdr:row>
      <xdr:rowOff>204564</xdr:rowOff>
    </xdr:from>
    <xdr:ext cx="814552" cy="354725"/>
    <xdr:sp macro="" textlink="">
      <xdr:nvSpPr>
        <xdr:cNvPr id="218" name="TextBox 217">
          <a:extLst>
            <a:ext uri="{FF2B5EF4-FFF2-40B4-BE49-F238E27FC236}">
              <a16:creationId xmlns:a16="http://schemas.microsoft.com/office/drawing/2014/main" xmlns="" id="{00000000-0008-0000-0600-0000DA000000}"/>
            </a:ext>
          </a:extLst>
        </xdr:cNvPr>
        <xdr:cNvSpPr txBox="1"/>
      </xdr:nvSpPr>
      <xdr:spPr>
        <a:xfrm>
          <a:off x="22493193" y="15263589"/>
          <a:ext cx="81455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a:t>
          </a:r>
          <a:r>
            <a:rPr lang="en-US" sz="800" baseline="0"/>
            <a:t> off</a:t>
          </a:r>
          <a:endParaRPr lang="en-US" sz="800"/>
        </a:p>
        <a:p>
          <a:r>
            <a:rPr lang="en-US" sz="800"/>
            <a:t>1 - BCLK on</a:t>
          </a:r>
        </a:p>
      </xdr:txBody>
    </xdr:sp>
    <xdr:clientData/>
  </xdr:oneCellAnchor>
  <xdr:twoCellAnchor>
    <xdr:from>
      <xdr:col>38</xdr:col>
      <xdr:colOff>199440</xdr:colOff>
      <xdr:row>71</xdr:row>
      <xdr:rowOff>39624</xdr:rowOff>
    </xdr:from>
    <xdr:to>
      <xdr:col>40</xdr:col>
      <xdr:colOff>363664</xdr:colOff>
      <xdr:row>71</xdr:row>
      <xdr:rowOff>39624</xdr:rowOff>
    </xdr:to>
    <xdr:cxnSp macro="">
      <xdr:nvCxnSpPr>
        <xdr:cNvPr id="219" name="Straight Arrow Connector 218">
          <a:extLst>
            <a:ext uri="{FF2B5EF4-FFF2-40B4-BE49-F238E27FC236}">
              <a16:creationId xmlns:a16="http://schemas.microsoft.com/office/drawing/2014/main" xmlns="" id="{00000000-0008-0000-0600-0000DB000000}"/>
            </a:ext>
          </a:extLst>
        </xdr:cNvPr>
        <xdr:cNvCxnSpPr/>
      </xdr:nvCxnSpPr>
      <xdr:spPr>
        <a:xfrm>
          <a:off x="23364240" y="14260449"/>
          <a:ext cx="1383424"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363663</xdr:colOff>
      <xdr:row>68</xdr:row>
      <xdr:rowOff>157805</xdr:rowOff>
    </xdr:from>
    <xdr:ext cx="1195551" cy="266700"/>
    <xdr:sp macro="" textlink="">
      <xdr:nvSpPr>
        <xdr:cNvPr id="220" name="TextBox 219">
          <a:extLst>
            <a:ext uri="{FF2B5EF4-FFF2-40B4-BE49-F238E27FC236}">
              <a16:creationId xmlns:a16="http://schemas.microsoft.com/office/drawing/2014/main" xmlns="" id="{00000000-0008-0000-0600-0000DC000000}"/>
            </a:ext>
          </a:extLst>
        </xdr:cNvPr>
        <xdr:cNvSpPr txBox="1"/>
      </xdr:nvSpPr>
      <xdr:spPr>
        <a:xfrm>
          <a:off x="23528463" y="13769030"/>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BCLK_RX_SAI1_PS</a:t>
          </a:r>
        </a:p>
      </xdr:txBody>
    </xdr:sp>
    <xdr:clientData/>
  </xdr:oneCellAnchor>
  <xdr:twoCellAnchor>
    <xdr:from>
      <xdr:col>40</xdr:col>
      <xdr:colOff>405376</xdr:colOff>
      <xdr:row>69</xdr:row>
      <xdr:rowOff>156730</xdr:rowOff>
    </xdr:from>
    <xdr:to>
      <xdr:col>42</xdr:col>
      <xdr:colOff>203635</xdr:colOff>
      <xdr:row>74</xdr:row>
      <xdr:rowOff>182809</xdr:rowOff>
    </xdr:to>
    <xdr:sp macro="" textlink="">
      <xdr:nvSpPr>
        <xdr:cNvPr id="221" name="Rectangle 220">
          <a:extLst>
            <a:ext uri="{FF2B5EF4-FFF2-40B4-BE49-F238E27FC236}">
              <a16:creationId xmlns:a16="http://schemas.microsoft.com/office/drawing/2014/main" xmlns="" id="{00000000-0008-0000-0600-0000DD000000}"/>
            </a:ext>
          </a:extLst>
        </xdr:cNvPr>
        <xdr:cNvSpPr/>
      </xdr:nvSpPr>
      <xdr:spPr>
        <a:xfrm>
          <a:off x="24789376" y="13967980"/>
          <a:ext cx="1017459" cy="10643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RX BCLK Swap</a:t>
          </a:r>
        </a:p>
        <a:p>
          <a:pPr algn="ctr"/>
          <a:r>
            <a:rPr lang="en-US" sz="900"/>
            <a:t>SAI1_RCR2[BCS]</a:t>
          </a:r>
        </a:p>
      </xdr:txBody>
    </xdr:sp>
    <xdr:clientData/>
  </xdr:twoCellAnchor>
  <xdr:oneCellAnchor>
    <xdr:from>
      <xdr:col>40</xdr:col>
      <xdr:colOff>567301</xdr:colOff>
      <xdr:row>75</xdr:row>
      <xdr:rowOff>195697</xdr:rowOff>
    </xdr:from>
    <xdr:ext cx="1648558" cy="381000"/>
    <xdr:sp macro="" textlink="">
      <xdr:nvSpPr>
        <xdr:cNvPr id="222" name="TextBox 221">
          <a:extLst>
            <a:ext uri="{FF2B5EF4-FFF2-40B4-BE49-F238E27FC236}">
              <a16:creationId xmlns:a16="http://schemas.microsoft.com/office/drawing/2014/main" xmlns="" id="{00000000-0008-0000-0600-0000DE000000}"/>
            </a:ext>
          </a:extLst>
        </xdr:cNvPr>
        <xdr:cNvSpPr txBox="1"/>
      </xdr:nvSpPr>
      <xdr:spPr>
        <a:xfrm>
          <a:off x="24951301" y="15254722"/>
          <a:ext cx="1648558"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BCLK_RX_SAI1_PS</a:t>
          </a:r>
        </a:p>
        <a:p>
          <a:r>
            <a:rPr lang="en-US" sz="800"/>
            <a:t>1 -</a:t>
          </a:r>
          <a:r>
            <a:rPr lang="en-US" sz="800" baseline="0"/>
            <a:t> Use BCLK_TX_SAI1_PS</a:t>
          </a:r>
        </a:p>
      </xdr:txBody>
    </xdr:sp>
    <xdr:clientData/>
  </xdr:oneCellAnchor>
  <xdr:twoCellAnchor>
    <xdr:from>
      <xdr:col>42</xdr:col>
      <xdr:colOff>224401</xdr:colOff>
      <xdr:row>72</xdr:row>
      <xdr:rowOff>10391</xdr:rowOff>
    </xdr:from>
    <xdr:to>
      <xdr:col>43</xdr:col>
      <xdr:colOff>367276</xdr:colOff>
      <xdr:row>72</xdr:row>
      <xdr:rowOff>10391</xdr:rowOff>
    </xdr:to>
    <xdr:cxnSp macro="">
      <xdr:nvCxnSpPr>
        <xdr:cNvPr id="223" name="Straight Arrow Connector 222">
          <a:extLst>
            <a:ext uri="{FF2B5EF4-FFF2-40B4-BE49-F238E27FC236}">
              <a16:creationId xmlns:a16="http://schemas.microsoft.com/office/drawing/2014/main" xmlns="" id="{00000000-0008-0000-0600-0000DF000000}"/>
            </a:ext>
          </a:extLst>
        </xdr:cNvPr>
        <xdr:cNvCxnSpPr/>
      </xdr:nvCxnSpPr>
      <xdr:spPr>
        <a:xfrm>
          <a:off x="25827601" y="14240741"/>
          <a:ext cx="7524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386326</xdr:colOff>
      <xdr:row>69</xdr:row>
      <xdr:rowOff>147205</xdr:rowOff>
    </xdr:from>
    <xdr:to>
      <xdr:col>45</xdr:col>
      <xdr:colOff>184585</xdr:colOff>
      <xdr:row>74</xdr:row>
      <xdr:rowOff>173284</xdr:rowOff>
    </xdr:to>
    <xdr:sp macro="" textlink="">
      <xdr:nvSpPr>
        <xdr:cNvPr id="224" name="Rectangle 223">
          <a:extLst>
            <a:ext uri="{FF2B5EF4-FFF2-40B4-BE49-F238E27FC236}">
              <a16:creationId xmlns:a16="http://schemas.microsoft.com/office/drawing/2014/main" xmlns="" id="{00000000-0008-0000-0600-0000E0000000}"/>
            </a:ext>
          </a:extLst>
        </xdr:cNvPr>
        <xdr:cNvSpPr/>
      </xdr:nvSpPr>
      <xdr:spPr>
        <a:xfrm>
          <a:off x="26599126" y="13958455"/>
          <a:ext cx="1017459" cy="10643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RX BCLK Sync Mode</a:t>
          </a:r>
        </a:p>
        <a:p>
          <a:pPr algn="ctr"/>
          <a:r>
            <a:rPr lang="en-US" sz="900"/>
            <a:t>SAI1_RCR2[SYNC]</a:t>
          </a:r>
        </a:p>
      </xdr:txBody>
    </xdr:sp>
    <xdr:clientData/>
  </xdr:twoCellAnchor>
  <xdr:oneCellAnchor>
    <xdr:from>
      <xdr:col>43</xdr:col>
      <xdr:colOff>567301</xdr:colOff>
      <xdr:row>75</xdr:row>
      <xdr:rowOff>205220</xdr:rowOff>
    </xdr:from>
    <xdr:ext cx="1509347" cy="619125"/>
    <xdr:sp macro="" textlink="">
      <xdr:nvSpPr>
        <xdr:cNvPr id="225" name="TextBox 224">
          <a:extLst>
            <a:ext uri="{FF2B5EF4-FFF2-40B4-BE49-F238E27FC236}">
              <a16:creationId xmlns:a16="http://schemas.microsoft.com/office/drawing/2014/main" xmlns="" id="{00000000-0008-0000-0600-0000E1000000}"/>
            </a:ext>
          </a:extLst>
        </xdr:cNvPr>
        <xdr:cNvSpPr txBox="1"/>
      </xdr:nvSpPr>
      <xdr:spPr>
        <a:xfrm>
          <a:off x="26780101" y="15264245"/>
          <a:ext cx="1509347"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BCLK_TX_SAI1</a:t>
          </a:r>
        </a:p>
        <a:p>
          <a:r>
            <a:rPr lang="en-US" sz="800" baseline="0"/>
            <a:t>2 - Reserved</a:t>
          </a:r>
        </a:p>
        <a:p>
          <a:r>
            <a:rPr lang="en-US" sz="800" baseline="0"/>
            <a:t>3 - Reserved</a:t>
          </a:r>
        </a:p>
      </xdr:txBody>
    </xdr:sp>
    <xdr:clientData/>
  </xdr:oneCellAnchor>
  <xdr:twoCellAnchor>
    <xdr:from>
      <xdr:col>45</xdr:col>
      <xdr:colOff>195826</xdr:colOff>
      <xdr:row>72</xdr:row>
      <xdr:rowOff>24195</xdr:rowOff>
    </xdr:from>
    <xdr:to>
      <xdr:col>48</xdr:col>
      <xdr:colOff>352425</xdr:colOff>
      <xdr:row>72</xdr:row>
      <xdr:rowOff>24195</xdr:rowOff>
    </xdr:to>
    <xdr:cxnSp macro="">
      <xdr:nvCxnSpPr>
        <xdr:cNvPr id="226" name="Straight Arrow Connector 225">
          <a:extLst>
            <a:ext uri="{FF2B5EF4-FFF2-40B4-BE49-F238E27FC236}">
              <a16:creationId xmlns:a16="http://schemas.microsoft.com/office/drawing/2014/main" xmlns="" id="{00000000-0008-0000-0600-0000E2000000}"/>
            </a:ext>
          </a:extLst>
        </xdr:cNvPr>
        <xdr:cNvCxnSpPr/>
      </xdr:nvCxnSpPr>
      <xdr:spPr>
        <a:xfrm>
          <a:off x="27627826" y="14492670"/>
          <a:ext cx="198539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45</xdr:col>
      <xdr:colOff>299097</xdr:colOff>
      <xdr:row>69</xdr:row>
      <xdr:rowOff>179289</xdr:rowOff>
    </xdr:from>
    <xdr:ext cx="1195551" cy="266700"/>
    <xdr:sp macro="" textlink="">
      <xdr:nvSpPr>
        <xdr:cNvPr id="227" name="TextBox 226">
          <a:extLst>
            <a:ext uri="{FF2B5EF4-FFF2-40B4-BE49-F238E27FC236}">
              <a16:creationId xmlns:a16="http://schemas.microsoft.com/office/drawing/2014/main" xmlns="" id="{00000000-0008-0000-0600-0000E3000000}"/>
            </a:ext>
          </a:extLst>
        </xdr:cNvPr>
        <xdr:cNvSpPr txBox="1"/>
      </xdr:nvSpPr>
      <xdr:spPr>
        <a:xfrm>
          <a:off x="27731097" y="13990539"/>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BCLK_RX_SAI1</a:t>
          </a:r>
        </a:p>
      </xdr:txBody>
    </xdr:sp>
    <xdr:clientData/>
  </xdr:oneCellAnchor>
  <xdr:twoCellAnchor>
    <xdr:from>
      <xdr:col>27</xdr:col>
      <xdr:colOff>401650</xdr:colOff>
      <xdr:row>84</xdr:row>
      <xdr:rowOff>40359</xdr:rowOff>
    </xdr:from>
    <xdr:to>
      <xdr:col>29</xdr:col>
      <xdr:colOff>199909</xdr:colOff>
      <xdr:row>89</xdr:row>
      <xdr:rowOff>159245</xdr:rowOff>
    </xdr:to>
    <xdr:sp macro="" textlink="">
      <xdr:nvSpPr>
        <xdr:cNvPr id="228" name="Rectangle 227">
          <a:extLst>
            <a:ext uri="{FF2B5EF4-FFF2-40B4-BE49-F238E27FC236}">
              <a16:creationId xmlns:a16="http://schemas.microsoft.com/office/drawing/2014/main" xmlns="" id="{00000000-0008-0000-0600-0000E4000000}"/>
            </a:ext>
          </a:extLst>
        </xdr:cNvPr>
        <xdr:cNvSpPr/>
      </xdr:nvSpPr>
      <xdr:spPr>
        <a:xfrm>
          <a:off x="16860850" y="16890084"/>
          <a:ext cx="1017459" cy="10999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TX BCLK Divide</a:t>
          </a:r>
        </a:p>
        <a:p>
          <a:pPr algn="ctr"/>
          <a:r>
            <a:rPr lang="en-US" sz="1100" baseline="0"/>
            <a:t>0,1,...,255</a:t>
          </a:r>
        </a:p>
        <a:p>
          <a:pPr algn="ctr"/>
          <a:r>
            <a:rPr lang="en-US" sz="900"/>
            <a:t>SAI1_TCR2[DIV]</a:t>
          </a:r>
        </a:p>
      </xdr:txBody>
    </xdr:sp>
    <xdr:clientData/>
  </xdr:twoCellAnchor>
  <xdr:twoCellAnchor>
    <xdr:from>
      <xdr:col>21</xdr:col>
      <xdr:colOff>335388</xdr:colOff>
      <xdr:row>81</xdr:row>
      <xdr:rowOff>38100</xdr:rowOff>
    </xdr:from>
    <xdr:to>
      <xdr:col>21</xdr:col>
      <xdr:colOff>335388</xdr:colOff>
      <xdr:row>86</xdr:row>
      <xdr:rowOff>133191</xdr:rowOff>
    </xdr:to>
    <xdr:cxnSp macro="">
      <xdr:nvCxnSpPr>
        <xdr:cNvPr id="229" name="Straight Arrow Connector 228">
          <a:extLst>
            <a:ext uri="{FF2B5EF4-FFF2-40B4-BE49-F238E27FC236}">
              <a16:creationId xmlns:a16="http://schemas.microsoft.com/office/drawing/2014/main" xmlns="" id="{00000000-0008-0000-0600-0000E5000000}"/>
            </a:ext>
          </a:extLst>
        </xdr:cNvPr>
        <xdr:cNvCxnSpPr/>
      </xdr:nvCxnSpPr>
      <xdr:spPr>
        <a:xfrm>
          <a:off x="13136988" y="16268700"/>
          <a:ext cx="0" cy="108569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335385</xdr:colOff>
      <xdr:row>86</xdr:row>
      <xdr:rowOff>133191</xdr:rowOff>
    </xdr:from>
    <xdr:to>
      <xdr:col>27</xdr:col>
      <xdr:colOff>394506</xdr:colOff>
      <xdr:row>86</xdr:row>
      <xdr:rowOff>133191</xdr:rowOff>
    </xdr:to>
    <xdr:cxnSp macro="">
      <xdr:nvCxnSpPr>
        <xdr:cNvPr id="230" name="Straight Arrow Connector 229">
          <a:extLst>
            <a:ext uri="{FF2B5EF4-FFF2-40B4-BE49-F238E27FC236}">
              <a16:creationId xmlns:a16="http://schemas.microsoft.com/office/drawing/2014/main" xmlns="" id="{00000000-0008-0000-0600-0000E6000000}"/>
            </a:ext>
          </a:extLst>
        </xdr:cNvPr>
        <xdr:cNvCxnSpPr/>
      </xdr:nvCxnSpPr>
      <xdr:spPr>
        <a:xfrm>
          <a:off x="13136985" y="17030541"/>
          <a:ext cx="37167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385083</xdr:colOff>
      <xdr:row>84</xdr:row>
      <xdr:rowOff>9711</xdr:rowOff>
    </xdr:from>
    <xdr:to>
      <xdr:col>34</xdr:col>
      <xdr:colOff>183342</xdr:colOff>
      <xdr:row>89</xdr:row>
      <xdr:rowOff>185633</xdr:rowOff>
    </xdr:to>
    <xdr:sp macro="" textlink="">
      <xdr:nvSpPr>
        <xdr:cNvPr id="231" name="Rectangle 230">
          <a:extLst>
            <a:ext uri="{FF2B5EF4-FFF2-40B4-BE49-F238E27FC236}">
              <a16:creationId xmlns:a16="http://schemas.microsoft.com/office/drawing/2014/main" xmlns="" id="{00000000-0008-0000-0600-0000E7000000}"/>
            </a:ext>
          </a:extLst>
        </xdr:cNvPr>
        <xdr:cNvSpPr/>
      </xdr:nvSpPr>
      <xdr:spPr>
        <a:xfrm>
          <a:off x="19892283" y="16859436"/>
          <a:ext cx="1017459" cy="12046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TX BCLK Select</a:t>
          </a:r>
        </a:p>
        <a:p>
          <a:pPr algn="ctr"/>
          <a:r>
            <a:rPr lang="en-US" sz="900"/>
            <a:t>SAI1_TCR2[BCD]</a:t>
          </a:r>
        </a:p>
      </xdr:txBody>
    </xdr:sp>
    <xdr:clientData/>
  </xdr:twoCellAnchor>
  <xdr:oneCellAnchor>
    <xdr:from>
      <xdr:col>32</xdr:col>
      <xdr:colOff>550736</xdr:colOff>
      <xdr:row>90</xdr:row>
      <xdr:rowOff>202246</xdr:rowOff>
    </xdr:from>
    <xdr:ext cx="1066800" cy="354725"/>
    <xdr:sp macro="" textlink="">
      <xdr:nvSpPr>
        <xdr:cNvPr id="232" name="TextBox 231">
          <a:extLst>
            <a:ext uri="{FF2B5EF4-FFF2-40B4-BE49-F238E27FC236}">
              <a16:creationId xmlns:a16="http://schemas.microsoft.com/office/drawing/2014/main" xmlns="" id="{00000000-0008-0000-0600-0000E8000000}"/>
            </a:ext>
          </a:extLst>
        </xdr:cNvPr>
        <xdr:cNvSpPr txBox="1"/>
      </xdr:nvSpPr>
      <xdr:spPr>
        <a:xfrm>
          <a:off x="20057936" y="18290221"/>
          <a:ext cx="1066800"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BCLK_SAI1</a:t>
          </a:r>
        </a:p>
        <a:p>
          <a:r>
            <a:rPr lang="en-US" sz="800"/>
            <a:t>1 - MCLK_TX_SAI1</a:t>
          </a:r>
        </a:p>
      </xdr:txBody>
    </xdr:sp>
    <xdr:clientData/>
  </xdr:oneCellAnchor>
  <xdr:twoCellAnchor>
    <xdr:from>
      <xdr:col>29</xdr:col>
      <xdr:colOff>194584</xdr:colOff>
      <xdr:row>86</xdr:row>
      <xdr:rowOff>29929</xdr:rowOff>
    </xdr:from>
    <xdr:to>
      <xdr:col>32</xdr:col>
      <xdr:colOff>360236</xdr:colOff>
      <xdr:row>86</xdr:row>
      <xdr:rowOff>29929</xdr:rowOff>
    </xdr:to>
    <xdr:cxnSp macro="">
      <xdr:nvCxnSpPr>
        <xdr:cNvPr id="233" name="Straight Arrow Connector 232">
          <a:extLst>
            <a:ext uri="{FF2B5EF4-FFF2-40B4-BE49-F238E27FC236}">
              <a16:creationId xmlns:a16="http://schemas.microsoft.com/office/drawing/2014/main" xmlns="" id="{00000000-0008-0000-0600-0000E9000000}"/>
            </a:ext>
          </a:extLst>
        </xdr:cNvPr>
        <xdr:cNvCxnSpPr/>
      </xdr:nvCxnSpPr>
      <xdr:spPr>
        <a:xfrm>
          <a:off x="17872984" y="17289229"/>
          <a:ext cx="19944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29</xdr:col>
      <xdr:colOff>496485</xdr:colOff>
      <xdr:row>87</xdr:row>
      <xdr:rowOff>164792</xdr:rowOff>
    </xdr:from>
    <xdr:ext cx="784334" cy="266700"/>
    <xdr:sp macro="" textlink="">
      <xdr:nvSpPr>
        <xdr:cNvPr id="234" name="TextBox 233">
          <a:hlinkClick xmlns:r="http://schemas.openxmlformats.org/officeDocument/2006/relationships" r:id="rId6"/>
          <a:extLst>
            <a:ext uri="{FF2B5EF4-FFF2-40B4-BE49-F238E27FC236}">
              <a16:creationId xmlns:a16="http://schemas.microsoft.com/office/drawing/2014/main" xmlns="" id="{00000000-0008-0000-0600-0000EA000000}"/>
            </a:ext>
          </a:extLst>
        </xdr:cNvPr>
        <xdr:cNvSpPr txBox="1"/>
      </xdr:nvSpPr>
      <xdr:spPr>
        <a:xfrm>
          <a:off x="18174885" y="17633642"/>
          <a:ext cx="78433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BCLK_SAI1</a:t>
          </a:r>
        </a:p>
      </xdr:txBody>
    </xdr:sp>
    <xdr:clientData/>
  </xdr:oneCellAnchor>
  <xdr:twoCellAnchor>
    <xdr:from>
      <xdr:col>32</xdr:col>
      <xdr:colOff>0</xdr:colOff>
      <xdr:row>88</xdr:row>
      <xdr:rowOff>115849</xdr:rowOff>
    </xdr:from>
    <xdr:to>
      <xdr:col>32</xdr:col>
      <xdr:colOff>376802</xdr:colOff>
      <xdr:row>88</xdr:row>
      <xdr:rowOff>115849</xdr:rowOff>
    </xdr:to>
    <xdr:cxnSp macro="">
      <xdr:nvCxnSpPr>
        <xdr:cNvPr id="235" name="Straight Arrow Connector 234">
          <a:extLst>
            <a:ext uri="{FF2B5EF4-FFF2-40B4-BE49-F238E27FC236}">
              <a16:creationId xmlns:a16="http://schemas.microsoft.com/office/drawing/2014/main" xmlns="" id="{00000000-0008-0000-0600-0000EB000000}"/>
            </a:ext>
          </a:extLst>
        </xdr:cNvPr>
        <xdr:cNvCxnSpPr/>
      </xdr:nvCxnSpPr>
      <xdr:spPr>
        <a:xfrm>
          <a:off x="19507200" y="17775199"/>
          <a:ext cx="37680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194584</xdr:colOff>
      <xdr:row>87</xdr:row>
      <xdr:rowOff>32266</xdr:rowOff>
    </xdr:from>
    <xdr:to>
      <xdr:col>36</xdr:col>
      <xdr:colOff>358808</xdr:colOff>
      <xdr:row>87</xdr:row>
      <xdr:rowOff>32266</xdr:rowOff>
    </xdr:to>
    <xdr:cxnSp macro="">
      <xdr:nvCxnSpPr>
        <xdr:cNvPr id="236" name="Straight Arrow Connector 235">
          <a:extLst>
            <a:ext uri="{FF2B5EF4-FFF2-40B4-BE49-F238E27FC236}">
              <a16:creationId xmlns:a16="http://schemas.microsoft.com/office/drawing/2014/main" xmlns="" id="{00000000-0008-0000-0600-0000EC000000}"/>
            </a:ext>
          </a:extLst>
        </xdr:cNvPr>
        <xdr:cNvCxnSpPr/>
      </xdr:nvCxnSpPr>
      <xdr:spPr>
        <a:xfrm>
          <a:off x="20920984" y="17120116"/>
          <a:ext cx="13834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376801</xdr:colOff>
      <xdr:row>84</xdr:row>
      <xdr:rowOff>49883</xdr:rowOff>
    </xdr:from>
    <xdr:to>
      <xdr:col>38</xdr:col>
      <xdr:colOff>175061</xdr:colOff>
      <xdr:row>89</xdr:row>
      <xdr:rowOff>184392</xdr:rowOff>
    </xdr:to>
    <xdr:sp macro="" textlink="">
      <xdr:nvSpPr>
        <xdr:cNvPr id="237" name="Rectangle 236">
          <a:extLst>
            <a:ext uri="{FF2B5EF4-FFF2-40B4-BE49-F238E27FC236}">
              <a16:creationId xmlns:a16="http://schemas.microsoft.com/office/drawing/2014/main" xmlns="" id="{00000000-0008-0000-0600-0000ED000000}"/>
            </a:ext>
          </a:extLst>
        </xdr:cNvPr>
        <xdr:cNvSpPr/>
      </xdr:nvSpPr>
      <xdr:spPr>
        <a:xfrm>
          <a:off x="22322401" y="16899608"/>
          <a:ext cx="1017460" cy="11822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TX BCLK Enable</a:t>
          </a:r>
        </a:p>
        <a:p>
          <a:pPr algn="ctr"/>
          <a:r>
            <a:rPr lang="en-US" sz="900"/>
            <a:t>SAI1_TSCR[BCE]</a:t>
          </a:r>
        </a:p>
      </xdr:txBody>
    </xdr:sp>
    <xdr:clientData/>
  </xdr:twoCellAnchor>
  <xdr:oneCellAnchor>
    <xdr:from>
      <xdr:col>36</xdr:col>
      <xdr:colOff>575582</xdr:colOff>
      <xdr:row>90</xdr:row>
      <xdr:rowOff>204734</xdr:rowOff>
    </xdr:from>
    <xdr:ext cx="814552" cy="354725"/>
    <xdr:sp macro="" textlink="">
      <xdr:nvSpPr>
        <xdr:cNvPr id="238" name="TextBox 237">
          <a:extLst>
            <a:ext uri="{FF2B5EF4-FFF2-40B4-BE49-F238E27FC236}">
              <a16:creationId xmlns:a16="http://schemas.microsoft.com/office/drawing/2014/main" xmlns="" id="{00000000-0008-0000-0600-0000EE000000}"/>
            </a:ext>
          </a:extLst>
        </xdr:cNvPr>
        <xdr:cNvSpPr txBox="1"/>
      </xdr:nvSpPr>
      <xdr:spPr>
        <a:xfrm>
          <a:off x="22521182" y="18311759"/>
          <a:ext cx="81455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a:t>
          </a:r>
          <a:r>
            <a:rPr lang="en-US" sz="800" baseline="0"/>
            <a:t> off</a:t>
          </a:r>
          <a:endParaRPr lang="en-US" sz="800"/>
        </a:p>
        <a:p>
          <a:r>
            <a:rPr lang="en-US" sz="800"/>
            <a:t>1 - BCLK on</a:t>
          </a:r>
        </a:p>
      </xdr:txBody>
    </xdr:sp>
    <xdr:clientData/>
  </xdr:oneCellAnchor>
  <xdr:twoCellAnchor>
    <xdr:from>
      <xdr:col>38</xdr:col>
      <xdr:colOff>186301</xdr:colOff>
      <xdr:row>88</xdr:row>
      <xdr:rowOff>39575</xdr:rowOff>
    </xdr:from>
    <xdr:to>
      <xdr:col>40</xdr:col>
      <xdr:colOff>368518</xdr:colOff>
      <xdr:row>88</xdr:row>
      <xdr:rowOff>39575</xdr:rowOff>
    </xdr:to>
    <xdr:cxnSp macro="">
      <xdr:nvCxnSpPr>
        <xdr:cNvPr id="239" name="Straight Arrow Connector 238">
          <a:extLst>
            <a:ext uri="{FF2B5EF4-FFF2-40B4-BE49-F238E27FC236}">
              <a16:creationId xmlns:a16="http://schemas.microsoft.com/office/drawing/2014/main" xmlns="" id="{00000000-0008-0000-0600-0000EF000000}"/>
            </a:ext>
          </a:extLst>
        </xdr:cNvPr>
        <xdr:cNvCxnSpPr/>
      </xdr:nvCxnSpPr>
      <xdr:spPr>
        <a:xfrm>
          <a:off x="23351101" y="17727500"/>
          <a:ext cx="1401417"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393368</xdr:colOff>
      <xdr:row>84</xdr:row>
      <xdr:rowOff>37873</xdr:rowOff>
    </xdr:from>
    <xdr:to>
      <xdr:col>42</xdr:col>
      <xdr:colOff>191627</xdr:colOff>
      <xdr:row>89</xdr:row>
      <xdr:rowOff>172382</xdr:rowOff>
    </xdr:to>
    <xdr:sp macro="" textlink="">
      <xdr:nvSpPr>
        <xdr:cNvPr id="240" name="Rectangle 239">
          <a:extLst>
            <a:ext uri="{FF2B5EF4-FFF2-40B4-BE49-F238E27FC236}">
              <a16:creationId xmlns:a16="http://schemas.microsoft.com/office/drawing/2014/main" xmlns="" id="{00000000-0008-0000-0600-0000F0000000}"/>
            </a:ext>
          </a:extLst>
        </xdr:cNvPr>
        <xdr:cNvSpPr/>
      </xdr:nvSpPr>
      <xdr:spPr>
        <a:xfrm>
          <a:off x="24777368" y="16887598"/>
          <a:ext cx="1017459" cy="11822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TX BCLK Swap</a:t>
          </a:r>
        </a:p>
        <a:p>
          <a:pPr algn="ctr"/>
          <a:r>
            <a:rPr lang="en-US" sz="900"/>
            <a:t>SAI1_TCR2[BCS]</a:t>
          </a:r>
        </a:p>
      </xdr:txBody>
    </xdr:sp>
    <xdr:clientData/>
  </xdr:twoCellAnchor>
  <xdr:oneCellAnchor>
    <xdr:from>
      <xdr:col>40</xdr:col>
      <xdr:colOff>566058</xdr:colOff>
      <xdr:row>90</xdr:row>
      <xdr:rowOff>204732</xdr:rowOff>
    </xdr:from>
    <xdr:ext cx="1648558" cy="381000"/>
    <xdr:sp macro="" textlink="">
      <xdr:nvSpPr>
        <xdr:cNvPr id="241" name="TextBox 240">
          <a:extLst>
            <a:ext uri="{FF2B5EF4-FFF2-40B4-BE49-F238E27FC236}">
              <a16:creationId xmlns:a16="http://schemas.microsoft.com/office/drawing/2014/main" xmlns="" id="{00000000-0008-0000-0600-0000F1000000}"/>
            </a:ext>
          </a:extLst>
        </xdr:cNvPr>
        <xdr:cNvSpPr txBox="1"/>
      </xdr:nvSpPr>
      <xdr:spPr>
        <a:xfrm>
          <a:off x="24950058" y="18311757"/>
          <a:ext cx="1648558"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BCLK_TX_SAI1_PS</a:t>
          </a:r>
        </a:p>
        <a:p>
          <a:r>
            <a:rPr lang="en-US" sz="800"/>
            <a:t>1 -</a:t>
          </a:r>
          <a:r>
            <a:rPr lang="en-US" sz="800" baseline="0"/>
            <a:t> Use BCLK_RX_SAI1_PS</a:t>
          </a:r>
        </a:p>
      </xdr:txBody>
    </xdr:sp>
    <xdr:clientData/>
  </xdr:oneCellAnchor>
  <xdr:oneCellAnchor>
    <xdr:from>
      <xdr:col>38</xdr:col>
      <xdr:colOff>310540</xdr:colOff>
      <xdr:row>85</xdr:row>
      <xdr:rowOff>170253</xdr:rowOff>
    </xdr:from>
    <xdr:ext cx="1195551" cy="266700"/>
    <xdr:sp macro="" textlink="">
      <xdr:nvSpPr>
        <xdr:cNvPr id="242" name="TextBox 241">
          <a:extLst>
            <a:ext uri="{FF2B5EF4-FFF2-40B4-BE49-F238E27FC236}">
              <a16:creationId xmlns:a16="http://schemas.microsoft.com/office/drawing/2014/main" xmlns="" id="{00000000-0008-0000-0600-0000F2000000}"/>
            </a:ext>
          </a:extLst>
        </xdr:cNvPr>
        <xdr:cNvSpPr txBox="1"/>
      </xdr:nvSpPr>
      <xdr:spPr>
        <a:xfrm>
          <a:off x="23475340" y="17229528"/>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BCLK_TX_SAI1_PS</a:t>
          </a:r>
        </a:p>
      </xdr:txBody>
    </xdr:sp>
    <xdr:clientData/>
  </xdr:oneCellAnchor>
  <xdr:twoCellAnchor>
    <xdr:from>
      <xdr:col>38</xdr:col>
      <xdr:colOff>343672</xdr:colOff>
      <xdr:row>74</xdr:row>
      <xdr:rowOff>33017</xdr:rowOff>
    </xdr:from>
    <xdr:to>
      <xdr:col>38</xdr:col>
      <xdr:colOff>343672</xdr:colOff>
      <xdr:row>88</xdr:row>
      <xdr:rowOff>47625</xdr:rowOff>
    </xdr:to>
    <xdr:cxnSp macro="">
      <xdr:nvCxnSpPr>
        <xdr:cNvPr id="243" name="Straight Arrow Connector 242">
          <a:extLst>
            <a:ext uri="{FF2B5EF4-FFF2-40B4-BE49-F238E27FC236}">
              <a16:creationId xmlns:a16="http://schemas.microsoft.com/office/drawing/2014/main" xmlns="" id="{00000000-0008-0000-0600-0000F3000000}"/>
            </a:ext>
          </a:extLst>
        </xdr:cNvPr>
        <xdr:cNvCxnSpPr/>
      </xdr:nvCxnSpPr>
      <xdr:spPr>
        <a:xfrm>
          <a:off x="23508472" y="14882492"/>
          <a:ext cx="0" cy="2853058"/>
        </a:xfrm>
        <a:prstGeom prst="straightConnector1">
          <a:avLst/>
        </a:prstGeom>
        <a:ln w="38100">
          <a:solidFill>
            <a:schemeClr val="accent5"/>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327105</xdr:colOff>
      <xdr:row>74</xdr:row>
      <xdr:rowOff>41300</xdr:rowOff>
    </xdr:from>
    <xdr:to>
      <xdr:col>40</xdr:col>
      <xdr:colOff>343670</xdr:colOff>
      <xdr:row>74</xdr:row>
      <xdr:rowOff>41300</xdr:rowOff>
    </xdr:to>
    <xdr:cxnSp macro="">
      <xdr:nvCxnSpPr>
        <xdr:cNvPr id="244" name="Straight Arrow Connector 243">
          <a:extLst>
            <a:ext uri="{FF2B5EF4-FFF2-40B4-BE49-F238E27FC236}">
              <a16:creationId xmlns:a16="http://schemas.microsoft.com/office/drawing/2014/main" xmlns="" id="{00000000-0008-0000-0600-0000F4000000}"/>
            </a:ext>
          </a:extLst>
        </xdr:cNvPr>
        <xdr:cNvCxnSpPr/>
      </xdr:nvCxnSpPr>
      <xdr:spPr>
        <a:xfrm>
          <a:off x="23491905" y="14652650"/>
          <a:ext cx="1235765" cy="0"/>
        </a:xfrm>
        <a:prstGeom prst="straightConnector1">
          <a:avLst/>
        </a:prstGeom>
        <a:ln w="38100">
          <a:solidFill>
            <a:schemeClr val="accent5"/>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550736</xdr:colOff>
      <xdr:row>71</xdr:row>
      <xdr:rowOff>66675</xdr:rowOff>
    </xdr:from>
    <xdr:to>
      <xdr:col>38</xdr:col>
      <xdr:colOff>550736</xdr:colOff>
      <xdr:row>85</xdr:row>
      <xdr:rowOff>80454</xdr:rowOff>
    </xdr:to>
    <xdr:cxnSp macro="">
      <xdr:nvCxnSpPr>
        <xdr:cNvPr id="245" name="Straight Arrow Connector 244">
          <a:extLst>
            <a:ext uri="{FF2B5EF4-FFF2-40B4-BE49-F238E27FC236}">
              <a16:creationId xmlns:a16="http://schemas.microsoft.com/office/drawing/2014/main" xmlns="" id="{00000000-0008-0000-0600-0000F5000000}"/>
            </a:ext>
          </a:extLst>
        </xdr:cNvPr>
        <xdr:cNvCxnSpPr/>
      </xdr:nvCxnSpPr>
      <xdr:spPr>
        <a:xfrm>
          <a:off x="23715536" y="14287500"/>
          <a:ext cx="0" cy="2785554"/>
        </a:xfrm>
        <a:prstGeom prst="straightConnector1">
          <a:avLst/>
        </a:prstGeom>
        <a:ln w="38100">
          <a:solidFill>
            <a:schemeClr val="accent2"/>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525888</xdr:colOff>
      <xdr:row>85</xdr:row>
      <xdr:rowOff>72176</xdr:rowOff>
    </xdr:from>
    <xdr:to>
      <xdr:col>40</xdr:col>
      <xdr:colOff>376801</xdr:colOff>
      <xdr:row>85</xdr:row>
      <xdr:rowOff>72176</xdr:rowOff>
    </xdr:to>
    <xdr:cxnSp macro="">
      <xdr:nvCxnSpPr>
        <xdr:cNvPr id="246" name="Straight Arrow Connector 245">
          <a:extLst>
            <a:ext uri="{FF2B5EF4-FFF2-40B4-BE49-F238E27FC236}">
              <a16:creationId xmlns:a16="http://schemas.microsoft.com/office/drawing/2014/main" xmlns="" id="{00000000-0008-0000-0600-0000F6000000}"/>
            </a:ext>
          </a:extLst>
        </xdr:cNvPr>
        <xdr:cNvCxnSpPr/>
      </xdr:nvCxnSpPr>
      <xdr:spPr>
        <a:xfrm>
          <a:off x="23690688" y="16779026"/>
          <a:ext cx="1070113"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194583</xdr:colOff>
      <xdr:row>87</xdr:row>
      <xdr:rowOff>33099</xdr:rowOff>
    </xdr:from>
    <xdr:to>
      <xdr:col>43</xdr:col>
      <xdr:colOff>337458</xdr:colOff>
      <xdr:row>87</xdr:row>
      <xdr:rowOff>33099</xdr:rowOff>
    </xdr:to>
    <xdr:cxnSp macro="">
      <xdr:nvCxnSpPr>
        <xdr:cNvPr id="247" name="Straight Arrow Connector 246">
          <a:extLst>
            <a:ext uri="{FF2B5EF4-FFF2-40B4-BE49-F238E27FC236}">
              <a16:creationId xmlns:a16="http://schemas.microsoft.com/office/drawing/2014/main" xmlns="" id="{00000000-0008-0000-0600-0000F7000000}"/>
            </a:ext>
          </a:extLst>
        </xdr:cNvPr>
        <xdr:cNvCxnSpPr/>
      </xdr:nvCxnSpPr>
      <xdr:spPr>
        <a:xfrm>
          <a:off x="25797783" y="17511474"/>
          <a:ext cx="7524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360236</xdr:colOff>
      <xdr:row>84</xdr:row>
      <xdr:rowOff>39116</xdr:rowOff>
    </xdr:from>
    <xdr:to>
      <xdr:col>45</xdr:col>
      <xdr:colOff>158495</xdr:colOff>
      <xdr:row>89</xdr:row>
      <xdr:rowOff>173625</xdr:rowOff>
    </xdr:to>
    <xdr:sp macro="" textlink="">
      <xdr:nvSpPr>
        <xdr:cNvPr id="248" name="Rectangle 247">
          <a:extLst>
            <a:ext uri="{FF2B5EF4-FFF2-40B4-BE49-F238E27FC236}">
              <a16:creationId xmlns:a16="http://schemas.microsoft.com/office/drawing/2014/main" xmlns="" id="{00000000-0008-0000-0600-0000F8000000}"/>
            </a:ext>
          </a:extLst>
        </xdr:cNvPr>
        <xdr:cNvSpPr/>
      </xdr:nvSpPr>
      <xdr:spPr>
        <a:xfrm>
          <a:off x="26573036" y="16888841"/>
          <a:ext cx="1017459" cy="11822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 TX BCLK Sync Mode</a:t>
          </a:r>
        </a:p>
        <a:p>
          <a:pPr algn="ctr"/>
          <a:r>
            <a:rPr lang="en-US" sz="900"/>
            <a:t>SAI1_TCR2[SYNC]</a:t>
          </a:r>
        </a:p>
      </xdr:txBody>
    </xdr:sp>
    <xdr:clientData/>
  </xdr:twoCellAnchor>
  <xdr:oneCellAnchor>
    <xdr:from>
      <xdr:col>43</xdr:col>
      <xdr:colOff>550736</xdr:colOff>
      <xdr:row>90</xdr:row>
      <xdr:rowOff>195205</xdr:rowOff>
    </xdr:from>
    <xdr:ext cx="1509347" cy="619125"/>
    <xdr:sp macro="" textlink="">
      <xdr:nvSpPr>
        <xdr:cNvPr id="249" name="TextBox 248">
          <a:extLst>
            <a:ext uri="{FF2B5EF4-FFF2-40B4-BE49-F238E27FC236}">
              <a16:creationId xmlns:a16="http://schemas.microsoft.com/office/drawing/2014/main" xmlns="" id="{00000000-0008-0000-0600-0000F9000000}"/>
            </a:ext>
          </a:extLst>
        </xdr:cNvPr>
        <xdr:cNvSpPr txBox="1"/>
      </xdr:nvSpPr>
      <xdr:spPr>
        <a:xfrm>
          <a:off x="26763536" y="18302230"/>
          <a:ext cx="1509347" cy="619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BCLK_RX_SAI1</a:t>
          </a:r>
        </a:p>
        <a:p>
          <a:r>
            <a:rPr lang="en-US" sz="800" baseline="0"/>
            <a:t>2 - Reserved</a:t>
          </a:r>
        </a:p>
        <a:p>
          <a:r>
            <a:rPr lang="en-US" sz="800" baseline="0"/>
            <a:t>3 - Reserved</a:t>
          </a:r>
        </a:p>
      </xdr:txBody>
    </xdr:sp>
    <xdr:clientData/>
  </xdr:oneCellAnchor>
  <xdr:twoCellAnchor>
    <xdr:from>
      <xdr:col>45</xdr:col>
      <xdr:colOff>178019</xdr:colOff>
      <xdr:row>87</xdr:row>
      <xdr:rowOff>32270</xdr:rowOff>
    </xdr:from>
    <xdr:to>
      <xdr:col>48</xdr:col>
      <xdr:colOff>419100</xdr:colOff>
      <xdr:row>87</xdr:row>
      <xdr:rowOff>32270</xdr:rowOff>
    </xdr:to>
    <xdr:cxnSp macro="">
      <xdr:nvCxnSpPr>
        <xdr:cNvPr id="250" name="Straight Arrow Connector 249">
          <a:extLst>
            <a:ext uri="{FF2B5EF4-FFF2-40B4-BE49-F238E27FC236}">
              <a16:creationId xmlns:a16="http://schemas.microsoft.com/office/drawing/2014/main" xmlns="" id="{00000000-0008-0000-0600-0000FA000000}"/>
            </a:ext>
          </a:extLst>
        </xdr:cNvPr>
        <xdr:cNvCxnSpPr/>
      </xdr:nvCxnSpPr>
      <xdr:spPr>
        <a:xfrm>
          <a:off x="27610019" y="17567795"/>
          <a:ext cx="206988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45</xdr:col>
      <xdr:colOff>351954</xdr:colOff>
      <xdr:row>84</xdr:row>
      <xdr:rowOff>172470</xdr:rowOff>
    </xdr:from>
    <xdr:ext cx="1195551" cy="266700"/>
    <xdr:sp macro="" textlink="">
      <xdr:nvSpPr>
        <xdr:cNvPr id="251" name="TextBox 250">
          <a:extLst>
            <a:ext uri="{FF2B5EF4-FFF2-40B4-BE49-F238E27FC236}">
              <a16:creationId xmlns:a16="http://schemas.microsoft.com/office/drawing/2014/main" xmlns="" id="{00000000-0008-0000-0600-0000FB000000}"/>
            </a:ext>
          </a:extLst>
        </xdr:cNvPr>
        <xdr:cNvSpPr txBox="1"/>
      </xdr:nvSpPr>
      <xdr:spPr>
        <a:xfrm>
          <a:off x="27783954" y="17022195"/>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BCLK_TX_SAI1</a:t>
          </a:r>
        </a:p>
      </xdr:txBody>
    </xdr:sp>
    <xdr:clientData/>
  </xdr:oneCellAnchor>
  <xdr:twoCellAnchor>
    <xdr:from>
      <xdr:col>48</xdr:col>
      <xdr:colOff>390525</xdr:colOff>
      <xdr:row>9</xdr:row>
      <xdr:rowOff>95250</xdr:rowOff>
    </xdr:from>
    <xdr:to>
      <xdr:col>50</xdr:col>
      <xdr:colOff>177165</xdr:colOff>
      <xdr:row>13</xdr:row>
      <xdr:rowOff>166877</xdr:rowOff>
    </xdr:to>
    <xdr:sp macro="" textlink="">
      <xdr:nvSpPr>
        <xdr:cNvPr id="178" name="Rectangle 177">
          <a:hlinkClick xmlns:r="http://schemas.openxmlformats.org/officeDocument/2006/relationships" r:id="rId7"/>
          <a:extLst>
            <a:ext uri="{FF2B5EF4-FFF2-40B4-BE49-F238E27FC236}">
              <a16:creationId xmlns:a16="http://schemas.microsoft.com/office/drawing/2014/main" xmlns="" id="{00000000-0008-0000-0600-0000B2000000}"/>
            </a:ext>
          </a:extLst>
        </xdr:cNvPr>
        <xdr:cNvSpPr/>
      </xdr:nvSpPr>
      <xdr:spPr>
        <a:xfrm>
          <a:off x="29651325" y="1847850"/>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190500</xdr:colOff>
      <xdr:row>12</xdr:row>
      <xdr:rowOff>38100</xdr:rowOff>
    </xdr:from>
    <xdr:to>
      <xdr:col>54</xdr:col>
      <xdr:colOff>19050</xdr:colOff>
      <xdr:row>12</xdr:row>
      <xdr:rowOff>38100</xdr:rowOff>
    </xdr:to>
    <xdr:cxnSp macro="">
      <xdr:nvCxnSpPr>
        <xdr:cNvPr id="179" name="Straight Arrow Connector 178">
          <a:extLst>
            <a:ext uri="{FF2B5EF4-FFF2-40B4-BE49-F238E27FC236}">
              <a16:creationId xmlns:a16="http://schemas.microsoft.com/office/drawing/2014/main" xmlns="" id="{00000000-0008-0000-0600-0000B3000000}"/>
            </a:ext>
          </a:extLst>
        </xdr:cNvPr>
        <xdr:cNvCxnSpPr/>
      </xdr:nvCxnSpPr>
      <xdr:spPr>
        <a:xfrm>
          <a:off x="30670500" y="2390775"/>
          <a:ext cx="22669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390525</xdr:colOff>
      <xdr:row>18</xdr:row>
      <xdr:rowOff>76200</xdr:rowOff>
    </xdr:from>
    <xdr:to>
      <xdr:col>50</xdr:col>
      <xdr:colOff>177165</xdr:colOff>
      <xdr:row>22</xdr:row>
      <xdr:rowOff>147827</xdr:rowOff>
    </xdr:to>
    <xdr:sp macro="" textlink="">
      <xdr:nvSpPr>
        <xdr:cNvPr id="180" name="Rectangle 179">
          <a:hlinkClick xmlns:r="http://schemas.openxmlformats.org/officeDocument/2006/relationships" r:id="rId7"/>
          <a:extLst>
            <a:ext uri="{FF2B5EF4-FFF2-40B4-BE49-F238E27FC236}">
              <a16:creationId xmlns:a16="http://schemas.microsoft.com/office/drawing/2014/main" xmlns="" id="{00000000-0008-0000-0600-0000B4000000}"/>
            </a:ext>
          </a:extLst>
        </xdr:cNvPr>
        <xdr:cNvSpPr/>
      </xdr:nvSpPr>
      <xdr:spPr>
        <a:xfrm>
          <a:off x="29651325" y="3619500"/>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171450</xdr:colOff>
      <xdr:row>21</xdr:row>
      <xdr:rowOff>28575</xdr:rowOff>
    </xdr:from>
    <xdr:to>
      <xdr:col>54</xdr:col>
      <xdr:colOff>38100</xdr:colOff>
      <xdr:row>21</xdr:row>
      <xdr:rowOff>28575</xdr:rowOff>
    </xdr:to>
    <xdr:cxnSp macro="">
      <xdr:nvCxnSpPr>
        <xdr:cNvPr id="181" name="Straight Arrow Connector 180">
          <a:extLst>
            <a:ext uri="{FF2B5EF4-FFF2-40B4-BE49-F238E27FC236}">
              <a16:creationId xmlns:a16="http://schemas.microsoft.com/office/drawing/2014/main" xmlns="" id="{00000000-0008-0000-0600-0000B5000000}"/>
            </a:ext>
          </a:extLst>
        </xdr:cNvPr>
        <xdr:cNvCxnSpPr/>
      </xdr:nvCxnSpPr>
      <xdr:spPr>
        <a:xfrm>
          <a:off x="30651450" y="4171950"/>
          <a:ext cx="2305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400050</xdr:colOff>
      <xdr:row>26</xdr:row>
      <xdr:rowOff>133350</xdr:rowOff>
    </xdr:from>
    <xdr:to>
      <xdr:col>50</xdr:col>
      <xdr:colOff>186690</xdr:colOff>
      <xdr:row>30</xdr:row>
      <xdr:rowOff>166877</xdr:rowOff>
    </xdr:to>
    <xdr:sp macro="" textlink="">
      <xdr:nvSpPr>
        <xdr:cNvPr id="253" name="Rectangle 252">
          <a:hlinkClick xmlns:r="http://schemas.openxmlformats.org/officeDocument/2006/relationships" r:id="rId7"/>
          <a:extLst>
            <a:ext uri="{FF2B5EF4-FFF2-40B4-BE49-F238E27FC236}">
              <a16:creationId xmlns:a16="http://schemas.microsoft.com/office/drawing/2014/main" xmlns="" id="{00000000-0008-0000-0600-0000FD000000}"/>
            </a:ext>
          </a:extLst>
        </xdr:cNvPr>
        <xdr:cNvSpPr/>
      </xdr:nvSpPr>
      <xdr:spPr>
        <a:xfrm>
          <a:off x="29660850" y="530542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190500</xdr:colOff>
      <xdr:row>29</xdr:row>
      <xdr:rowOff>28575</xdr:rowOff>
    </xdr:from>
    <xdr:to>
      <xdr:col>54</xdr:col>
      <xdr:colOff>47625</xdr:colOff>
      <xdr:row>29</xdr:row>
      <xdr:rowOff>28575</xdr:rowOff>
    </xdr:to>
    <xdr:cxnSp macro="">
      <xdr:nvCxnSpPr>
        <xdr:cNvPr id="254" name="Straight Arrow Connector 253">
          <a:extLst>
            <a:ext uri="{FF2B5EF4-FFF2-40B4-BE49-F238E27FC236}">
              <a16:creationId xmlns:a16="http://schemas.microsoft.com/office/drawing/2014/main" xmlns="" id="{00000000-0008-0000-0600-0000FE000000}"/>
            </a:ext>
          </a:extLst>
        </xdr:cNvPr>
        <xdr:cNvCxnSpPr/>
      </xdr:nvCxnSpPr>
      <xdr:spPr>
        <a:xfrm>
          <a:off x="30670500" y="5829300"/>
          <a:ext cx="22955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400050</xdr:colOff>
      <xdr:row>34</xdr:row>
      <xdr:rowOff>85725</xdr:rowOff>
    </xdr:from>
    <xdr:to>
      <xdr:col>50</xdr:col>
      <xdr:colOff>186690</xdr:colOff>
      <xdr:row>38</xdr:row>
      <xdr:rowOff>157352</xdr:rowOff>
    </xdr:to>
    <xdr:sp macro="" textlink="">
      <xdr:nvSpPr>
        <xdr:cNvPr id="255" name="Rectangle 254">
          <a:hlinkClick xmlns:r="http://schemas.openxmlformats.org/officeDocument/2006/relationships" r:id="rId7"/>
          <a:extLst>
            <a:ext uri="{FF2B5EF4-FFF2-40B4-BE49-F238E27FC236}">
              <a16:creationId xmlns:a16="http://schemas.microsoft.com/office/drawing/2014/main" xmlns="" id="{00000000-0008-0000-0600-0000FF000000}"/>
            </a:ext>
          </a:extLst>
        </xdr:cNvPr>
        <xdr:cNvSpPr/>
      </xdr:nvSpPr>
      <xdr:spPr>
        <a:xfrm>
          <a:off x="29660850" y="690562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190500</xdr:colOff>
      <xdr:row>37</xdr:row>
      <xdr:rowOff>28575</xdr:rowOff>
    </xdr:from>
    <xdr:to>
      <xdr:col>54</xdr:col>
      <xdr:colOff>47625</xdr:colOff>
      <xdr:row>37</xdr:row>
      <xdr:rowOff>28575</xdr:rowOff>
    </xdr:to>
    <xdr:cxnSp macro="">
      <xdr:nvCxnSpPr>
        <xdr:cNvPr id="256" name="Straight Arrow Connector 255">
          <a:extLst>
            <a:ext uri="{FF2B5EF4-FFF2-40B4-BE49-F238E27FC236}">
              <a16:creationId xmlns:a16="http://schemas.microsoft.com/office/drawing/2014/main" xmlns="" id="{00000000-0008-0000-0600-000000010000}"/>
            </a:ext>
          </a:extLst>
        </xdr:cNvPr>
        <xdr:cNvCxnSpPr/>
      </xdr:nvCxnSpPr>
      <xdr:spPr>
        <a:xfrm>
          <a:off x="30670500" y="7448550"/>
          <a:ext cx="22955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400050</xdr:colOff>
      <xdr:row>40</xdr:row>
      <xdr:rowOff>133350</xdr:rowOff>
    </xdr:from>
    <xdr:to>
      <xdr:col>50</xdr:col>
      <xdr:colOff>186690</xdr:colOff>
      <xdr:row>44</xdr:row>
      <xdr:rowOff>166877</xdr:rowOff>
    </xdr:to>
    <xdr:sp macro="" textlink="">
      <xdr:nvSpPr>
        <xdr:cNvPr id="257" name="Rectangle 256">
          <a:hlinkClick xmlns:r="http://schemas.openxmlformats.org/officeDocument/2006/relationships" r:id="rId7"/>
          <a:extLst>
            <a:ext uri="{FF2B5EF4-FFF2-40B4-BE49-F238E27FC236}">
              <a16:creationId xmlns:a16="http://schemas.microsoft.com/office/drawing/2014/main" xmlns="" id="{00000000-0008-0000-0600-000001010000}"/>
            </a:ext>
          </a:extLst>
        </xdr:cNvPr>
        <xdr:cNvSpPr/>
      </xdr:nvSpPr>
      <xdr:spPr>
        <a:xfrm>
          <a:off x="29660850" y="816292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209550</xdr:colOff>
      <xdr:row>42</xdr:row>
      <xdr:rowOff>47625</xdr:rowOff>
    </xdr:from>
    <xdr:to>
      <xdr:col>54</xdr:col>
      <xdr:colOff>76200</xdr:colOff>
      <xdr:row>42</xdr:row>
      <xdr:rowOff>47625</xdr:rowOff>
    </xdr:to>
    <xdr:cxnSp macro="">
      <xdr:nvCxnSpPr>
        <xdr:cNvPr id="258" name="Straight Arrow Connector 257">
          <a:extLst>
            <a:ext uri="{FF2B5EF4-FFF2-40B4-BE49-F238E27FC236}">
              <a16:creationId xmlns:a16="http://schemas.microsoft.com/office/drawing/2014/main" xmlns="" id="{00000000-0008-0000-0600-000002010000}"/>
            </a:ext>
          </a:extLst>
        </xdr:cNvPr>
        <xdr:cNvCxnSpPr/>
      </xdr:nvCxnSpPr>
      <xdr:spPr>
        <a:xfrm>
          <a:off x="30689550" y="8496300"/>
          <a:ext cx="2305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400050</xdr:colOff>
      <xdr:row>52</xdr:row>
      <xdr:rowOff>95250</xdr:rowOff>
    </xdr:from>
    <xdr:to>
      <xdr:col>50</xdr:col>
      <xdr:colOff>186690</xdr:colOff>
      <xdr:row>56</xdr:row>
      <xdr:rowOff>166877</xdr:rowOff>
    </xdr:to>
    <xdr:sp macro="" textlink="">
      <xdr:nvSpPr>
        <xdr:cNvPr id="259" name="Rectangle 258">
          <a:hlinkClick xmlns:r="http://schemas.openxmlformats.org/officeDocument/2006/relationships" r:id="rId7"/>
          <a:extLst>
            <a:ext uri="{FF2B5EF4-FFF2-40B4-BE49-F238E27FC236}">
              <a16:creationId xmlns:a16="http://schemas.microsoft.com/office/drawing/2014/main" xmlns="" id="{00000000-0008-0000-0600-000003010000}"/>
            </a:ext>
          </a:extLst>
        </xdr:cNvPr>
        <xdr:cNvSpPr/>
      </xdr:nvSpPr>
      <xdr:spPr>
        <a:xfrm>
          <a:off x="29660850" y="10534650"/>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200025</xdr:colOff>
      <xdr:row>55</xdr:row>
      <xdr:rowOff>28575</xdr:rowOff>
    </xdr:from>
    <xdr:to>
      <xdr:col>54</xdr:col>
      <xdr:colOff>47625</xdr:colOff>
      <xdr:row>55</xdr:row>
      <xdr:rowOff>28575</xdr:rowOff>
    </xdr:to>
    <xdr:cxnSp macro="">
      <xdr:nvCxnSpPr>
        <xdr:cNvPr id="260" name="Straight Arrow Connector 259">
          <a:extLst>
            <a:ext uri="{FF2B5EF4-FFF2-40B4-BE49-F238E27FC236}">
              <a16:creationId xmlns:a16="http://schemas.microsoft.com/office/drawing/2014/main" xmlns="" id="{00000000-0008-0000-0600-000004010000}"/>
            </a:ext>
          </a:extLst>
        </xdr:cNvPr>
        <xdr:cNvCxnSpPr/>
      </xdr:nvCxnSpPr>
      <xdr:spPr>
        <a:xfrm>
          <a:off x="30680025" y="11068050"/>
          <a:ext cx="22860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390525</xdr:colOff>
      <xdr:row>61</xdr:row>
      <xdr:rowOff>85725</xdr:rowOff>
    </xdr:from>
    <xdr:to>
      <xdr:col>50</xdr:col>
      <xdr:colOff>177165</xdr:colOff>
      <xdr:row>65</xdr:row>
      <xdr:rowOff>157352</xdr:rowOff>
    </xdr:to>
    <xdr:sp macro="" textlink="">
      <xdr:nvSpPr>
        <xdr:cNvPr id="261" name="Rectangle 260">
          <a:hlinkClick xmlns:r="http://schemas.openxmlformats.org/officeDocument/2006/relationships" r:id="rId7"/>
          <a:extLst>
            <a:ext uri="{FF2B5EF4-FFF2-40B4-BE49-F238E27FC236}">
              <a16:creationId xmlns:a16="http://schemas.microsoft.com/office/drawing/2014/main" xmlns="" id="{00000000-0008-0000-0600-000005010000}"/>
            </a:ext>
          </a:extLst>
        </xdr:cNvPr>
        <xdr:cNvSpPr/>
      </xdr:nvSpPr>
      <xdr:spPr>
        <a:xfrm>
          <a:off x="29651325" y="1231582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200025</xdr:colOff>
      <xdr:row>64</xdr:row>
      <xdr:rowOff>38100</xdr:rowOff>
    </xdr:from>
    <xdr:to>
      <xdr:col>54</xdr:col>
      <xdr:colOff>47625</xdr:colOff>
      <xdr:row>64</xdr:row>
      <xdr:rowOff>38100</xdr:rowOff>
    </xdr:to>
    <xdr:cxnSp macro="">
      <xdr:nvCxnSpPr>
        <xdr:cNvPr id="262" name="Straight Arrow Connector 261">
          <a:extLst>
            <a:ext uri="{FF2B5EF4-FFF2-40B4-BE49-F238E27FC236}">
              <a16:creationId xmlns:a16="http://schemas.microsoft.com/office/drawing/2014/main" xmlns="" id="{00000000-0008-0000-0600-000006010000}"/>
            </a:ext>
          </a:extLst>
        </xdr:cNvPr>
        <xdr:cNvCxnSpPr/>
      </xdr:nvCxnSpPr>
      <xdr:spPr>
        <a:xfrm>
          <a:off x="30680025" y="12868275"/>
          <a:ext cx="22860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400050</xdr:colOff>
      <xdr:row>69</xdr:row>
      <xdr:rowOff>133350</xdr:rowOff>
    </xdr:from>
    <xdr:to>
      <xdr:col>50</xdr:col>
      <xdr:colOff>186690</xdr:colOff>
      <xdr:row>73</xdr:row>
      <xdr:rowOff>176402</xdr:rowOff>
    </xdr:to>
    <xdr:sp macro="" textlink="">
      <xdr:nvSpPr>
        <xdr:cNvPr id="263" name="Rectangle 262">
          <a:hlinkClick xmlns:r="http://schemas.openxmlformats.org/officeDocument/2006/relationships" r:id="rId7"/>
          <a:extLst>
            <a:ext uri="{FF2B5EF4-FFF2-40B4-BE49-F238E27FC236}">
              <a16:creationId xmlns:a16="http://schemas.microsoft.com/office/drawing/2014/main" xmlns="" id="{00000000-0008-0000-0600-000007010000}"/>
            </a:ext>
          </a:extLst>
        </xdr:cNvPr>
        <xdr:cNvSpPr/>
      </xdr:nvSpPr>
      <xdr:spPr>
        <a:xfrm>
          <a:off x="29660850" y="13982700"/>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209550</xdr:colOff>
      <xdr:row>72</xdr:row>
      <xdr:rowOff>38100</xdr:rowOff>
    </xdr:from>
    <xdr:to>
      <xdr:col>54</xdr:col>
      <xdr:colOff>47625</xdr:colOff>
      <xdr:row>72</xdr:row>
      <xdr:rowOff>38100</xdr:rowOff>
    </xdr:to>
    <xdr:cxnSp macro="">
      <xdr:nvCxnSpPr>
        <xdr:cNvPr id="264" name="Straight Arrow Connector 263">
          <a:extLst>
            <a:ext uri="{FF2B5EF4-FFF2-40B4-BE49-F238E27FC236}">
              <a16:creationId xmlns:a16="http://schemas.microsoft.com/office/drawing/2014/main" xmlns="" id="{00000000-0008-0000-0600-000008010000}"/>
            </a:ext>
          </a:extLst>
        </xdr:cNvPr>
        <xdr:cNvCxnSpPr/>
      </xdr:nvCxnSpPr>
      <xdr:spPr>
        <a:xfrm>
          <a:off x="30689550" y="14506575"/>
          <a:ext cx="22764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419100</xdr:colOff>
      <xdr:row>78</xdr:row>
      <xdr:rowOff>95250</xdr:rowOff>
    </xdr:from>
    <xdr:to>
      <xdr:col>50</xdr:col>
      <xdr:colOff>205740</xdr:colOff>
      <xdr:row>82</xdr:row>
      <xdr:rowOff>166877</xdr:rowOff>
    </xdr:to>
    <xdr:sp macro="" textlink="">
      <xdr:nvSpPr>
        <xdr:cNvPr id="265" name="Rectangle 264">
          <a:hlinkClick xmlns:r="http://schemas.openxmlformats.org/officeDocument/2006/relationships" r:id="rId7"/>
          <a:extLst>
            <a:ext uri="{FF2B5EF4-FFF2-40B4-BE49-F238E27FC236}">
              <a16:creationId xmlns:a16="http://schemas.microsoft.com/office/drawing/2014/main" xmlns="" id="{00000000-0008-0000-0600-000009010000}"/>
            </a:ext>
          </a:extLst>
        </xdr:cNvPr>
        <xdr:cNvSpPr/>
      </xdr:nvSpPr>
      <xdr:spPr>
        <a:xfrm>
          <a:off x="29679900" y="15792450"/>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228600</xdr:colOff>
      <xdr:row>81</xdr:row>
      <xdr:rowOff>38100</xdr:rowOff>
    </xdr:from>
    <xdr:to>
      <xdr:col>54</xdr:col>
      <xdr:colOff>66675</xdr:colOff>
      <xdr:row>81</xdr:row>
      <xdr:rowOff>38100</xdr:rowOff>
    </xdr:to>
    <xdr:cxnSp macro="">
      <xdr:nvCxnSpPr>
        <xdr:cNvPr id="266" name="Straight Arrow Connector 265">
          <a:extLst>
            <a:ext uri="{FF2B5EF4-FFF2-40B4-BE49-F238E27FC236}">
              <a16:creationId xmlns:a16="http://schemas.microsoft.com/office/drawing/2014/main" xmlns="" id="{00000000-0008-0000-0600-00000A010000}"/>
            </a:ext>
          </a:extLst>
        </xdr:cNvPr>
        <xdr:cNvCxnSpPr/>
      </xdr:nvCxnSpPr>
      <xdr:spPr>
        <a:xfrm>
          <a:off x="30708600" y="16335375"/>
          <a:ext cx="22764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419100</xdr:colOff>
      <xdr:row>84</xdr:row>
      <xdr:rowOff>133350</xdr:rowOff>
    </xdr:from>
    <xdr:to>
      <xdr:col>50</xdr:col>
      <xdr:colOff>205740</xdr:colOff>
      <xdr:row>88</xdr:row>
      <xdr:rowOff>166877</xdr:rowOff>
    </xdr:to>
    <xdr:sp macro="" textlink="">
      <xdr:nvSpPr>
        <xdr:cNvPr id="267" name="Rectangle 266">
          <a:hlinkClick xmlns:r="http://schemas.openxmlformats.org/officeDocument/2006/relationships" r:id="rId7"/>
          <a:extLst>
            <a:ext uri="{FF2B5EF4-FFF2-40B4-BE49-F238E27FC236}">
              <a16:creationId xmlns:a16="http://schemas.microsoft.com/office/drawing/2014/main" xmlns="" id="{00000000-0008-0000-0600-00000B010000}"/>
            </a:ext>
          </a:extLst>
        </xdr:cNvPr>
        <xdr:cNvSpPr/>
      </xdr:nvSpPr>
      <xdr:spPr>
        <a:xfrm>
          <a:off x="29679900" y="17040225"/>
          <a:ext cx="1005840" cy="871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50</xdr:col>
      <xdr:colOff>228600</xdr:colOff>
      <xdr:row>87</xdr:row>
      <xdr:rowOff>38100</xdr:rowOff>
    </xdr:from>
    <xdr:to>
      <xdr:col>54</xdr:col>
      <xdr:colOff>66675</xdr:colOff>
      <xdr:row>87</xdr:row>
      <xdr:rowOff>38100</xdr:rowOff>
    </xdr:to>
    <xdr:cxnSp macro="">
      <xdr:nvCxnSpPr>
        <xdr:cNvPr id="268" name="Straight Arrow Connector 267">
          <a:extLst>
            <a:ext uri="{FF2B5EF4-FFF2-40B4-BE49-F238E27FC236}">
              <a16:creationId xmlns:a16="http://schemas.microsoft.com/office/drawing/2014/main" xmlns="" id="{00000000-0008-0000-0600-00000C010000}"/>
            </a:ext>
          </a:extLst>
        </xdr:cNvPr>
        <xdr:cNvCxnSpPr/>
      </xdr:nvCxnSpPr>
      <xdr:spPr>
        <a:xfrm>
          <a:off x="30708600" y="17573625"/>
          <a:ext cx="22764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57150</xdr:colOff>
      <xdr:row>0</xdr:row>
      <xdr:rowOff>76200</xdr:rowOff>
    </xdr:from>
    <xdr:ext cx="5619750" cy="895348"/>
    <xdr:sp macro="" textlink="">
      <xdr:nvSpPr>
        <xdr:cNvPr id="2" name="TextBox 1">
          <a:extLst>
            <a:ext uri="{FF2B5EF4-FFF2-40B4-BE49-F238E27FC236}">
              <a16:creationId xmlns:a16="http://schemas.microsoft.com/office/drawing/2014/main" xmlns="" id="{00000000-0008-0000-0700-000002000000}"/>
            </a:ext>
          </a:extLst>
        </xdr:cNvPr>
        <xdr:cNvSpPr txBox="1"/>
      </xdr:nvSpPr>
      <xdr:spPr>
        <a:xfrm>
          <a:off x="1276350" y="76200"/>
          <a:ext cx="5619750"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S32K148 QSPI Clocking In-Depth</a:t>
          </a:r>
        </a:p>
      </xdr:txBody>
    </xdr:sp>
    <xdr:clientData/>
  </xdr:oneCellAnchor>
  <xdr:twoCellAnchor>
    <xdr:from>
      <xdr:col>1</xdr:col>
      <xdr:colOff>314325</xdr:colOff>
      <xdr:row>8</xdr:row>
      <xdr:rowOff>28575</xdr:rowOff>
    </xdr:from>
    <xdr:to>
      <xdr:col>1</xdr:col>
      <xdr:colOff>314325</xdr:colOff>
      <xdr:row>111</xdr:row>
      <xdr:rowOff>8397</xdr:rowOff>
    </xdr:to>
    <xdr:cxnSp macro="">
      <xdr:nvCxnSpPr>
        <xdr:cNvPr id="3" name="Straight Arrow Connector 2">
          <a:extLst>
            <a:ext uri="{FF2B5EF4-FFF2-40B4-BE49-F238E27FC236}">
              <a16:creationId xmlns:a16="http://schemas.microsoft.com/office/drawing/2014/main" xmlns="" id="{00000000-0008-0000-0700-000003000000}"/>
            </a:ext>
          </a:extLst>
        </xdr:cNvPr>
        <xdr:cNvCxnSpPr/>
      </xdr:nvCxnSpPr>
      <xdr:spPr>
        <a:xfrm>
          <a:off x="923925" y="1552575"/>
          <a:ext cx="0" cy="19601322"/>
        </a:xfrm>
        <a:prstGeom prst="straightConnector1">
          <a:avLst/>
        </a:prstGeom>
        <a:ln w="19050">
          <a:solidFill>
            <a:schemeClr val="accent2">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504825</xdr:colOff>
      <xdr:row>5</xdr:row>
      <xdr:rowOff>123825</xdr:rowOff>
    </xdr:from>
    <xdr:ext cx="847725" cy="266700"/>
    <xdr:sp macro="" textlink="">
      <xdr:nvSpPr>
        <xdr:cNvPr id="4" name="TextBox 3">
          <a:hlinkClick xmlns:r="http://schemas.openxmlformats.org/officeDocument/2006/relationships" r:id="rId1"/>
          <a:extLst>
            <a:ext uri="{FF2B5EF4-FFF2-40B4-BE49-F238E27FC236}">
              <a16:creationId xmlns:a16="http://schemas.microsoft.com/office/drawing/2014/main" xmlns="" id="{00000000-0008-0000-0700-000004000000}"/>
            </a:ext>
          </a:extLst>
        </xdr:cNvPr>
        <xdr:cNvSpPr txBox="1"/>
      </xdr:nvSpPr>
      <xdr:spPr>
        <a:xfrm>
          <a:off x="504825" y="107632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BUS_CLK</a:t>
          </a:r>
        </a:p>
      </xdr:txBody>
    </xdr:sp>
    <xdr:clientData/>
  </xdr:oneCellAnchor>
  <xdr:oneCellAnchor>
    <xdr:from>
      <xdr:col>2</xdr:col>
      <xdr:colOff>523875</xdr:colOff>
      <xdr:row>5</xdr:row>
      <xdr:rowOff>142875</xdr:rowOff>
    </xdr:from>
    <xdr:ext cx="847725" cy="266700"/>
    <xdr:sp macro="" textlink="">
      <xdr:nvSpPr>
        <xdr:cNvPr id="5" name="TextBox 4">
          <a:hlinkClick xmlns:r="http://schemas.openxmlformats.org/officeDocument/2006/relationships" r:id="rId2"/>
          <a:extLst>
            <a:ext uri="{FF2B5EF4-FFF2-40B4-BE49-F238E27FC236}">
              <a16:creationId xmlns:a16="http://schemas.microsoft.com/office/drawing/2014/main" xmlns="" id="{00000000-0008-0000-0700-000005000000}"/>
            </a:ext>
          </a:extLst>
        </xdr:cNvPr>
        <xdr:cNvSpPr txBox="1"/>
      </xdr:nvSpPr>
      <xdr:spPr>
        <a:xfrm>
          <a:off x="1743075" y="109537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SYS_CLK</a:t>
          </a:r>
        </a:p>
      </xdr:txBody>
    </xdr:sp>
    <xdr:clientData/>
  </xdr:oneCellAnchor>
  <xdr:twoCellAnchor>
    <xdr:from>
      <xdr:col>3</xdr:col>
      <xdr:colOff>314325</xdr:colOff>
      <xdr:row>8</xdr:row>
      <xdr:rowOff>28575</xdr:rowOff>
    </xdr:from>
    <xdr:to>
      <xdr:col>3</xdr:col>
      <xdr:colOff>314325</xdr:colOff>
      <xdr:row>111</xdr:row>
      <xdr:rowOff>0</xdr:rowOff>
    </xdr:to>
    <xdr:cxnSp macro="">
      <xdr:nvCxnSpPr>
        <xdr:cNvPr id="6" name="Straight Arrow Connector 5">
          <a:extLst>
            <a:ext uri="{FF2B5EF4-FFF2-40B4-BE49-F238E27FC236}">
              <a16:creationId xmlns:a16="http://schemas.microsoft.com/office/drawing/2014/main" xmlns="" id="{00000000-0008-0000-0700-000006000000}"/>
            </a:ext>
          </a:extLst>
        </xdr:cNvPr>
        <xdr:cNvCxnSpPr/>
      </xdr:nvCxnSpPr>
      <xdr:spPr>
        <a:xfrm>
          <a:off x="2143125" y="1581150"/>
          <a:ext cx="0" cy="19602450"/>
        </a:xfrm>
        <a:prstGeom prst="straightConnector1">
          <a:avLst/>
        </a:prstGeom>
        <a:ln w="19050">
          <a:solidFill>
            <a:schemeClr val="accent5"/>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438150</xdr:colOff>
      <xdr:row>5</xdr:row>
      <xdr:rowOff>142875</xdr:rowOff>
    </xdr:from>
    <xdr:ext cx="990600" cy="266700"/>
    <xdr:sp macro="" textlink="">
      <xdr:nvSpPr>
        <xdr:cNvPr id="9" name="TextBox 8">
          <a:hlinkClick xmlns:r="http://schemas.openxmlformats.org/officeDocument/2006/relationships" r:id="rId3"/>
          <a:extLst>
            <a:ext uri="{FF2B5EF4-FFF2-40B4-BE49-F238E27FC236}">
              <a16:creationId xmlns:a16="http://schemas.microsoft.com/office/drawing/2014/main" xmlns="" id="{00000000-0008-0000-0700-000009000000}"/>
            </a:ext>
          </a:extLst>
        </xdr:cNvPr>
        <xdr:cNvSpPr txBox="1"/>
      </xdr:nvSpPr>
      <xdr:spPr>
        <a:xfrm>
          <a:off x="2876550" y="109537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SPLLDIV1_CLK</a:t>
          </a:r>
        </a:p>
      </xdr:txBody>
    </xdr:sp>
    <xdr:clientData/>
  </xdr:oneCellAnchor>
  <xdr:twoCellAnchor>
    <xdr:from>
      <xdr:col>5</xdr:col>
      <xdr:colOff>311395</xdr:colOff>
      <xdr:row>8</xdr:row>
      <xdr:rowOff>28575</xdr:rowOff>
    </xdr:from>
    <xdr:to>
      <xdr:col>5</xdr:col>
      <xdr:colOff>311395</xdr:colOff>
      <xdr:row>110</xdr:row>
      <xdr:rowOff>171450</xdr:rowOff>
    </xdr:to>
    <xdr:cxnSp macro="">
      <xdr:nvCxnSpPr>
        <xdr:cNvPr id="10" name="Straight Arrow Connector 9">
          <a:extLst>
            <a:ext uri="{FF2B5EF4-FFF2-40B4-BE49-F238E27FC236}">
              <a16:creationId xmlns:a16="http://schemas.microsoft.com/office/drawing/2014/main" xmlns="" id="{00000000-0008-0000-0700-00000A000000}"/>
            </a:ext>
          </a:extLst>
        </xdr:cNvPr>
        <xdr:cNvCxnSpPr/>
      </xdr:nvCxnSpPr>
      <xdr:spPr>
        <a:xfrm>
          <a:off x="3359395" y="1581150"/>
          <a:ext cx="0" cy="19583400"/>
        </a:xfrm>
        <a:prstGeom prst="straightConnector1">
          <a:avLst/>
        </a:prstGeom>
        <a:ln w="38100">
          <a:solidFill>
            <a:srgbClr val="00B05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428625</xdr:colOff>
      <xdr:row>5</xdr:row>
      <xdr:rowOff>142875</xdr:rowOff>
    </xdr:from>
    <xdr:ext cx="990600" cy="266700"/>
    <xdr:sp macro="" textlink="">
      <xdr:nvSpPr>
        <xdr:cNvPr id="16" name="TextBox 15">
          <a:hlinkClick xmlns:r="http://schemas.openxmlformats.org/officeDocument/2006/relationships" r:id="rId4"/>
          <a:extLst>
            <a:ext uri="{FF2B5EF4-FFF2-40B4-BE49-F238E27FC236}">
              <a16:creationId xmlns:a16="http://schemas.microsoft.com/office/drawing/2014/main" xmlns="" id="{00000000-0008-0000-0700-000010000000}"/>
            </a:ext>
          </a:extLst>
        </xdr:cNvPr>
        <xdr:cNvSpPr txBox="1"/>
      </xdr:nvSpPr>
      <xdr:spPr>
        <a:xfrm>
          <a:off x="4086225" y="109537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FIRCDIV1_CLK</a:t>
          </a:r>
        </a:p>
      </xdr:txBody>
    </xdr:sp>
    <xdr:clientData/>
  </xdr:oneCellAnchor>
  <xdr:twoCellAnchor>
    <xdr:from>
      <xdr:col>7</xdr:col>
      <xdr:colOff>307730</xdr:colOff>
      <xdr:row>8</xdr:row>
      <xdr:rowOff>28575</xdr:rowOff>
    </xdr:from>
    <xdr:to>
      <xdr:col>7</xdr:col>
      <xdr:colOff>307730</xdr:colOff>
      <xdr:row>110</xdr:row>
      <xdr:rowOff>171450</xdr:rowOff>
    </xdr:to>
    <xdr:cxnSp macro="">
      <xdr:nvCxnSpPr>
        <xdr:cNvPr id="17" name="Straight Arrow Connector 16">
          <a:extLst>
            <a:ext uri="{FF2B5EF4-FFF2-40B4-BE49-F238E27FC236}">
              <a16:creationId xmlns:a16="http://schemas.microsoft.com/office/drawing/2014/main" xmlns="" id="{00000000-0008-0000-0700-000011000000}"/>
            </a:ext>
          </a:extLst>
        </xdr:cNvPr>
        <xdr:cNvCxnSpPr/>
      </xdr:nvCxnSpPr>
      <xdr:spPr>
        <a:xfrm>
          <a:off x="4574930" y="1581150"/>
          <a:ext cx="0" cy="19583400"/>
        </a:xfrm>
        <a:prstGeom prst="straightConnector1">
          <a:avLst/>
        </a:prstGeom>
        <a:ln w="38100">
          <a:solidFill>
            <a:srgbClr val="0070C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419100</xdr:colOff>
      <xdr:row>21</xdr:row>
      <xdr:rowOff>38100</xdr:rowOff>
    </xdr:from>
    <xdr:to>
      <xdr:col>18</xdr:col>
      <xdr:colOff>217359</xdr:colOff>
      <xdr:row>25</xdr:row>
      <xdr:rowOff>175225</xdr:rowOff>
    </xdr:to>
    <xdr:sp macro="" textlink="">
      <xdr:nvSpPr>
        <xdr:cNvPr id="21" name="Rectangle 20">
          <a:extLst>
            <a:ext uri="{FF2B5EF4-FFF2-40B4-BE49-F238E27FC236}">
              <a16:creationId xmlns:a16="http://schemas.microsoft.com/office/drawing/2014/main" xmlns="" id="{00000000-0008-0000-0700-000015000000}"/>
            </a:ext>
          </a:extLst>
        </xdr:cNvPr>
        <xdr:cNvSpPr/>
      </xdr:nvSpPr>
      <xdr:spPr>
        <a:xfrm>
          <a:off x="10172700" y="4152900"/>
          <a:ext cx="1017459" cy="899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Clock Enable</a:t>
          </a:r>
          <a:endParaRPr lang="en-US" sz="1100" baseline="0"/>
        </a:p>
        <a:p>
          <a:pPr algn="ctr"/>
          <a:r>
            <a:rPr lang="en-US" sz="900"/>
            <a:t>PCC_QSPI[CGC]</a:t>
          </a:r>
        </a:p>
      </xdr:txBody>
    </xdr:sp>
    <xdr:clientData/>
  </xdr:twoCellAnchor>
  <xdr:twoCellAnchor>
    <xdr:from>
      <xdr:col>16</xdr:col>
      <xdr:colOff>390525</xdr:colOff>
      <xdr:row>10</xdr:row>
      <xdr:rowOff>38100</xdr:rowOff>
    </xdr:from>
    <xdr:to>
      <xdr:col>18</xdr:col>
      <xdr:colOff>188784</xdr:colOff>
      <xdr:row>14</xdr:row>
      <xdr:rowOff>175225</xdr:rowOff>
    </xdr:to>
    <xdr:sp macro="" textlink="">
      <xdr:nvSpPr>
        <xdr:cNvPr id="22" name="Rectangle 21">
          <a:extLst>
            <a:ext uri="{FF2B5EF4-FFF2-40B4-BE49-F238E27FC236}">
              <a16:creationId xmlns:a16="http://schemas.microsoft.com/office/drawing/2014/main" xmlns="" id="{00000000-0008-0000-0700-000016000000}"/>
            </a:ext>
          </a:extLst>
        </xdr:cNvPr>
        <xdr:cNvSpPr/>
      </xdr:nvSpPr>
      <xdr:spPr>
        <a:xfrm>
          <a:off x="10144125" y="1981200"/>
          <a:ext cx="1017459" cy="899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Clocking Mode Select</a:t>
          </a:r>
          <a:endParaRPr lang="en-US" sz="1100" baseline="0"/>
        </a:p>
        <a:p>
          <a:pPr algn="ctr"/>
          <a:r>
            <a:rPr lang="en-US" sz="900"/>
            <a:t>QuadSPI_MCR[SCLKCFG][6]</a:t>
          </a:r>
        </a:p>
      </xdr:txBody>
    </xdr:sp>
    <xdr:clientData/>
  </xdr:twoCellAnchor>
  <xdr:oneCellAnchor>
    <xdr:from>
      <xdr:col>16</xdr:col>
      <xdr:colOff>552450</xdr:colOff>
      <xdr:row>16</xdr:row>
      <xdr:rowOff>9525</xdr:rowOff>
    </xdr:from>
    <xdr:ext cx="876300" cy="400050"/>
    <xdr:sp macro="" textlink="">
      <xdr:nvSpPr>
        <xdr:cNvPr id="23" name="TextBox 22">
          <a:extLst>
            <a:ext uri="{FF2B5EF4-FFF2-40B4-BE49-F238E27FC236}">
              <a16:creationId xmlns:a16="http://schemas.microsoft.com/office/drawing/2014/main" xmlns="" id="{00000000-0008-0000-0700-000017000000}"/>
            </a:ext>
          </a:extLst>
        </xdr:cNvPr>
        <xdr:cNvSpPr txBox="1"/>
      </xdr:nvSpPr>
      <xdr:spPr>
        <a:xfrm>
          <a:off x="10306050" y="3124200"/>
          <a:ext cx="876300" cy="400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SYS_CLK</a:t>
          </a:r>
        </a:p>
        <a:p>
          <a:r>
            <a:rPr lang="en-US" sz="800"/>
            <a:t>1 - BUS_CLK</a:t>
          </a:r>
        </a:p>
      </xdr:txBody>
    </xdr:sp>
    <xdr:clientData/>
  </xdr:oneCellAnchor>
  <xdr:twoCellAnchor>
    <xdr:from>
      <xdr:col>1</xdr:col>
      <xdr:colOff>314325</xdr:colOff>
      <xdr:row>11</xdr:row>
      <xdr:rowOff>76200</xdr:rowOff>
    </xdr:from>
    <xdr:to>
      <xdr:col>16</xdr:col>
      <xdr:colOff>381000</xdr:colOff>
      <xdr:row>11</xdr:row>
      <xdr:rowOff>76200</xdr:rowOff>
    </xdr:to>
    <xdr:cxnSp macro="">
      <xdr:nvCxnSpPr>
        <xdr:cNvPr id="24" name="Straight Arrow Connector 23">
          <a:extLst>
            <a:ext uri="{FF2B5EF4-FFF2-40B4-BE49-F238E27FC236}">
              <a16:creationId xmlns:a16="http://schemas.microsoft.com/office/drawing/2014/main" xmlns="" id="{00000000-0008-0000-0700-000018000000}"/>
            </a:ext>
          </a:extLst>
        </xdr:cNvPr>
        <xdr:cNvCxnSpPr/>
      </xdr:nvCxnSpPr>
      <xdr:spPr>
        <a:xfrm>
          <a:off x="923925" y="2209800"/>
          <a:ext cx="9210675"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303337</xdr:colOff>
      <xdr:row>14</xdr:row>
      <xdr:rowOff>54954</xdr:rowOff>
    </xdr:from>
    <xdr:to>
      <xdr:col>16</xdr:col>
      <xdr:colOff>381000</xdr:colOff>
      <xdr:row>14</xdr:row>
      <xdr:rowOff>54954</xdr:rowOff>
    </xdr:to>
    <xdr:cxnSp macro="">
      <xdr:nvCxnSpPr>
        <xdr:cNvPr id="25" name="Straight Arrow Connector 24">
          <a:extLst>
            <a:ext uri="{FF2B5EF4-FFF2-40B4-BE49-F238E27FC236}">
              <a16:creationId xmlns:a16="http://schemas.microsoft.com/office/drawing/2014/main" xmlns="" id="{00000000-0008-0000-0700-000019000000}"/>
            </a:ext>
          </a:extLst>
        </xdr:cNvPr>
        <xdr:cNvCxnSpPr/>
      </xdr:nvCxnSpPr>
      <xdr:spPr>
        <a:xfrm>
          <a:off x="2132137" y="2760054"/>
          <a:ext cx="800246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218344</xdr:colOff>
      <xdr:row>13</xdr:row>
      <xdr:rowOff>28575</xdr:rowOff>
    </xdr:from>
    <xdr:to>
      <xdr:col>50</xdr:col>
      <xdr:colOff>371475</xdr:colOff>
      <xdr:row>13</xdr:row>
      <xdr:rowOff>28575</xdr:rowOff>
    </xdr:to>
    <xdr:cxnSp macro="">
      <xdr:nvCxnSpPr>
        <xdr:cNvPr id="30" name="Straight Arrow Connector 29">
          <a:extLst>
            <a:ext uri="{FF2B5EF4-FFF2-40B4-BE49-F238E27FC236}">
              <a16:creationId xmlns:a16="http://schemas.microsoft.com/office/drawing/2014/main" xmlns="" id="{00000000-0008-0000-0700-00001E000000}"/>
            </a:ext>
          </a:extLst>
        </xdr:cNvPr>
        <xdr:cNvCxnSpPr/>
      </xdr:nvCxnSpPr>
      <xdr:spPr>
        <a:xfrm>
          <a:off x="11191144" y="2571750"/>
          <a:ext cx="1966033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16</xdr:col>
      <xdr:colOff>561975</xdr:colOff>
      <xdr:row>27</xdr:row>
      <xdr:rowOff>9525</xdr:rowOff>
    </xdr:from>
    <xdr:ext cx="860534" cy="367862"/>
    <xdr:sp macro="" textlink="">
      <xdr:nvSpPr>
        <xdr:cNvPr id="32" name="TextBox 31">
          <a:extLst>
            <a:ext uri="{FF2B5EF4-FFF2-40B4-BE49-F238E27FC236}">
              <a16:creationId xmlns:a16="http://schemas.microsoft.com/office/drawing/2014/main" xmlns="" id="{00000000-0008-0000-0700-000020000000}"/>
            </a:ext>
          </a:extLst>
        </xdr:cNvPr>
        <xdr:cNvSpPr txBox="1"/>
      </xdr:nvSpPr>
      <xdr:spPr>
        <a:xfrm>
          <a:off x="10315575" y="5295900"/>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xdr:col>
      <xdr:colOff>314325</xdr:colOff>
      <xdr:row>22</xdr:row>
      <xdr:rowOff>28575</xdr:rowOff>
    </xdr:from>
    <xdr:to>
      <xdr:col>16</xdr:col>
      <xdr:colOff>381000</xdr:colOff>
      <xdr:row>22</xdr:row>
      <xdr:rowOff>28575</xdr:rowOff>
    </xdr:to>
    <xdr:cxnSp macro="">
      <xdr:nvCxnSpPr>
        <xdr:cNvPr id="33" name="Straight Arrow Connector 32">
          <a:extLst>
            <a:ext uri="{FF2B5EF4-FFF2-40B4-BE49-F238E27FC236}">
              <a16:creationId xmlns:a16="http://schemas.microsoft.com/office/drawing/2014/main" xmlns="" id="{00000000-0008-0000-0700-000021000000}"/>
            </a:ext>
          </a:extLst>
        </xdr:cNvPr>
        <xdr:cNvCxnSpPr/>
      </xdr:nvCxnSpPr>
      <xdr:spPr>
        <a:xfrm>
          <a:off x="923925" y="4333875"/>
          <a:ext cx="9210675" cy="0"/>
        </a:xfrm>
        <a:prstGeom prst="straightConnector1">
          <a:avLst/>
        </a:prstGeom>
        <a:ln w="19050">
          <a:solidFill>
            <a:schemeClr val="accent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314325</xdr:colOff>
      <xdr:row>25</xdr:row>
      <xdr:rowOff>28575</xdr:rowOff>
    </xdr:from>
    <xdr:to>
      <xdr:col>16</xdr:col>
      <xdr:colOff>391988</xdr:colOff>
      <xdr:row>25</xdr:row>
      <xdr:rowOff>28575</xdr:rowOff>
    </xdr:to>
    <xdr:cxnSp macro="">
      <xdr:nvCxnSpPr>
        <xdr:cNvPr id="35" name="Straight Arrow Connector 34">
          <a:extLst>
            <a:ext uri="{FF2B5EF4-FFF2-40B4-BE49-F238E27FC236}">
              <a16:creationId xmlns:a16="http://schemas.microsoft.com/office/drawing/2014/main" xmlns="" id="{00000000-0008-0000-0700-000023000000}"/>
            </a:ext>
          </a:extLst>
        </xdr:cNvPr>
        <xdr:cNvCxnSpPr/>
      </xdr:nvCxnSpPr>
      <xdr:spPr>
        <a:xfrm>
          <a:off x="2143125" y="4905375"/>
          <a:ext cx="800246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228600</xdr:colOff>
      <xdr:row>22</xdr:row>
      <xdr:rowOff>38100</xdr:rowOff>
    </xdr:from>
    <xdr:to>
      <xdr:col>20</xdr:col>
      <xdr:colOff>390525</xdr:colOff>
      <xdr:row>22</xdr:row>
      <xdr:rowOff>38100</xdr:rowOff>
    </xdr:to>
    <xdr:cxnSp macro="">
      <xdr:nvCxnSpPr>
        <xdr:cNvPr id="36" name="Straight Arrow Connector 35">
          <a:extLst>
            <a:ext uri="{FF2B5EF4-FFF2-40B4-BE49-F238E27FC236}">
              <a16:creationId xmlns:a16="http://schemas.microsoft.com/office/drawing/2014/main" xmlns="" id="{00000000-0008-0000-0700-000024000000}"/>
            </a:ext>
          </a:extLst>
        </xdr:cNvPr>
        <xdr:cNvCxnSpPr/>
      </xdr:nvCxnSpPr>
      <xdr:spPr>
        <a:xfrm>
          <a:off x="11201400" y="4371975"/>
          <a:ext cx="1381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228600</xdr:colOff>
      <xdr:row>25</xdr:row>
      <xdr:rowOff>28575</xdr:rowOff>
    </xdr:from>
    <xdr:to>
      <xdr:col>20</xdr:col>
      <xdr:colOff>409575</xdr:colOff>
      <xdr:row>25</xdr:row>
      <xdr:rowOff>28575</xdr:rowOff>
    </xdr:to>
    <xdr:cxnSp macro="">
      <xdr:nvCxnSpPr>
        <xdr:cNvPr id="37" name="Straight Arrow Connector 36">
          <a:extLst>
            <a:ext uri="{FF2B5EF4-FFF2-40B4-BE49-F238E27FC236}">
              <a16:creationId xmlns:a16="http://schemas.microsoft.com/office/drawing/2014/main" xmlns="" id="{00000000-0008-0000-0700-000025000000}"/>
            </a:ext>
          </a:extLst>
        </xdr:cNvPr>
        <xdr:cNvCxnSpPr/>
      </xdr:nvCxnSpPr>
      <xdr:spPr>
        <a:xfrm>
          <a:off x="11201400" y="4972050"/>
          <a:ext cx="14001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409575</xdr:colOff>
      <xdr:row>21</xdr:row>
      <xdr:rowOff>66675</xdr:rowOff>
    </xdr:from>
    <xdr:to>
      <xdr:col>22</xdr:col>
      <xdr:colOff>207834</xdr:colOff>
      <xdr:row>25</xdr:row>
      <xdr:rowOff>184750</xdr:rowOff>
    </xdr:to>
    <xdr:sp macro="" textlink="">
      <xdr:nvSpPr>
        <xdr:cNvPr id="41" name="Rectangle 40">
          <a:hlinkClick xmlns:r="http://schemas.openxmlformats.org/officeDocument/2006/relationships" r:id="rId5"/>
          <a:extLst>
            <a:ext uri="{FF2B5EF4-FFF2-40B4-BE49-F238E27FC236}">
              <a16:creationId xmlns:a16="http://schemas.microsoft.com/office/drawing/2014/main" xmlns="" id="{00000000-0008-0000-0700-000029000000}"/>
            </a:ext>
          </a:extLst>
        </xdr:cNvPr>
        <xdr:cNvSpPr/>
      </xdr:nvSpPr>
      <xdr:spPr>
        <a:xfrm>
          <a:off x="12601575" y="4191000"/>
          <a:ext cx="1017459" cy="937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Clocking Mode Select</a:t>
          </a:r>
          <a:endParaRPr lang="en-US" sz="1100" baseline="0"/>
        </a:p>
        <a:p>
          <a:pPr algn="ctr"/>
          <a:r>
            <a:rPr lang="en-US" sz="900"/>
            <a:t>QuadSPI_MCR[SCLKCFG][6]</a:t>
          </a:r>
        </a:p>
      </xdr:txBody>
    </xdr:sp>
    <xdr:clientData/>
  </xdr:twoCellAnchor>
  <xdr:twoCellAnchor>
    <xdr:from>
      <xdr:col>22</xdr:col>
      <xdr:colOff>209550</xdr:colOff>
      <xdr:row>24</xdr:row>
      <xdr:rowOff>38100</xdr:rowOff>
    </xdr:from>
    <xdr:to>
      <xdr:col>50</xdr:col>
      <xdr:colOff>381000</xdr:colOff>
      <xdr:row>24</xdr:row>
      <xdr:rowOff>38100</xdr:rowOff>
    </xdr:to>
    <xdr:cxnSp macro="">
      <xdr:nvCxnSpPr>
        <xdr:cNvPr id="44" name="Straight Arrow Connector 43">
          <a:extLst>
            <a:ext uri="{FF2B5EF4-FFF2-40B4-BE49-F238E27FC236}">
              <a16:creationId xmlns:a16="http://schemas.microsoft.com/office/drawing/2014/main" xmlns="" id="{00000000-0008-0000-0700-00002C000000}"/>
            </a:ext>
          </a:extLst>
        </xdr:cNvPr>
        <xdr:cNvCxnSpPr/>
      </xdr:nvCxnSpPr>
      <xdr:spPr>
        <a:xfrm>
          <a:off x="13620750" y="4791075"/>
          <a:ext cx="172402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400050</xdr:colOff>
      <xdr:row>31</xdr:row>
      <xdr:rowOff>152400</xdr:rowOff>
    </xdr:from>
    <xdr:to>
      <xdr:col>18</xdr:col>
      <xdr:colOff>198309</xdr:colOff>
      <xdr:row>36</xdr:row>
      <xdr:rowOff>175225</xdr:rowOff>
    </xdr:to>
    <xdr:sp macro="" textlink="">
      <xdr:nvSpPr>
        <xdr:cNvPr id="45" name="Rectangle 44">
          <a:extLst>
            <a:ext uri="{FF2B5EF4-FFF2-40B4-BE49-F238E27FC236}">
              <a16:creationId xmlns:a16="http://schemas.microsoft.com/office/drawing/2014/main" xmlns="" id="{00000000-0008-0000-0700-00002D000000}"/>
            </a:ext>
          </a:extLst>
        </xdr:cNvPr>
        <xdr:cNvSpPr/>
      </xdr:nvSpPr>
      <xdr:spPr>
        <a:xfrm>
          <a:off x="10153650" y="6305550"/>
          <a:ext cx="1017459" cy="975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Internal Ref. Clock Sel.</a:t>
          </a:r>
          <a:endParaRPr lang="en-US" sz="1100" baseline="0"/>
        </a:p>
        <a:p>
          <a:pPr algn="ctr"/>
          <a:r>
            <a:rPr lang="en-US" sz="900"/>
            <a:t>QuadSPI_MCR[SCLKCFG][4]</a:t>
          </a:r>
        </a:p>
      </xdr:txBody>
    </xdr:sp>
    <xdr:clientData/>
  </xdr:twoCellAnchor>
  <xdr:oneCellAnchor>
    <xdr:from>
      <xdr:col>16</xdr:col>
      <xdr:colOff>561975</xdr:colOff>
      <xdr:row>38</xdr:row>
      <xdr:rowOff>9525</xdr:rowOff>
    </xdr:from>
    <xdr:ext cx="1076325" cy="371475"/>
    <xdr:sp macro="" textlink="">
      <xdr:nvSpPr>
        <xdr:cNvPr id="46" name="TextBox 45">
          <a:extLst>
            <a:ext uri="{FF2B5EF4-FFF2-40B4-BE49-F238E27FC236}">
              <a16:creationId xmlns:a16="http://schemas.microsoft.com/office/drawing/2014/main" xmlns="" id="{00000000-0008-0000-0700-00002E000000}"/>
            </a:ext>
          </a:extLst>
        </xdr:cNvPr>
        <xdr:cNvSpPr txBox="1"/>
      </xdr:nvSpPr>
      <xdr:spPr>
        <a:xfrm>
          <a:off x="10315575" y="7524750"/>
          <a:ext cx="107632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SPLLDIV1_CLK</a:t>
          </a:r>
        </a:p>
        <a:p>
          <a:r>
            <a:rPr lang="en-US" sz="800"/>
            <a:t>1 - FIRCDIV1_CLK</a:t>
          </a:r>
        </a:p>
      </xdr:txBody>
    </xdr:sp>
    <xdr:clientData/>
  </xdr:oneCellAnchor>
  <xdr:twoCellAnchor>
    <xdr:from>
      <xdr:col>5</xdr:col>
      <xdr:colOff>292345</xdr:colOff>
      <xdr:row>32</xdr:row>
      <xdr:rowOff>152400</xdr:rowOff>
    </xdr:from>
    <xdr:to>
      <xdr:col>16</xdr:col>
      <xdr:colOff>390525</xdr:colOff>
      <xdr:row>32</xdr:row>
      <xdr:rowOff>152400</xdr:rowOff>
    </xdr:to>
    <xdr:cxnSp macro="">
      <xdr:nvCxnSpPr>
        <xdr:cNvPr id="47" name="Straight Arrow Connector 46">
          <a:extLst>
            <a:ext uri="{FF2B5EF4-FFF2-40B4-BE49-F238E27FC236}">
              <a16:creationId xmlns:a16="http://schemas.microsoft.com/office/drawing/2014/main" xmlns="" id="{00000000-0008-0000-0700-00002F000000}"/>
            </a:ext>
          </a:extLst>
        </xdr:cNvPr>
        <xdr:cNvCxnSpPr/>
      </xdr:nvCxnSpPr>
      <xdr:spPr>
        <a:xfrm>
          <a:off x="3340345" y="6496050"/>
          <a:ext cx="6803780" cy="0"/>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298207</xdr:colOff>
      <xdr:row>35</xdr:row>
      <xdr:rowOff>120892</xdr:rowOff>
    </xdr:from>
    <xdr:to>
      <xdr:col>16</xdr:col>
      <xdr:colOff>390525</xdr:colOff>
      <xdr:row>35</xdr:row>
      <xdr:rowOff>120892</xdr:rowOff>
    </xdr:to>
    <xdr:cxnSp macro="">
      <xdr:nvCxnSpPr>
        <xdr:cNvPr id="48" name="Straight Arrow Connector 47">
          <a:extLst>
            <a:ext uri="{FF2B5EF4-FFF2-40B4-BE49-F238E27FC236}">
              <a16:creationId xmlns:a16="http://schemas.microsoft.com/office/drawing/2014/main" xmlns="" id="{00000000-0008-0000-0700-000030000000}"/>
            </a:ext>
          </a:extLst>
        </xdr:cNvPr>
        <xdr:cNvCxnSpPr/>
      </xdr:nvCxnSpPr>
      <xdr:spPr>
        <a:xfrm>
          <a:off x="4565407" y="7036042"/>
          <a:ext cx="5578718"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200025</xdr:colOff>
      <xdr:row>34</xdr:row>
      <xdr:rowOff>28575</xdr:rowOff>
    </xdr:from>
    <xdr:to>
      <xdr:col>20</xdr:col>
      <xdr:colOff>409575</xdr:colOff>
      <xdr:row>34</xdr:row>
      <xdr:rowOff>28575</xdr:rowOff>
    </xdr:to>
    <xdr:cxnSp macro="">
      <xdr:nvCxnSpPr>
        <xdr:cNvPr id="56" name="Straight Arrow Connector 55">
          <a:extLst>
            <a:ext uri="{FF2B5EF4-FFF2-40B4-BE49-F238E27FC236}">
              <a16:creationId xmlns:a16="http://schemas.microsoft.com/office/drawing/2014/main" xmlns="" id="{00000000-0008-0000-0700-000038000000}"/>
            </a:ext>
          </a:extLst>
        </xdr:cNvPr>
        <xdr:cNvCxnSpPr/>
      </xdr:nvCxnSpPr>
      <xdr:spPr>
        <a:xfrm>
          <a:off x="11172825" y="6781800"/>
          <a:ext cx="14287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209550</xdr:colOff>
      <xdr:row>34</xdr:row>
      <xdr:rowOff>28575</xdr:rowOff>
    </xdr:from>
    <xdr:to>
      <xdr:col>24</xdr:col>
      <xdr:colOff>428625</xdr:colOff>
      <xdr:row>34</xdr:row>
      <xdr:rowOff>28575</xdr:rowOff>
    </xdr:to>
    <xdr:cxnSp macro="">
      <xdr:nvCxnSpPr>
        <xdr:cNvPr id="59" name="Straight Arrow Connector 58">
          <a:extLst>
            <a:ext uri="{FF2B5EF4-FFF2-40B4-BE49-F238E27FC236}">
              <a16:creationId xmlns:a16="http://schemas.microsoft.com/office/drawing/2014/main" xmlns="" id="{00000000-0008-0000-0700-00003B000000}"/>
            </a:ext>
          </a:extLst>
        </xdr:cNvPr>
        <xdr:cNvCxnSpPr/>
      </xdr:nvCxnSpPr>
      <xdr:spPr>
        <a:xfrm>
          <a:off x="13620750" y="6781800"/>
          <a:ext cx="14382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409575</xdr:colOff>
      <xdr:row>31</xdr:row>
      <xdr:rowOff>152400</xdr:rowOff>
    </xdr:from>
    <xdr:to>
      <xdr:col>22</xdr:col>
      <xdr:colOff>207834</xdr:colOff>
      <xdr:row>36</xdr:row>
      <xdr:rowOff>175225</xdr:rowOff>
    </xdr:to>
    <xdr:sp macro="" textlink="">
      <xdr:nvSpPr>
        <xdr:cNvPr id="61" name="Rectangle 60">
          <a:extLst>
            <a:ext uri="{FF2B5EF4-FFF2-40B4-BE49-F238E27FC236}">
              <a16:creationId xmlns:a16="http://schemas.microsoft.com/office/drawing/2014/main" xmlns="" id="{00000000-0008-0000-0700-00003D000000}"/>
            </a:ext>
          </a:extLst>
        </xdr:cNvPr>
        <xdr:cNvSpPr/>
      </xdr:nvSpPr>
      <xdr:spPr>
        <a:xfrm>
          <a:off x="12601575" y="6305550"/>
          <a:ext cx="1017459" cy="1013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Async.</a:t>
          </a:r>
          <a:r>
            <a:rPr lang="en-US" sz="1100" baseline="0"/>
            <a:t> Clk. Enable</a:t>
          </a:r>
        </a:p>
        <a:p>
          <a:pPr algn="ctr"/>
          <a:r>
            <a:rPr lang="en-US" sz="900"/>
            <a:t>SIM_MISCTRL0[QSPI_CLK_SEL]</a:t>
          </a:r>
        </a:p>
      </xdr:txBody>
    </xdr:sp>
    <xdr:clientData/>
  </xdr:twoCellAnchor>
  <xdr:oneCellAnchor>
    <xdr:from>
      <xdr:col>20</xdr:col>
      <xdr:colOff>552450</xdr:colOff>
      <xdr:row>38</xdr:row>
      <xdr:rowOff>0</xdr:rowOff>
    </xdr:from>
    <xdr:ext cx="1076325" cy="371475"/>
    <xdr:sp macro="" textlink="">
      <xdr:nvSpPr>
        <xdr:cNvPr id="62" name="TextBox 61">
          <a:extLst>
            <a:ext uri="{FF2B5EF4-FFF2-40B4-BE49-F238E27FC236}">
              <a16:creationId xmlns:a16="http://schemas.microsoft.com/office/drawing/2014/main" xmlns="" id="{00000000-0008-0000-0700-00003E000000}"/>
            </a:ext>
          </a:extLst>
        </xdr:cNvPr>
        <xdr:cNvSpPr txBox="1"/>
      </xdr:nvSpPr>
      <xdr:spPr>
        <a:xfrm>
          <a:off x="12744450" y="7553325"/>
          <a:ext cx="107632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Clock Disabled</a:t>
          </a:r>
        </a:p>
        <a:p>
          <a:r>
            <a:rPr lang="en-US" sz="800"/>
            <a:t>1 - Clock</a:t>
          </a:r>
          <a:r>
            <a:rPr lang="en-US" sz="800" baseline="0"/>
            <a:t> Enabled</a:t>
          </a:r>
          <a:endParaRPr lang="en-US" sz="800"/>
        </a:p>
      </xdr:txBody>
    </xdr:sp>
    <xdr:clientData/>
  </xdr:oneCellAnchor>
  <xdr:twoCellAnchor>
    <xdr:from>
      <xdr:col>24</xdr:col>
      <xdr:colOff>428625</xdr:colOff>
      <xdr:row>32</xdr:row>
      <xdr:rowOff>0</xdr:rowOff>
    </xdr:from>
    <xdr:to>
      <xdr:col>26</xdr:col>
      <xdr:colOff>226884</xdr:colOff>
      <xdr:row>36</xdr:row>
      <xdr:rowOff>175225</xdr:rowOff>
    </xdr:to>
    <xdr:sp macro="" textlink="">
      <xdr:nvSpPr>
        <xdr:cNvPr id="34" name="Rectangle 33">
          <a:extLst>
            <a:ext uri="{FF2B5EF4-FFF2-40B4-BE49-F238E27FC236}">
              <a16:creationId xmlns:a16="http://schemas.microsoft.com/office/drawing/2014/main" xmlns="" id="{00000000-0008-0000-0700-000022000000}"/>
            </a:ext>
          </a:extLst>
        </xdr:cNvPr>
        <xdr:cNvSpPr/>
      </xdr:nvSpPr>
      <xdr:spPr>
        <a:xfrm>
          <a:off x="15059025" y="6343650"/>
          <a:ext cx="1017459" cy="975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Programmable Divider Disable</a:t>
          </a:r>
          <a:endParaRPr lang="en-US" sz="1100" baseline="0"/>
        </a:p>
        <a:p>
          <a:pPr algn="ctr"/>
          <a:r>
            <a:rPr lang="en-US" sz="900"/>
            <a:t>QuadSPI_SOCCR[SOCCFG][28]</a:t>
          </a:r>
        </a:p>
      </xdr:txBody>
    </xdr:sp>
    <xdr:clientData/>
  </xdr:twoCellAnchor>
  <xdr:oneCellAnchor>
    <xdr:from>
      <xdr:col>24</xdr:col>
      <xdr:colOff>542925</xdr:colOff>
      <xdr:row>38</xdr:row>
      <xdr:rowOff>0</xdr:rowOff>
    </xdr:from>
    <xdr:ext cx="1076325" cy="371475"/>
    <xdr:sp macro="" textlink="">
      <xdr:nvSpPr>
        <xdr:cNvPr id="38" name="TextBox 37">
          <a:extLst>
            <a:ext uri="{FF2B5EF4-FFF2-40B4-BE49-F238E27FC236}">
              <a16:creationId xmlns:a16="http://schemas.microsoft.com/office/drawing/2014/main" xmlns="" id="{00000000-0008-0000-0700-000026000000}"/>
            </a:ext>
          </a:extLst>
        </xdr:cNvPr>
        <xdr:cNvSpPr txBox="1"/>
      </xdr:nvSpPr>
      <xdr:spPr>
        <a:xfrm>
          <a:off x="15173325" y="7553325"/>
          <a:ext cx="107632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Divider Enabled</a:t>
          </a:r>
          <a:endParaRPr lang="en-US" sz="800"/>
        </a:p>
        <a:p>
          <a:r>
            <a:rPr lang="en-US" sz="800"/>
            <a:t>1 - Divider</a:t>
          </a:r>
          <a:r>
            <a:rPr lang="en-US" sz="800" baseline="0"/>
            <a:t> Disabled</a:t>
          </a:r>
          <a:endParaRPr lang="en-US" sz="800"/>
        </a:p>
      </xdr:txBody>
    </xdr:sp>
    <xdr:clientData/>
  </xdr:oneCellAnchor>
  <xdr:twoCellAnchor>
    <xdr:from>
      <xdr:col>26</xdr:col>
      <xdr:colOff>219075</xdr:colOff>
      <xdr:row>34</xdr:row>
      <xdr:rowOff>28575</xdr:rowOff>
    </xdr:from>
    <xdr:to>
      <xdr:col>28</xdr:col>
      <xdr:colOff>400050</xdr:colOff>
      <xdr:row>34</xdr:row>
      <xdr:rowOff>28575</xdr:rowOff>
    </xdr:to>
    <xdr:cxnSp macro="">
      <xdr:nvCxnSpPr>
        <xdr:cNvPr id="39" name="Straight Arrow Connector 38">
          <a:extLst>
            <a:ext uri="{FF2B5EF4-FFF2-40B4-BE49-F238E27FC236}">
              <a16:creationId xmlns:a16="http://schemas.microsoft.com/office/drawing/2014/main" xmlns="" id="{00000000-0008-0000-0700-000027000000}"/>
            </a:ext>
          </a:extLst>
        </xdr:cNvPr>
        <xdr:cNvCxnSpPr/>
      </xdr:nvCxnSpPr>
      <xdr:spPr>
        <a:xfrm>
          <a:off x="16068675" y="6781800"/>
          <a:ext cx="14001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419100</xdr:colOff>
      <xdr:row>32</xdr:row>
      <xdr:rowOff>0</xdr:rowOff>
    </xdr:from>
    <xdr:to>
      <xdr:col>30</xdr:col>
      <xdr:colOff>217359</xdr:colOff>
      <xdr:row>36</xdr:row>
      <xdr:rowOff>175225</xdr:rowOff>
    </xdr:to>
    <xdr:sp macro="" textlink="">
      <xdr:nvSpPr>
        <xdr:cNvPr id="40" name="Rectangle 39">
          <a:extLst>
            <a:ext uri="{FF2B5EF4-FFF2-40B4-BE49-F238E27FC236}">
              <a16:creationId xmlns:a16="http://schemas.microsoft.com/office/drawing/2014/main" xmlns="" id="{00000000-0008-0000-0700-000028000000}"/>
            </a:ext>
          </a:extLst>
        </xdr:cNvPr>
        <xdr:cNvSpPr/>
      </xdr:nvSpPr>
      <xdr:spPr>
        <a:xfrm>
          <a:off x="17487900" y="6343650"/>
          <a:ext cx="1017459" cy="975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Programmable Divider </a:t>
          </a:r>
          <a:r>
            <a:rPr lang="en-US" sz="900"/>
            <a:t>QuadSPI_SOCCR[SOCCFG][31:29]</a:t>
          </a:r>
        </a:p>
      </xdr:txBody>
    </xdr:sp>
    <xdr:clientData/>
  </xdr:twoCellAnchor>
  <xdr:oneCellAnchor>
    <xdr:from>
      <xdr:col>28</xdr:col>
      <xdr:colOff>571500</xdr:colOff>
      <xdr:row>38</xdr:row>
      <xdr:rowOff>0</xdr:rowOff>
    </xdr:from>
    <xdr:ext cx="1076325" cy="1152525"/>
    <xdr:sp macro="" textlink="">
      <xdr:nvSpPr>
        <xdr:cNvPr id="42" name="TextBox 41">
          <a:extLst>
            <a:ext uri="{FF2B5EF4-FFF2-40B4-BE49-F238E27FC236}">
              <a16:creationId xmlns:a16="http://schemas.microsoft.com/office/drawing/2014/main" xmlns="" id="{00000000-0008-0000-0700-00002A000000}"/>
            </a:ext>
          </a:extLst>
        </xdr:cNvPr>
        <xdr:cNvSpPr txBox="1"/>
      </xdr:nvSpPr>
      <xdr:spPr>
        <a:xfrm>
          <a:off x="17640300" y="7553325"/>
          <a:ext cx="1076325" cy="1152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Div by 1</a:t>
          </a:r>
          <a:endParaRPr lang="en-US" sz="800"/>
        </a:p>
        <a:p>
          <a:r>
            <a:rPr lang="en-US" sz="800"/>
            <a:t>1 - Div</a:t>
          </a:r>
          <a:r>
            <a:rPr lang="en-US" sz="800" baseline="0"/>
            <a:t> by 2</a:t>
          </a:r>
        </a:p>
        <a:p>
          <a:r>
            <a:rPr lang="en-US" sz="800" baseline="0"/>
            <a:t>2 - Div by 3</a:t>
          </a:r>
        </a:p>
        <a:p>
          <a:r>
            <a:rPr lang="en-US" sz="800" baseline="0"/>
            <a:t>3 - Div by 4</a:t>
          </a:r>
        </a:p>
        <a:p>
          <a:r>
            <a:rPr lang="en-US" sz="800" baseline="0"/>
            <a:t>4 - Div by 5</a:t>
          </a:r>
        </a:p>
        <a:p>
          <a:r>
            <a:rPr lang="en-US" sz="800" baseline="0"/>
            <a:t>5 - Div by 6</a:t>
          </a:r>
        </a:p>
        <a:p>
          <a:r>
            <a:rPr lang="en-US" sz="800" baseline="0"/>
            <a:t>6 - Div by 7</a:t>
          </a:r>
        </a:p>
        <a:p>
          <a:r>
            <a:rPr lang="en-US" sz="800" baseline="0"/>
            <a:t>7 - Div by 8</a:t>
          </a:r>
          <a:endParaRPr lang="en-US" sz="800"/>
        </a:p>
      </xdr:txBody>
    </xdr:sp>
    <xdr:clientData/>
  </xdr:oneCellAnchor>
  <xdr:twoCellAnchor>
    <xdr:from>
      <xdr:col>30</xdr:col>
      <xdr:colOff>228600</xdr:colOff>
      <xdr:row>34</xdr:row>
      <xdr:rowOff>28575</xdr:rowOff>
    </xdr:from>
    <xdr:to>
      <xdr:col>33</xdr:col>
      <xdr:colOff>390525</xdr:colOff>
      <xdr:row>34</xdr:row>
      <xdr:rowOff>28575</xdr:rowOff>
    </xdr:to>
    <xdr:cxnSp macro="">
      <xdr:nvCxnSpPr>
        <xdr:cNvPr id="43" name="Straight Arrow Connector 42">
          <a:extLst>
            <a:ext uri="{FF2B5EF4-FFF2-40B4-BE49-F238E27FC236}">
              <a16:creationId xmlns:a16="http://schemas.microsoft.com/office/drawing/2014/main" xmlns="" id="{00000000-0008-0000-0700-00002B000000}"/>
            </a:ext>
          </a:extLst>
        </xdr:cNvPr>
        <xdr:cNvCxnSpPr/>
      </xdr:nvCxnSpPr>
      <xdr:spPr>
        <a:xfrm>
          <a:off x="18516600" y="6781800"/>
          <a:ext cx="19907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400050</xdr:colOff>
      <xdr:row>32</xdr:row>
      <xdr:rowOff>0</xdr:rowOff>
    </xdr:from>
    <xdr:to>
      <xdr:col>35</xdr:col>
      <xdr:colOff>198309</xdr:colOff>
      <xdr:row>36</xdr:row>
      <xdr:rowOff>175225</xdr:rowOff>
    </xdr:to>
    <xdr:sp macro="" textlink="">
      <xdr:nvSpPr>
        <xdr:cNvPr id="49" name="Rectangle 48">
          <a:extLst>
            <a:ext uri="{FF2B5EF4-FFF2-40B4-BE49-F238E27FC236}">
              <a16:creationId xmlns:a16="http://schemas.microsoft.com/office/drawing/2014/main" xmlns="" id="{00000000-0008-0000-0700-000031000000}"/>
            </a:ext>
          </a:extLst>
        </xdr:cNvPr>
        <xdr:cNvSpPr/>
      </xdr:nvSpPr>
      <xdr:spPr>
        <a:xfrm>
          <a:off x="20516850" y="6343650"/>
          <a:ext cx="1017459" cy="975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SFIF/HyperRAM</a:t>
          </a:r>
          <a:r>
            <a:rPr lang="en-US" sz="1100" baseline="0"/>
            <a:t> Selection</a:t>
          </a:r>
        </a:p>
        <a:p>
          <a:pPr algn="ctr"/>
          <a:r>
            <a:rPr lang="en-US" sz="900"/>
            <a:t>QuadSPI_MCR[SCLKCFG][5]</a:t>
          </a:r>
        </a:p>
      </xdr:txBody>
    </xdr:sp>
    <xdr:clientData/>
  </xdr:twoCellAnchor>
  <xdr:twoCellAnchor>
    <xdr:from>
      <xdr:col>33</xdr:col>
      <xdr:colOff>177362</xdr:colOff>
      <xdr:row>35</xdr:row>
      <xdr:rowOff>104775</xdr:rowOff>
    </xdr:from>
    <xdr:to>
      <xdr:col>33</xdr:col>
      <xdr:colOff>381000</xdr:colOff>
      <xdr:row>35</xdr:row>
      <xdr:rowOff>104775</xdr:rowOff>
    </xdr:to>
    <xdr:cxnSp macro="">
      <xdr:nvCxnSpPr>
        <xdr:cNvPr id="50" name="Straight Arrow Connector 49">
          <a:extLst>
            <a:ext uri="{FF2B5EF4-FFF2-40B4-BE49-F238E27FC236}">
              <a16:creationId xmlns:a16="http://schemas.microsoft.com/office/drawing/2014/main" xmlns="" id="{00000000-0008-0000-0700-000032000000}"/>
            </a:ext>
          </a:extLst>
        </xdr:cNvPr>
        <xdr:cNvCxnSpPr/>
      </xdr:nvCxnSpPr>
      <xdr:spPr>
        <a:xfrm>
          <a:off x="20337517" y="7035034"/>
          <a:ext cx="203638"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604345</xdr:colOff>
      <xdr:row>36</xdr:row>
      <xdr:rowOff>105104</xdr:rowOff>
    </xdr:from>
    <xdr:to>
      <xdr:col>33</xdr:col>
      <xdr:colOff>364906</xdr:colOff>
      <xdr:row>37</xdr:row>
      <xdr:rowOff>33502</xdr:rowOff>
    </xdr:to>
    <xdr:grpSp>
      <xdr:nvGrpSpPr>
        <xdr:cNvPr id="18" name="Group 17">
          <a:extLst>
            <a:ext uri="{FF2B5EF4-FFF2-40B4-BE49-F238E27FC236}">
              <a16:creationId xmlns:a16="http://schemas.microsoft.com/office/drawing/2014/main" xmlns="" id="{00000000-0008-0000-0700-000012000000}"/>
            </a:ext>
          </a:extLst>
        </xdr:cNvPr>
        <xdr:cNvGrpSpPr/>
      </xdr:nvGrpSpPr>
      <xdr:grpSpPr>
        <a:xfrm>
          <a:off x="20111545" y="6985964"/>
          <a:ext cx="370161" cy="126518"/>
          <a:chOff x="19549241" y="7317828"/>
          <a:chExt cx="371475" cy="125467"/>
        </a:xfrm>
      </xdr:grpSpPr>
      <xdr:cxnSp macro="">
        <xdr:nvCxnSpPr>
          <xdr:cNvPr id="51" name="Straight Arrow Connector 50">
            <a:extLst>
              <a:ext uri="{FF2B5EF4-FFF2-40B4-BE49-F238E27FC236}">
                <a16:creationId xmlns:a16="http://schemas.microsoft.com/office/drawing/2014/main" xmlns="" id="{00000000-0008-0000-0700-000033000000}"/>
              </a:ext>
            </a:extLst>
          </xdr:cNvPr>
          <xdr:cNvCxnSpPr/>
        </xdr:nvCxnSpPr>
        <xdr:spPr>
          <a:xfrm>
            <a:off x="19549241" y="7317828"/>
            <a:ext cx="37147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xnSp macro="">
        <xdr:nvCxnSpPr>
          <xdr:cNvPr id="52" name="Straight Arrow Connector 51">
            <a:extLst>
              <a:ext uri="{FF2B5EF4-FFF2-40B4-BE49-F238E27FC236}">
                <a16:creationId xmlns:a16="http://schemas.microsoft.com/office/drawing/2014/main" xmlns="" id="{00000000-0008-0000-0700-000034000000}"/>
              </a:ext>
            </a:extLst>
          </xdr:cNvPr>
          <xdr:cNvCxnSpPr/>
        </xdr:nvCxnSpPr>
        <xdr:spPr>
          <a:xfrm>
            <a:off x="19634966" y="7384503"/>
            <a:ext cx="20002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xnSp macro="">
        <xdr:nvCxnSpPr>
          <xdr:cNvPr id="53" name="Straight Arrow Connector 52">
            <a:extLst>
              <a:ext uri="{FF2B5EF4-FFF2-40B4-BE49-F238E27FC236}">
                <a16:creationId xmlns:a16="http://schemas.microsoft.com/office/drawing/2014/main" xmlns="" id="{00000000-0008-0000-0700-000035000000}"/>
              </a:ext>
            </a:extLst>
          </xdr:cNvPr>
          <xdr:cNvCxnSpPr/>
        </xdr:nvCxnSpPr>
        <xdr:spPr>
          <a:xfrm>
            <a:off x="19681727" y="7443295"/>
            <a:ext cx="1123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33</xdr:col>
      <xdr:colOff>183931</xdr:colOff>
      <xdr:row>35</xdr:row>
      <xdr:rowOff>105103</xdr:rowOff>
    </xdr:from>
    <xdr:to>
      <xdr:col>33</xdr:col>
      <xdr:colOff>183931</xdr:colOff>
      <xdr:row>36</xdr:row>
      <xdr:rowOff>85396</xdr:rowOff>
    </xdr:to>
    <xdr:cxnSp macro="">
      <xdr:nvCxnSpPr>
        <xdr:cNvPr id="54" name="Straight Arrow Connector 53">
          <a:extLst>
            <a:ext uri="{FF2B5EF4-FFF2-40B4-BE49-F238E27FC236}">
              <a16:creationId xmlns:a16="http://schemas.microsoft.com/office/drawing/2014/main" xmlns="" id="{00000000-0008-0000-0700-000036000000}"/>
            </a:ext>
          </a:extLst>
        </xdr:cNvPr>
        <xdr:cNvCxnSpPr/>
      </xdr:nvCxnSpPr>
      <xdr:spPr>
        <a:xfrm>
          <a:off x="20344086" y="7035362"/>
          <a:ext cx="0" cy="17079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201385</xdr:colOff>
      <xdr:row>34</xdr:row>
      <xdr:rowOff>27215</xdr:rowOff>
    </xdr:from>
    <xdr:to>
      <xdr:col>50</xdr:col>
      <xdr:colOff>361950</xdr:colOff>
      <xdr:row>34</xdr:row>
      <xdr:rowOff>27215</xdr:rowOff>
    </xdr:to>
    <xdr:cxnSp macro="">
      <xdr:nvCxnSpPr>
        <xdr:cNvPr id="55" name="Straight Arrow Connector 54">
          <a:extLst>
            <a:ext uri="{FF2B5EF4-FFF2-40B4-BE49-F238E27FC236}">
              <a16:creationId xmlns:a16="http://schemas.microsoft.com/office/drawing/2014/main" xmlns="" id="{00000000-0008-0000-0700-000037000000}"/>
            </a:ext>
          </a:extLst>
        </xdr:cNvPr>
        <xdr:cNvCxnSpPr/>
      </xdr:nvCxnSpPr>
      <xdr:spPr>
        <a:xfrm>
          <a:off x="21537385" y="6837590"/>
          <a:ext cx="93045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555172</xdr:colOff>
      <xdr:row>37</xdr:row>
      <xdr:rowOff>206829</xdr:rowOff>
    </xdr:from>
    <xdr:ext cx="1872342" cy="371475"/>
    <xdr:sp macro="" textlink="">
      <xdr:nvSpPr>
        <xdr:cNvPr id="57" name="TextBox 56">
          <a:extLst>
            <a:ext uri="{FF2B5EF4-FFF2-40B4-BE49-F238E27FC236}">
              <a16:creationId xmlns:a16="http://schemas.microsoft.com/office/drawing/2014/main" xmlns="" id="{00000000-0008-0000-0700-000039000000}"/>
            </a:ext>
          </a:extLst>
        </xdr:cNvPr>
        <xdr:cNvSpPr txBox="1"/>
      </xdr:nvSpPr>
      <xdr:spPr>
        <a:xfrm>
          <a:off x="20671972" y="7592786"/>
          <a:ext cx="187234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GND (0 MHz)</a:t>
          </a:r>
        </a:p>
        <a:p>
          <a:r>
            <a:rPr lang="en-US" sz="800"/>
            <a:t>1 -</a:t>
          </a:r>
          <a:r>
            <a:rPr lang="en-US" sz="800" baseline="0"/>
            <a:t> 2 x QSPI_SFIF_CLK_HYP_PREMUX</a:t>
          </a:r>
          <a:endParaRPr lang="en-US" sz="800"/>
        </a:p>
      </xdr:txBody>
    </xdr:sp>
    <xdr:clientData/>
  </xdr:oneCellAnchor>
  <xdr:oneCellAnchor>
    <xdr:from>
      <xdr:col>30</xdr:col>
      <xdr:colOff>244928</xdr:colOff>
      <xdr:row>31</xdr:row>
      <xdr:rowOff>146957</xdr:rowOff>
    </xdr:from>
    <xdr:ext cx="1948543" cy="266700"/>
    <xdr:sp macro="" textlink="">
      <xdr:nvSpPr>
        <xdr:cNvPr id="58" name="TextBox 57">
          <a:extLst>
            <a:ext uri="{FF2B5EF4-FFF2-40B4-BE49-F238E27FC236}">
              <a16:creationId xmlns:a16="http://schemas.microsoft.com/office/drawing/2014/main" xmlns="" id="{00000000-0008-0000-0700-00003A000000}"/>
            </a:ext>
          </a:extLst>
        </xdr:cNvPr>
        <xdr:cNvSpPr txBox="1"/>
      </xdr:nvSpPr>
      <xdr:spPr>
        <a:xfrm>
          <a:off x="18532928" y="6335486"/>
          <a:ext cx="194854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2 x QSPI_SFIF_CLK_HYP_PREMUX</a:t>
          </a:r>
        </a:p>
      </xdr:txBody>
    </xdr:sp>
    <xdr:clientData/>
  </xdr:oneCellAnchor>
  <xdr:twoCellAnchor>
    <xdr:from>
      <xdr:col>30</xdr:col>
      <xdr:colOff>472965</xdr:colOff>
      <xdr:row>34</xdr:row>
      <xdr:rowOff>26276</xdr:rowOff>
    </xdr:from>
    <xdr:to>
      <xdr:col>30</xdr:col>
      <xdr:colOff>472965</xdr:colOff>
      <xdr:row>42</xdr:row>
      <xdr:rowOff>39414</xdr:rowOff>
    </xdr:to>
    <xdr:cxnSp macro="">
      <xdr:nvCxnSpPr>
        <xdr:cNvPr id="60" name="Straight Arrow Connector 59">
          <a:extLst>
            <a:ext uri="{FF2B5EF4-FFF2-40B4-BE49-F238E27FC236}">
              <a16:creationId xmlns:a16="http://schemas.microsoft.com/office/drawing/2014/main" xmlns="" id="{00000000-0008-0000-0700-00003C000000}"/>
            </a:ext>
          </a:extLst>
        </xdr:cNvPr>
        <xdr:cNvCxnSpPr/>
      </xdr:nvCxnSpPr>
      <xdr:spPr>
        <a:xfrm>
          <a:off x="18800379" y="6759466"/>
          <a:ext cx="0" cy="157655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400707</xdr:colOff>
      <xdr:row>41</xdr:row>
      <xdr:rowOff>157655</xdr:rowOff>
    </xdr:from>
    <xdr:to>
      <xdr:col>37</xdr:col>
      <xdr:colOff>198967</xdr:colOff>
      <xdr:row>46</xdr:row>
      <xdr:rowOff>175225</xdr:rowOff>
    </xdr:to>
    <xdr:sp macro="" textlink="">
      <xdr:nvSpPr>
        <xdr:cNvPr id="63" name="Rectangle 62">
          <a:hlinkClick xmlns:r="http://schemas.openxmlformats.org/officeDocument/2006/relationships" r:id="rId6"/>
          <a:extLst>
            <a:ext uri="{FF2B5EF4-FFF2-40B4-BE49-F238E27FC236}">
              <a16:creationId xmlns:a16="http://schemas.microsoft.com/office/drawing/2014/main" xmlns="" id="{00000000-0008-0000-0700-00003F000000}"/>
            </a:ext>
          </a:extLst>
        </xdr:cNvPr>
        <xdr:cNvSpPr/>
      </xdr:nvSpPr>
      <xdr:spPr>
        <a:xfrm>
          <a:off x="21782690" y="8263758"/>
          <a:ext cx="1020087" cy="9700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SFIF/HyperRAM</a:t>
          </a:r>
          <a:r>
            <a:rPr lang="en-US" sz="1100" baseline="0"/>
            <a:t> Selection</a:t>
          </a:r>
        </a:p>
        <a:p>
          <a:pPr algn="ctr"/>
          <a:r>
            <a:rPr lang="en-US" sz="900"/>
            <a:t>QuadSPI_MCR[SCLKCFG][5]</a:t>
          </a:r>
        </a:p>
      </xdr:txBody>
    </xdr:sp>
    <xdr:clientData/>
  </xdr:twoCellAnchor>
  <xdr:twoCellAnchor>
    <xdr:from>
      <xdr:col>30</xdr:col>
      <xdr:colOff>472966</xdr:colOff>
      <xdr:row>42</xdr:row>
      <xdr:rowOff>39414</xdr:rowOff>
    </xdr:from>
    <xdr:to>
      <xdr:col>35</xdr:col>
      <xdr:colOff>394138</xdr:colOff>
      <xdr:row>42</xdr:row>
      <xdr:rowOff>39414</xdr:rowOff>
    </xdr:to>
    <xdr:cxnSp macro="">
      <xdr:nvCxnSpPr>
        <xdr:cNvPr id="64" name="Straight Arrow Connector 63">
          <a:extLst>
            <a:ext uri="{FF2B5EF4-FFF2-40B4-BE49-F238E27FC236}">
              <a16:creationId xmlns:a16="http://schemas.microsoft.com/office/drawing/2014/main" xmlns="" id="{00000000-0008-0000-0700-000040000000}"/>
            </a:ext>
          </a:extLst>
        </xdr:cNvPr>
        <xdr:cNvCxnSpPr/>
      </xdr:nvCxnSpPr>
      <xdr:spPr>
        <a:xfrm>
          <a:off x="18800380" y="8336017"/>
          <a:ext cx="297574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492673</xdr:colOff>
      <xdr:row>42</xdr:row>
      <xdr:rowOff>45983</xdr:rowOff>
    </xdr:from>
    <xdr:to>
      <xdr:col>30</xdr:col>
      <xdr:colOff>492673</xdr:colOff>
      <xdr:row>44</xdr:row>
      <xdr:rowOff>105104</xdr:rowOff>
    </xdr:to>
    <xdr:cxnSp macro="">
      <xdr:nvCxnSpPr>
        <xdr:cNvPr id="66" name="Straight Arrow Connector 65">
          <a:extLst>
            <a:ext uri="{FF2B5EF4-FFF2-40B4-BE49-F238E27FC236}">
              <a16:creationId xmlns:a16="http://schemas.microsoft.com/office/drawing/2014/main" xmlns="" id="{00000000-0008-0000-0700-000042000000}"/>
            </a:ext>
          </a:extLst>
        </xdr:cNvPr>
        <xdr:cNvCxnSpPr/>
      </xdr:nvCxnSpPr>
      <xdr:spPr>
        <a:xfrm>
          <a:off x="18820087" y="8342586"/>
          <a:ext cx="0" cy="440121"/>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13138</xdr:colOff>
      <xdr:row>43</xdr:row>
      <xdr:rowOff>131379</xdr:rowOff>
    </xdr:from>
    <xdr:to>
      <xdr:col>32</xdr:col>
      <xdr:colOff>6157</xdr:colOff>
      <xdr:row>44</xdr:row>
      <xdr:rowOff>171245</xdr:rowOff>
    </xdr:to>
    <xdr:sp macro="" textlink="">
      <xdr:nvSpPr>
        <xdr:cNvPr id="68" name="Rectangle 67">
          <a:extLst>
            <a:ext uri="{FF2B5EF4-FFF2-40B4-BE49-F238E27FC236}">
              <a16:creationId xmlns:a16="http://schemas.microsoft.com/office/drawing/2014/main" xmlns="" id="{00000000-0008-0000-0700-000044000000}"/>
            </a:ext>
          </a:extLst>
        </xdr:cNvPr>
        <xdr:cNvSpPr/>
      </xdr:nvSpPr>
      <xdr:spPr>
        <a:xfrm>
          <a:off x="18951466" y="8618482"/>
          <a:ext cx="603932" cy="2303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/2</a:t>
          </a:r>
          <a:endParaRPr lang="en-US" sz="800"/>
        </a:p>
      </xdr:txBody>
    </xdr:sp>
    <xdr:clientData/>
  </xdr:twoCellAnchor>
  <xdr:twoCellAnchor>
    <xdr:from>
      <xdr:col>30</xdr:col>
      <xdr:colOff>486103</xdr:colOff>
      <xdr:row>44</xdr:row>
      <xdr:rowOff>98535</xdr:rowOff>
    </xdr:from>
    <xdr:to>
      <xdr:col>31</xdr:col>
      <xdr:colOff>32844</xdr:colOff>
      <xdr:row>44</xdr:row>
      <xdr:rowOff>98535</xdr:rowOff>
    </xdr:to>
    <xdr:cxnSp macro="">
      <xdr:nvCxnSpPr>
        <xdr:cNvPr id="69" name="Straight Arrow Connector 68">
          <a:extLst>
            <a:ext uri="{FF2B5EF4-FFF2-40B4-BE49-F238E27FC236}">
              <a16:creationId xmlns:a16="http://schemas.microsoft.com/office/drawing/2014/main" xmlns="" id="{00000000-0008-0000-0700-000045000000}"/>
            </a:ext>
          </a:extLst>
        </xdr:cNvPr>
        <xdr:cNvCxnSpPr/>
      </xdr:nvCxnSpPr>
      <xdr:spPr>
        <a:xfrm>
          <a:off x="18813517" y="8776138"/>
          <a:ext cx="15765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610913</xdr:colOff>
      <xdr:row>44</xdr:row>
      <xdr:rowOff>118241</xdr:rowOff>
    </xdr:from>
    <xdr:to>
      <xdr:col>35</xdr:col>
      <xdr:colOff>387569</xdr:colOff>
      <xdr:row>44</xdr:row>
      <xdr:rowOff>118241</xdr:rowOff>
    </xdr:to>
    <xdr:cxnSp macro="">
      <xdr:nvCxnSpPr>
        <xdr:cNvPr id="72" name="Straight Arrow Connector 71">
          <a:extLst>
            <a:ext uri="{FF2B5EF4-FFF2-40B4-BE49-F238E27FC236}">
              <a16:creationId xmlns:a16="http://schemas.microsoft.com/office/drawing/2014/main" xmlns="" id="{00000000-0008-0000-0700-000048000000}"/>
            </a:ext>
          </a:extLst>
        </xdr:cNvPr>
        <xdr:cNvCxnSpPr/>
      </xdr:nvCxnSpPr>
      <xdr:spPr>
        <a:xfrm>
          <a:off x="19549241" y="8795844"/>
          <a:ext cx="222031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32</xdr:col>
      <xdr:colOff>13139</xdr:colOff>
      <xdr:row>46</xdr:row>
      <xdr:rowOff>0</xdr:rowOff>
    </xdr:from>
    <xdr:ext cx="1948543" cy="266700"/>
    <xdr:sp macro="" textlink="">
      <xdr:nvSpPr>
        <xdr:cNvPr id="74" name="TextBox 73">
          <a:extLst>
            <a:ext uri="{FF2B5EF4-FFF2-40B4-BE49-F238E27FC236}">
              <a16:creationId xmlns:a16="http://schemas.microsoft.com/office/drawing/2014/main" xmlns="" id="{00000000-0008-0000-0700-00004A000000}"/>
            </a:ext>
          </a:extLst>
        </xdr:cNvPr>
        <xdr:cNvSpPr txBox="1"/>
      </xdr:nvSpPr>
      <xdr:spPr>
        <a:xfrm>
          <a:off x="19562380" y="9084879"/>
          <a:ext cx="194854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QSPI_SFIF_CLK_HYP_PREMUX</a:t>
          </a:r>
        </a:p>
      </xdr:txBody>
    </xdr:sp>
    <xdr:clientData/>
  </xdr:oneCellAnchor>
  <xdr:oneCellAnchor>
    <xdr:from>
      <xdr:col>35</xdr:col>
      <xdr:colOff>558362</xdr:colOff>
      <xdr:row>48</xdr:row>
      <xdr:rowOff>19707</xdr:rowOff>
    </xdr:from>
    <xdr:ext cx="1872342" cy="371475"/>
    <xdr:sp macro="" textlink="">
      <xdr:nvSpPr>
        <xdr:cNvPr id="75" name="TextBox 74">
          <a:extLst>
            <a:ext uri="{FF2B5EF4-FFF2-40B4-BE49-F238E27FC236}">
              <a16:creationId xmlns:a16="http://schemas.microsoft.com/office/drawing/2014/main" xmlns="" id="{00000000-0008-0000-0700-00004B000000}"/>
            </a:ext>
          </a:extLst>
        </xdr:cNvPr>
        <xdr:cNvSpPr txBox="1"/>
      </xdr:nvSpPr>
      <xdr:spPr>
        <a:xfrm>
          <a:off x="21940345" y="9525000"/>
          <a:ext cx="187234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2 x QSPI_SFIF_CLK_HYP_PREMUX</a:t>
          </a:r>
          <a:endParaRPr lang="en-US" sz="800"/>
        </a:p>
        <a:p>
          <a:r>
            <a:rPr lang="en-US" sz="800"/>
            <a:t>1 - </a:t>
          </a:r>
          <a:r>
            <a:rPr lang="en-US" sz="800" baseline="0">
              <a:solidFill>
                <a:schemeClr val="tx1"/>
              </a:solidFill>
              <a:effectLst/>
              <a:latin typeface="+mn-lt"/>
              <a:ea typeface="+mn-ea"/>
              <a:cs typeface="+mn-cs"/>
            </a:rPr>
            <a:t>QSPI_SFIF_CLK_HYP_PREMUX</a:t>
          </a:r>
          <a:endParaRPr lang="en-US" sz="800"/>
        </a:p>
      </xdr:txBody>
    </xdr:sp>
    <xdr:clientData/>
  </xdr:oneCellAnchor>
  <xdr:twoCellAnchor>
    <xdr:from>
      <xdr:col>37</xdr:col>
      <xdr:colOff>210207</xdr:colOff>
      <xdr:row>44</xdr:row>
      <xdr:rowOff>26276</xdr:rowOff>
    </xdr:from>
    <xdr:to>
      <xdr:col>50</xdr:col>
      <xdr:colOff>371475</xdr:colOff>
      <xdr:row>44</xdr:row>
      <xdr:rowOff>26276</xdr:rowOff>
    </xdr:to>
    <xdr:cxnSp macro="">
      <xdr:nvCxnSpPr>
        <xdr:cNvPr id="76" name="Straight Arrow Connector 75">
          <a:extLst>
            <a:ext uri="{FF2B5EF4-FFF2-40B4-BE49-F238E27FC236}">
              <a16:creationId xmlns:a16="http://schemas.microsoft.com/office/drawing/2014/main" xmlns="" id="{00000000-0008-0000-0700-00004C000000}"/>
            </a:ext>
          </a:extLst>
        </xdr:cNvPr>
        <xdr:cNvCxnSpPr/>
      </xdr:nvCxnSpPr>
      <xdr:spPr>
        <a:xfrm>
          <a:off x="22765407" y="8894051"/>
          <a:ext cx="808606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302173</xdr:colOff>
      <xdr:row>34</xdr:row>
      <xdr:rowOff>26275</xdr:rowOff>
    </xdr:from>
    <xdr:to>
      <xdr:col>37</xdr:col>
      <xdr:colOff>302173</xdr:colOff>
      <xdr:row>38</xdr:row>
      <xdr:rowOff>38100</xdr:rowOff>
    </xdr:to>
    <xdr:cxnSp macro="">
      <xdr:nvCxnSpPr>
        <xdr:cNvPr id="78" name="Straight Arrow Connector 77">
          <a:extLst>
            <a:ext uri="{FF2B5EF4-FFF2-40B4-BE49-F238E27FC236}">
              <a16:creationId xmlns:a16="http://schemas.microsoft.com/office/drawing/2014/main" xmlns="" id="{00000000-0008-0000-0700-00004E000000}"/>
            </a:ext>
          </a:extLst>
        </xdr:cNvPr>
        <xdr:cNvCxnSpPr/>
      </xdr:nvCxnSpPr>
      <xdr:spPr>
        <a:xfrm>
          <a:off x="22857373" y="6836650"/>
          <a:ext cx="0" cy="85002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302173</xdr:colOff>
      <xdr:row>38</xdr:row>
      <xdr:rowOff>35472</xdr:rowOff>
    </xdr:from>
    <xdr:to>
      <xdr:col>39</xdr:col>
      <xdr:colOff>0</xdr:colOff>
      <xdr:row>38</xdr:row>
      <xdr:rowOff>35472</xdr:rowOff>
    </xdr:to>
    <xdr:cxnSp macro="">
      <xdr:nvCxnSpPr>
        <xdr:cNvPr id="80" name="Straight Arrow Connector 79">
          <a:extLst>
            <a:ext uri="{FF2B5EF4-FFF2-40B4-BE49-F238E27FC236}">
              <a16:creationId xmlns:a16="http://schemas.microsoft.com/office/drawing/2014/main" xmlns="" id="{00000000-0008-0000-0700-000050000000}"/>
            </a:ext>
          </a:extLst>
        </xdr:cNvPr>
        <xdr:cNvCxnSpPr/>
      </xdr:nvCxnSpPr>
      <xdr:spPr>
        <a:xfrm>
          <a:off x="22857373" y="7684047"/>
          <a:ext cx="91702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485498</xdr:colOff>
      <xdr:row>36</xdr:row>
      <xdr:rowOff>73774</xdr:rowOff>
    </xdr:from>
    <xdr:to>
      <xdr:col>40</xdr:col>
      <xdr:colOff>0</xdr:colOff>
      <xdr:row>38</xdr:row>
      <xdr:rowOff>187638</xdr:rowOff>
    </xdr:to>
    <xdr:grpSp>
      <xdr:nvGrpSpPr>
        <xdr:cNvPr id="87" name="Group 86">
          <a:extLst>
            <a:ext uri="{FF2B5EF4-FFF2-40B4-BE49-F238E27FC236}">
              <a16:creationId xmlns:a16="http://schemas.microsoft.com/office/drawing/2014/main" xmlns="" id="{00000000-0008-0000-0700-000057000000}"/>
            </a:ext>
          </a:extLst>
        </xdr:cNvPr>
        <xdr:cNvGrpSpPr/>
      </xdr:nvGrpSpPr>
      <xdr:grpSpPr>
        <a:xfrm>
          <a:off x="23650298" y="6954634"/>
          <a:ext cx="733702" cy="510104"/>
          <a:chOff x="23700222" y="6883164"/>
          <a:chExt cx="736330" cy="498477"/>
        </a:xfrm>
      </xdr:grpSpPr>
      <xdr:grpSp>
        <xdr:nvGrpSpPr>
          <xdr:cNvPr id="85" name="Group 84">
            <a:extLst>
              <a:ext uri="{FF2B5EF4-FFF2-40B4-BE49-F238E27FC236}">
                <a16:creationId xmlns:a16="http://schemas.microsoft.com/office/drawing/2014/main" xmlns="" id="{00000000-0008-0000-0700-000055000000}"/>
              </a:ext>
            </a:extLst>
          </xdr:cNvPr>
          <xdr:cNvGrpSpPr/>
        </xdr:nvGrpSpPr>
        <xdr:grpSpPr>
          <a:xfrm>
            <a:off x="23700222" y="6883164"/>
            <a:ext cx="736330" cy="498477"/>
            <a:chOff x="23700222" y="6883164"/>
            <a:chExt cx="736330" cy="498477"/>
          </a:xfrm>
        </xdr:grpSpPr>
        <xdr:sp macro="" textlink="">
          <xdr:nvSpPr>
            <xdr:cNvPr id="82" name="Isosceles Triangle 81">
              <a:extLst>
                <a:ext uri="{FF2B5EF4-FFF2-40B4-BE49-F238E27FC236}">
                  <a16:creationId xmlns:a16="http://schemas.microsoft.com/office/drawing/2014/main" xmlns="" id="{00000000-0008-0000-0700-000052000000}"/>
                </a:ext>
              </a:extLst>
            </xdr:cNvPr>
            <xdr:cNvSpPr/>
          </xdr:nvSpPr>
          <xdr:spPr>
            <a:xfrm rot="19899617">
              <a:off x="23700222" y="6883164"/>
              <a:ext cx="538129" cy="49847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Oval 83">
              <a:extLst>
                <a:ext uri="{FF2B5EF4-FFF2-40B4-BE49-F238E27FC236}">
                  <a16:creationId xmlns:a16="http://schemas.microsoft.com/office/drawing/2014/main" xmlns="" id="{00000000-0008-0000-0700-000054000000}"/>
                </a:ext>
              </a:extLst>
            </xdr:cNvPr>
            <xdr:cNvSpPr/>
          </xdr:nvSpPr>
          <xdr:spPr>
            <a:xfrm>
              <a:off x="24344586" y="7173310"/>
              <a:ext cx="91966" cy="10510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86" name="TextBox 85">
            <a:extLst>
              <a:ext uri="{FF2B5EF4-FFF2-40B4-BE49-F238E27FC236}">
                <a16:creationId xmlns:a16="http://schemas.microsoft.com/office/drawing/2014/main" xmlns="" id="{00000000-0008-0000-0700-000056000000}"/>
              </a:ext>
            </a:extLst>
          </xdr:cNvPr>
          <xdr:cNvSpPr txBox="1"/>
        </xdr:nvSpPr>
        <xdr:spPr>
          <a:xfrm>
            <a:off x="23805931" y="7094483"/>
            <a:ext cx="624051" cy="19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chemeClr val="bg1"/>
                </a:solidFill>
              </a:rPr>
              <a:t>Inverter</a:t>
            </a:r>
          </a:p>
        </xdr:txBody>
      </xdr:sp>
    </xdr:grpSp>
    <xdr:clientData/>
  </xdr:twoCellAnchor>
  <xdr:twoCellAnchor>
    <xdr:from>
      <xdr:col>40</xdr:col>
      <xdr:colOff>13138</xdr:colOff>
      <xdr:row>38</xdr:row>
      <xdr:rowOff>28904</xdr:rowOff>
    </xdr:from>
    <xdr:to>
      <xdr:col>50</xdr:col>
      <xdr:colOff>400050</xdr:colOff>
      <xdr:row>38</xdr:row>
      <xdr:rowOff>28904</xdr:rowOff>
    </xdr:to>
    <xdr:cxnSp macro="">
      <xdr:nvCxnSpPr>
        <xdr:cNvPr id="88" name="Straight Arrow Connector 87">
          <a:extLst>
            <a:ext uri="{FF2B5EF4-FFF2-40B4-BE49-F238E27FC236}">
              <a16:creationId xmlns:a16="http://schemas.microsoft.com/office/drawing/2014/main" xmlns="" id="{00000000-0008-0000-0700-000058000000}"/>
            </a:ext>
          </a:extLst>
        </xdr:cNvPr>
        <xdr:cNvCxnSpPr/>
      </xdr:nvCxnSpPr>
      <xdr:spPr>
        <a:xfrm>
          <a:off x="24397138" y="7677479"/>
          <a:ext cx="64829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295603</xdr:colOff>
      <xdr:row>44</xdr:row>
      <xdr:rowOff>26276</xdr:rowOff>
    </xdr:from>
    <xdr:to>
      <xdr:col>40</xdr:col>
      <xdr:colOff>295603</xdr:colOff>
      <xdr:row>47</xdr:row>
      <xdr:rowOff>123825</xdr:rowOff>
    </xdr:to>
    <xdr:cxnSp macro="">
      <xdr:nvCxnSpPr>
        <xdr:cNvPr id="91" name="Straight Arrow Connector 90">
          <a:extLst>
            <a:ext uri="{FF2B5EF4-FFF2-40B4-BE49-F238E27FC236}">
              <a16:creationId xmlns:a16="http://schemas.microsoft.com/office/drawing/2014/main" xmlns="" id="{00000000-0008-0000-0700-00005B000000}"/>
            </a:ext>
          </a:extLst>
        </xdr:cNvPr>
        <xdr:cNvCxnSpPr/>
      </xdr:nvCxnSpPr>
      <xdr:spPr>
        <a:xfrm>
          <a:off x="24679603" y="8894051"/>
          <a:ext cx="0" cy="726199"/>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295603</xdr:colOff>
      <xdr:row>47</xdr:row>
      <xdr:rowOff>116928</xdr:rowOff>
    </xdr:from>
    <xdr:to>
      <xdr:col>41</xdr:col>
      <xdr:colOff>604344</xdr:colOff>
      <xdr:row>47</xdr:row>
      <xdr:rowOff>116928</xdr:rowOff>
    </xdr:to>
    <xdr:cxnSp macro="">
      <xdr:nvCxnSpPr>
        <xdr:cNvPr id="92" name="Straight Arrow Connector 91">
          <a:extLst>
            <a:ext uri="{FF2B5EF4-FFF2-40B4-BE49-F238E27FC236}">
              <a16:creationId xmlns:a16="http://schemas.microsoft.com/office/drawing/2014/main" xmlns="" id="{00000000-0008-0000-0700-00005C000000}"/>
            </a:ext>
          </a:extLst>
        </xdr:cNvPr>
        <xdr:cNvCxnSpPr/>
      </xdr:nvCxnSpPr>
      <xdr:spPr>
        <a:xfrm>
          <a:off x="24679603" y="9613353"/>
          <a:ext cx="91834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478928</xdr:colOff>
      <xdr:row>45</xdr:row>
      <xdr:rowOff>188075</xdr:rowOff>
    </xdr:from>
    <xdr:to>
      <xdr:col>42</xdr:col>
      <xdr:colOff>604345</xdr:colOff>
      <xdr:row>48</xdr:row>
      <xdr:rowOff>55931</xdr:rowOff>
    </xdr:to>
    <xdr:grpSp>
      <xdr:nvGrpSpPr>
        <xdr:cNvPr id="93" name="Group 92">
          <a:extLst>
            <a:ext uri="{FF2B5EF4-FFF2-40B4-BE49-F238E27FC236}">
              <a16:creationId xmlns:a16="http://schemas.microsoft.com/office/drawing/2014/main" xmlns="" id="{00000000-0008-0000-0700-00005D000000}"/>
            </a:ext>
          </a:extLst>
        </xdr:cNvPr>
        <xdr:cNvGrpSpPr/>
      </xdr:nvGrpSpPr>
      <xdr:grpSpPr>
        <a:xfrm>
          <a:off x="25472528" y="8821535"/>
          <a:ext cx="735017" cy="462216"/>
          <a:chOff x="23700222" y="6883164"/>
          <a:chExt cx="736330" cy="498477"/>
        </a:xfrm>
      </xdr:grpSpPr>
      <xdr:grpSp>
        <xdr:nvGrpSpPr>
          <xdr:cNvPr id="94" name="Group 93">
            <a:extLst>
              <a:ext uri="{FF2B5EF4-FFF2-40B4-BE49-F238E27FC236}">
                <a16:creationId xmlns:a16="http://schemas.microsoft.com/office/drawing/2014/main" xmlns="" id="{00000000-0008-0000-0700-00005E000000}"/>
              </a:ext>
            </a:extLst>
          </xdr:cNvPr>
          <xdr:cNvGrpSpPr/>
        </xdr:nvGrpSpPr>
        <xdr:grpSpPr>
          <a:xfrm>
            <a:off x="23700222" y="6883164"/>
            <a:ext cx="736330" cy="498477"/>
            <a:chOff x="23700222" y="6883164"/>
            <a:chExt cx="736330" cy="498477"/>
          </a:xfrm>
        </xdr:grpSpPr>
        <xdr:sp macro="" textlink="">
          <xdr:nvSpPr>
            <xdr:cNvPr id="96" name="Isosceles Triangle 95">
              <a:extLst>
                <a:ext uri="{FF2B5EF4-FFF2-40B4-BE49-F238E27FC236}">
                  <a16:creationId xmlns:a16="http://schemas.microsoft.com/office/drawing/2014/main" xmlns="" id="{00000000-0008-0000-0700-000060000000}"/>
                </a:ext>
              </a:extLst>
            </xdr:cNvPr>
            <xdr:cNvSpPr/>
          </xdr:nvSpPr>
          <xdr:spPr>
            <a:xfrm rot="19899617">
              <a:off x="23700222" y="6883164"/>
              <a:ext cx="538129" cy="49847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Oval 96">
              <a:extLst>
                <a:ext uri="{FF2B5EF4-FFF2-40B4-BE49-F238E27FC236}">
                  <a16:creationId xmlns:a16="http://schemas.microsoft.com/office/drawing/2014/main" xmlns="" id="{00000000-0008-0000-0700-000061000000}"/>
                </a:ext>
              </a:extLst>
            </xdr:cNvPr>
            <xdr:cNvSpPr/>
          </xdr:nvSpPr>
          <xdr:spPr>
            <a:xfrm>
              <a:off x="24344586" y="7173310"/>
              <a:ext cx="91966" cy="10510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95" name="TextBox 94">
            <a:extLst>
              <a:ext uri="{FF2B5EF4-FFF2-40B4-BE49-F238E27FC236}">
                <a16:creationId xmlns:a16="http://schemas.microsoft.com/office/drawing/2014/main" xmlns="" id="{00000000-0008-0000-0700-00005F000000}"/>
              </a:ext>
            </a:extLst>
          </xdr:cNvPr>
          <xdr:cNvSpPr txBox="1"/>
        </xdr:nvSpPr>
        <xdr:spPr>
          <a:xfrm>
            <a:off x="23805931" y="7094483"/>
            <a:ext cx="624051" cy="19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chemeClr val="bg1"/>
                </a:solidFill>
              </a:rPr>
              <a:t>Inverter</a:t>
            </a:r>
          </a:p>
        </xdr:txBody>
      </xdr:sp>
    </xdr:grpSp>
    <xdr:clientData/>
  </xdr:twoCellAnchor>
  <xdr:twoCellAnchor>
    <xdr:from>
      <xdr:col>43</xdr:col>
      <xdr:colOff>6569</xdr:colOff>
      <xdr:row>47</xdr:row>
      <xdr:rowOff>110360</xdr:rowOff>
    </xdr:from>
    <xdr:to>
      <xdr:col>50</xdr:col>
      <xdr:colOff>371475</xdr:colOff>
      <xdr:row>47</xdr:row>
      <xdr:rowOff>110360</xdr:rowOff>
    </xdr:to>
    <xdr:cxnSp macro="">
      <xdr:nvCxnSpPr>
        <xdr:cNvPr id="98" name="Straight Arrow Connector 97">
          <a:extLst>
            <a:ext uri="{FF2B5EF4-FFF2-40B4-BE49-F238E27FC236}">
              <a16:creationId xmlns:a16="http://schemas.microsoft.com/office/drawing/2014/main" xmlns="" id="{00000000-0008-0000-0700-000062000000}"/>
            </a:ext>
          </a:extLst>
        </xdr:cNvPr>
        <xdr:cNvCxnSpPr/>
      </xdr:nvCxnSpPr>
      <xdr:spPr>
        <a:xfrm>
          <a:off x="26219369" y="9606785"/>
          <a:ext cx="463210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289034</xdr:colOff>
      <xdr:row>44</xdr:row>
      <xdr:rowOff>26276</xdr:rowOff>
    </xdr:from>
    <xdr:to>
      <xdr:col>39</xdr:col>
      <xdr:colOff>289034</xdr:colOff>
      <xdr:row>51</xdr:row>
      <xdr:rowOff>104775</xdr:rowOff>
    </xdr:to>
    <xdr:cxnSp macro="">
      <xdr:nvCxnSpPr>
        <xdr:cNvPr id="99" name="Straight Arrow Connector 98">
          <a:extLst>
            <a:ext uri="{FF2B5EF4-FFF2-40B4-BE49-F238E27FC236}">
              <a16:creationId xmlns:a16="http://schemas.microsoft.com/office/drawing/2014/main" xmlns="" id="{00000000-0008-0000-0700-000063000000}"/>
            </a:ext>
          </a:extLst>
        </xdr:cNvPr>
        <xdr:cNvCxnSpPr/>
      </xdr:nvCxnSpPr>
      <xdr:spPr>
        <a:xfrm>
          <a:off x="24063434" y="8894051"/>
          <a:ext cx="0" cy="153582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282465</xdr:colOff>
      <xdr:row>51</xdr:row>
      <xdr:rowOff>105760</xdr:rowOff>
    </xdr:from>
    <xdr:to>
      <xdr:col>50</xdr:col>
      <xdr:colOff>400050</xdr:colOff>
      <xdr:row>51</xdr:row>
      <xdr:rowOff>105760</xdr:rowOff>
    </xdr:to>
    <xdr:cxnSp macro="">
      <xdr:nvCxnSpPr>
        <xdr:cNvPr id="100" name="Straight Arrow Connector 99">
          <a:extLst>
            <a:ext uri="{FF2B5EF4-FFF2-40B4-BE49-F238E27FC236}">
              <a16:creationId xmlns:a16="http://schemas.microsoft.com/office/drawing/2014/main" xmlns="" id="{00000000-0008-0000-0700-000064000000}"/>
            </a:ext>
          </a:extLst>
        </xdr:cNvPr>
        <xdr:cNvCxnSpPr/>
      </xdr:nvCxnSpPr>
      <xdr:spPr>
        <a:xfrm>
          <a:off x="24056865" y="10430860"/>
          <a:ext cx="682318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597776</xdr:colOff>
      <xdr:row>44</xdr:row>
      <xdr:rowOff>32845</xdr:rowOff>
    </xdr:from>
    <xdr:to>
      <xdr:col>38</xdr:col>
      <xdr:colOff>597776</xdr:colOff>
      <xdr:row>52</xdr:row>
      <xdr:rowOff>65690</xdr:rowOff>
    </xdr:to>
    <xdr:cxnSp macro="">
      <xdr:nvCxnSpPr>
        <xdr:cNvPr id="104" name="Straight Arrow Connector 103">
          <a:extLst>
            <a:ext uri="{FF2B5EF4-FFF2-40B4-BE49-F238E27FC236}">
              <a16:creationId xmlns:a16="http://schemas.microsoft.com/office/drawing/2014/main" xmlns="" id="{00000000-0008-0000-0700-000068000000}"/>
            </a:ext>
          </a:extLst>
        </xdr:cNvPr>
        <xdr:cNvCxnSpPr/>
      </xdr:nvCxnSpPr>
      <xdr:spPr>
        <a:xfrm>
          <a:off x="23812500" y="8736724"/>
          <a:ext cx="0" cy="164224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164224</xdr:colOff>
      <xdr:row>52</xdr:row>
      <xdr:rowOff>59120</xdr:rowOff>
    </xdr:from>
    <xdr:to>
      <xdr:col>38</xdr:col>
      <xdr:colOff>604345</xdr:colOff>
      <xdr:row>52</xdr:row>
      <xdr:rowOff>59120</xdr:rowOff>
    </xdr:to>
    <xdr:cxnSp macro="">
      <xdr:nvCxnSpPr>
        <xdr:cNvPr id="106" name="Straight Arrow Connector 105">
          <a:extLst>
            <a:ext uri="{FF2B5EF4-FFF2-40B4-BE49-F238E27FC236}">
              <a16:creationId xmlns:a16="http://schemas.microsoft.com/office/drawing/2014/main" xmlns="" id="{00000000-0008-0000-0700-00006A000000}"/>
            </a:ext>
          </a:extLst>
        </xdr:cNvPr>
        <xdr:cNvCxnSpPr/>
      </xdr:nvCxnSpPr>
      <xdr:spPr>
        <a:xfrm flipH="1">
          <a:off x="22157121" y="10372396"/>
          <a:ext cx="1661948"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164224</xdr:colOff>
      <xdr:row>52</xdr:row>
      <xdr:rowOff>52552</xdr:rowOff>
    </xdr:from>
    <xdr:to>
      <xdr:col>36</xdr:col>
      <xdr:colOff>164224</xdr:colOff>
      <xdr:row>55</xdr:row>
      <xdr:rowOff>78827</xdr:rowOff>
    </xdr:to>
    <xdr:cxnSp macro="">
      <xdr:nvCxnSpPr>
        <xdr:cNvPr id="109" name="Straight Arrow Connector 108">
          <a:extLst>
            <a:ext uri="{FF2B5EF4-FFF2-40B4-BE49-F238E27FC236}">
              <a16:creationId xmlns:a16="http://schemas.microsoft.com/office/drawing/2014/main" xmlns="" id="{00000000-0008-0000-0700-00006D000000}"/>
            </a:ext>
          </a:extLst>
        </xdr:cNvPr>
        <xdr:cNvCxnSpPr/>
      </xdr:nvCxnSpPr>
      <xdr:spPr>
        <a:xfrm>
          <a:off x="22157121" y="10365828"/>
          <a:ext cx="0" cy="597775"/>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164223</xdr:colOff>
      <xdr:row>55</xdr:row>
      <xdr:rowOff>78828</xdr:rowOff>
    </xdr:from>
    <xdr:to>
      <xdr:col>39</xdr:col>
      <xdr:colOff>0</xdr:colOff>
      <xdr:row>55</xdr:row>
      <xdr:rowOff>78828</xdr:rowOff>
    </xdr:to>
    <xdr:cxnSp macro="">
      <xdr:nvCxnSpPr>
        <xdr:cNvPr id="111" name="Straight Arrow Connector 110">
          <a:extLst>
            <a:ext uri="{FF2B5EF4-FFF2-40B4-BE49-F238E27FC236}">
              <a16:creationId xmlns:a16="http://schemas.microsoft.com/office/drawing/2014/main" xmlns="" id="{00000000-0008-0000-0700-00006F000000}"/>
            </a:ext>
          </a:extLst>
        </xdr:cNvPr>
        <xdr:cNvCxnSpPr/>
      </xdr:nvCxnSpPr>
      <xdr:spPr>
        <a:xfrm>
          <a:off x="22157120" y="10963604"/>
          <a:ext cx="16685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479534</xdr:colOff>
      <xdr:row>53</xdr:row>
      <xdr:rowOff>144517</xdr:rowOff>
    </xdr:from>
    <xdr:to>
      <xdr:col>39</xdr:col>
      <xdr:colOff>604950</xdr:colOff>
      <xdr:row>56</xdr:row>
      <xdr:rowOff>71494</xdr:rowOff>
    </xdr:to>
    <xdr:grpSp>
      <xdr:nvGrpSpPr>
        <xdr:cNvPr id="113" name="Group 112">
          <a:extLst>
            <a:ext uri="{FF2B5EF4-FFF2-40B4-BE49-F238E27FC236}">
              <a16:creationId xmlns:a16="http://schemas.microsoft.com/office/drawing/2014/main" xmlns="" id="{00000000-0008-0000-0700-000071000000}"/>
            </a:ext>
          </a:extLst>
        </xdr:cNvPr>
        <xdr:cNvGrpSpPr/>
      </xdr:nvGrpSpPr>
      <xdr:grpSpPr>
        <a:xfrm>
          <a:off x="23644334" y="10362937"/>
          <a:ext cx="735016" cy="521337"/>
          <a:chOff x="23700222" y="6883164"/>
          <a:chExt cx="736330" cy="498477"/>
        </a:xfrm>
      </xdr:grpSpPr>
      <xdr:grpSp>
        <xdr:nvGrpSpPr>
          <xdr:cNvPr id="114" name="Group 113">
            <a:extLst>
              <a:ext uri="{FF2B5EF4-FFF2-40B4-BE49-F238E27FC236}">
                <a16:creationId xmlns:a16="http://schemas.microsoft.com/office/drawing/2014/main" xmlns="" id="{00000000-0008-0000-0700-000072000000}"/>
              </a:ext>
            </a:extLst>
          </xdr:cNvPr>
          <xdr:cNvGrpSpPr/>
        </xdr:nvGrpSpPr>
        <xdr:grpSpPr>
          <a:xfrm>
            <a:off x="23700222" y="6883164"/>
            <a:ext cx="736330" cy="498477"/>
            <a:chOff x="23700222" y="6883164"/>
            <a:chExt cx="736330" cy="498477"/>
          </a:xfrm>
        </xdr:grpSpPr>
        <xdr:sp macro="" textlink="">
          <xdr:nvSpPr>
            <xdr:cNvPr id="116" name="Isosceles Triangle 115">
              <a:extLst>
                <a:ext uri="{FF2B5EF4-FFF2-40B4-BE49-F238E27FC236}">
                  <a16:creationId xmlns:a16="http://schemas.microsoft.com/office/drawing/2014/main" xmlns="" id="{00000000-0008-0000-0700-000074000000}"/>
                </a:ext>
              </a:extLst>
            </xdr:cNvPr>
            <xdr:cNvSpPr/>
          </xdr:nvSpPr>
          <xdr:spPr>
            <a:xfrm rot="19979871">
              <a:off x="23700222" y="6883164"/>
              <a:ext cx="538129" cy="49847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7" name="Oval 116">
              <a:extLst>
                <a:ext uri="{FF2B5EF4-FFF2-40B4-BE49-F238E27FC236}">
                  <a16:creationId xmlns:a16="http://schemas.microsoft.com/office/drawing/2014/main" xmlns="" id="{00000000-0008-0000-0700-000075000000}"/>
                </a:ext>
              </a:extLst>
            </xdr:cNvPr>
            <xdr:cNvSpPr/>
          </xdr:nvSpPr>
          <xdr:spPr>
            <a:xfrm>
              <a:off x="24344586" y="7173310"/>
              <a:ext cx="91966" cy="10510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5" name="TextBox 114">
            <a:extLst>
              <a:ext uri="{FF2B5EF4-FFF2-40B4-BE49-F238E27FC236}">
                <a16:creationId xmlns:a16="http://schemas.microsoft.com/office/drawing/2014/main" xmlns="" id="{00000000-0008-0000-0700-000073000000}"/>
              </a:ext>
            </a:extLst>
          </xdr:cNvPr>
          <xdr:cNvSpPr txBox="1"/>
        </xdr:nvSpPr>
        <xdr:spPr>
          <a:xfrm>
            <a:off x="23805931" y="7094483"/>
            <a:ext cx="624051" cy="19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chemeClr val="bg1"/>
                </a:solidFill>
              </a:rPr>
              <a:t>Inverter</a:t>
            </a:r>
          </a:p>
        </xdr:txBody>
      </xdr:sp>
    </xdr:grpSp>
    <xdr:clientData/>
  </xdr:twoCellAnchor>
  <xdr:twoCellAnchor>
    <xdr:from>
      <xdr:col>40</xdr:col>
      <xdr:colOff>6569</xdr:colOff>
      <xdr:row>55</xdr:row>
      <xdr:rowOff>105103</xdr:rowOff>
    </xdr:from>
    <xdr:to>
      <xdr:col>45</xdr:col>
      <xdr:colOff>591207</xdr:colOff>
      <xdr:row>55</xdr:row>
      <xdr:rowOff>105103</xdr:rowOff>
    </xdr:to>
    <xdr:cxnSp macro="">
      <xdr:nvCxnSpPr>
        <xdr:cNvPr id="118" name="Straight Arrow Connector 117">
          <a:extLst>
            <a:ext uri="{FF2B5EF4-FFF2-40B4-BE49-F238E27FC236}">
              <a16:creationId xmlns:a16="http://schemas.microsoft.com/office/drawing/2014/main" xmlns="" id="{00000000-0008-0000-0700-000076000000}"/>
            </a:ext>
          </a:extLst>
        </xdr:cNvPr>
        <xdr:cNvCxnSpPr/>
      </xdr:nvCxnSpPr>
      <xdr:spPr>
        <a:xfrm>
          <a:off x="24443121" y="10996448"/>
          <a:ext cx="363920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46</xdr:col>
      <xdr:colOff>571500</xdr:colOff>
      <xdr:row>54</xdr:row>
      <xdr:rowOff>170793</xdr:rowOff>
    </xdr:from>
    <xdr:ext cx="939363" cy="266700"/>
    <xdr:sp macro="" textlink="">
      <xdr:nvSpPr>
        <xdr:cNvPr id="122" name="TextBox 121">
          <a:extLst>
            <a:ext uri="{FF2B5EF4-FFF2-40B4-BE49-F238E27FC236}">
              <a16:creationId xmlns:a16="http://schemas.microsoft.com/office/drawing/2014/main" xmlns="" id="{00000000-0008-0000-0700-00007A000000}"/>
            </a:ext>
          </a:extLst>
        </xdr:cNvPr>
        <xdr:cNvSpPr txBox="1"/>
      </xdr:nvSpPr>
      <xdr:spPr>
        <a:xfrm>
          <a:off x="28673534" y="10897914"/>
          <a:ext cx="93936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SCKA</a:t>
          </a:r>
          <a:r>
            <a:rPr lang="en-US" sz="1000" b="1" baseline="0"/>
            <a:t> (PAD)</a:t>
          </a:r>
          <a:endParaRPr lang="en-US" sz="1000" b="1"/>
        </a:p>
      </xdr:txBody>
    </xdr:sp>
    <xdr:clientData/>
  </xdr:oneCellAnchor>
  <xdr:twoCellAnchor>
    <xdr:from>
      <xdr:col>43</xdr:col>
      <xdr:colOff>558362</xdr:colOff>
      <xdr:row>52</xdr:row>
      <xdr:rowOff>85396</xdr:rowOff>
    </xdr:from>
    <xdr:to>
      <xdr:col>43</xdr:col>
      <xdr:colOff>558362</xdr:colOff>
      <xdr:row>55</xdr:row>
      <xdr:rowOff>98533</xdr:rowOff>
    </xdr:to>
    <xdr:cxnSp macro="">
      <xdr:nvCxnSpPr>
        <xdr:cNvPr id="123" name="Straight Arrow Connector 122">
          <a:extLst>
            <a:ext uri="{FF2B5EF4-FFF2-40B4-BE49-F238E27FC236}">
              <a16:creationId xmlns:a16="http://schemas.microsoft.com/office/drawing/2014/main" xmlns="" id="{00000000-0008-0000-0700-00007B000000}"/>
            </a:ext>
          </a:extLst>
        </xdr:cNvPr>
        <xdr:cNvCxnSpPr/>
      </xdr:nvCxnSpPr>
      <xdr:spPr>
        <a:xfrm>
          <a:off x="26827655" y="10398672"/>
          <a:ext cx="0" cy="59120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551793</xdr:colOff>
      <xdr:row>52</xdr:row>
      <xdr:rowOff>85397</xdr:rowOff>
    </xdr:from>
    <xdr:to>
      <xdr:col>45</xdr:col>
      <xdr:colOff>610913</xdr:colOff>
      <xdr:row>52</xdr:row>
      <xdr:rowOff>85397</xdr:rowOff>
    </xdr:to>
    <xdr:cxnSp macro="">
      <xdr:nvCxnSpPr>
        <xdr:cNvPr id="124" name="Straight Arrow Connector 123">
          <a:extLst>
            <a:ext uri="{FF2B5EF4-FFF2-40B4-BE49-F238E27FC236}">
              <a16:creationId xmlns:a16="http://schemas.microsoft.com/office/drawing/2014/main" xmlns="" id="{00000000-0008-0000-0700-00007C000000}"/>
            </a:ext>
          </a:extLst>
        </xdr:cNvPr>
        <xdr:cNvCxnSpPr/>
      </xdr:nvCxnSpPr>
      <xdr:spPr>
        <a:xfrm>
          <a:off x="26821086" y="10398673"/>
          <a:ext cx="128094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46</xdr:col>
      <xdr:colOff>571500</xdr:colOff>
      <xdr:row>51</xdr:row>
      <xdr:rowOff>164224</xdr:rowOff>
    </xdr:from>
    <xdr:ext cx="1438604" cy="266700"/>
    <xdr:sp macro="" textlink="">
      <xdr:nvSpPr>
        <xdr:cNvPr id="129" name="TextBox 128">
          <a:extLst>
            <a:ext uri="{FF2B5EF4-FFF2-40B4-BE49-F238E27FC236}">
              <a16:creationId xmlns:a16="http://schemas.microsoft.com/office/drawing/2014/main" xmlns="" id="{00000000-0008-0000-0700-000081000000}"/>
            </a:ext>
          </a:extLst>
        </xdr:cNvPr>
        <xdr:cNvSpPr txBox="1"/>
      </xdr:nvSpPr>
      <xdr:spPr>
        <a:xfrm>
          <a:off x="28673534" y="10287000"/>
          <a:ext cx="143860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SCKA</a:t>
          </a:r>
          <a:r>
            <a:rPr lang="en-US" sz="1000" b="1" baseline="0"/>
            <a:t> loopback clock</a:t>
          </a:r>
          <a:endParaRPr lang="en-US" sz="1000" b="1"/>
        </a:p>
      </xdr:txBody>
    </xdr:sp>
    <xdr:clientData/>
  </xdr:oneCellAnchor>
  <xdr:twoCellAnchor>
    <xdr:from>
      <xdr:col>40</xdr:col>
      <xdr:colOff>236483</xdr:colOff>
      <xdr:row>52</xdr:row>
      <xdr:rowOff>91965</xdr:rowOff>
    </xdr:from>
    <xdr:to>
      <xdr:col>40</xdr:col>
      <xdr:colOff>236483</xdr:colOff>
      <xdr:row>55</xdr:row>
      <xdr:rowOff>105102</xdr:rowOff>
    </xdr:to>
    <xdr:cxnSp macro="">
      <xdr:nvCxnSpPr>
        <xdr:cNvPr id="130" name="Straight Arrow Connector 129">
          <a:extLst>
            <a:ext uri="{FF2B5EF4-FFF2-40B4-BE49-F238E27FC236}">
              <a16:creationId xmlns:a16="http://schemas.microsoft.com/office/drawing/2014/main" xmlns="" id="{00000000-0008-0000-0700-000082000000}"/>
            </a:ext>
          </a:extLst>
        </xdr:cNvPr>
        <xdr:cNvCxnSpPr/>
      </xdr:nvCxnSpPr>
      <xdr:spPr>
        <a:xfrm>
          <a:off x="24673035" y="10411810"/>
          <a:ext cx="0" cy="61748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229914</xdr:colOff>
      <xdr:row>52</xdr:row>
      <xdr:rowOff>91966</xdr:rowOff>
    </xdr:from>
    <xdr:to>
      <xdr:col>41</xdr:col>
      <xdr:colOff>0</xdr:colOff>
      <xdr:row>52</xdr:row>
      <xdr:rowOff>91966</xdr:rowOff>
    </xdr:to>
    <xdr:cxnSp macro="">
      <xdr:nvCxnSpPr>
        <xdr:cNvPr id="131" name="Straight Arrow Connector 130">
          <a:extLst>
            <a:ext uri="{FF2B5EF4-FFF2-40B4-BE49-F238E27FC236}">
              <a16:creationId xmlns:a16="http://schemas.microsoft.com/office/drawing/2014/main" xmlns="" id="{00000000-0008-0000-0700-000083000000}"/>
            </a:ext>
          </a:extLst>
        </xdr:cNvPr>
        <xdr:cNvCxnSpPr/>
      </xdr:nvCxnSpPr>
      <xdr:spPr>
        <a:xfrm>
          <a:off x="24666466" y="10411811"/>
          <a:ext cx="3810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41</xdr:col>
      <xdr:colOff>571499</xdr:colOff>
      <xdr:row>51</xdr:row>
      <xdr:rowOff>177362</xdr:rowOff>
    </xdr:from>
    <xdr:ext cx="328449" cy="266700"/>
    <xdr:sp macro="" textlink="">
      <xdr:nvSpPr>
        <xdr:cNvPr id="134" name="TextBox 133">
          <a:extLst>
            <a:ext uri="{FF2B5EF4-FFF2-40B4-BE49-F238E27FC236}">
              <a16:creationId xmlns:a16="http://schemas.microsoft.com/office/drawing/2014/main" xmlns="" id="{00000000-0008-0000-0700-000086000000}"/>
            </a:ext>
          </a:extLst>
        </xdr:cNvPr>
        <xdr:cNvSpPr txBox="1"/>
      </xdr:nvSpPr>
      <xdr:spPr>
        <a:xfrm>
          <a:off x="25618965" y="10300138"/>
          <a:ext cx="328449"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A</a:t>
          </a:r>
        </a:p>
      </xdr:txBody>
    </xdr:sp>
    <xdr:clientData/>
  </xdr:oneCellAnchor>
  <xdr:twoCellAnchor>
    <xdr:from>
      <xdr:col>43</xdr:col>
      <xdr:colOff>558362</xdr:colOff>
      <xdr:row>55</xdr:row>
      <xdr:rowOff>111670</xdr:rowOff>
    </xdr:from>
    <xdr:to>
      <xdr:col>43</xdr:col>
      <xdr:colOff>558362</xdr:colOff>
      <xdr:row>61</xdr:row>
      <xdr:rowOff>111673</xdr:rowOff>
    </xdr:to>
    <xdr:cxnSp macro="">
      <xdr:nvCxnSpPr>
        <xdr:cNvPr id="135" name="Straight Arrow Connector 134">
          <a:extLst>
            <a:ext uri="{FF2B5EF4-FFF2-40B4-BE49-F238E27FC236}">
              <a16:creationId xmlns:a16="http://schemas.microsoft.com/office/drawing/2014/main" xmlns="" id="{00000000-0008-0000-0700-000087000000}"/>
            </a:ext>
          </a:extLst>
        </xdr:cNvPr>
        <xdr:cNvCxnSpPr/>
      </xdr:nvCxnSpPr>
      <xdr:spPr>
        <a:xfrm>
          <a:off x="26827655" y="11035860"/>
          <a:ext cx="0" cy="120212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564931</xdr:colOff>
      <xdr:row>58</xdr:row>
      <xdr:rowOff>98533</xdr:rowOff>
    </xdr:from>
    <xdr:to>
      <xdr:col>45</xdr:col>
      <xdr:colOff>610913</xdr:colOff>
      <xdr:row>58</xdr:row>
      <xdr:rowOff>98533</xdr:rowOff>
    </xdr:to>
    <xdr:cxnSp macro="">
      <xdr:nvCxnSpPr>
        <xdr:cNvPr id="136" name="Straight Arrow Connector 135">
          <a:extLst>
            <a:ext uri="{FF2B5EF4-FFF2-40B4-BE49-F238E27FC236}">
              <a16:creationId xmlns:a16="http://schemas.microsoft.com/office/drawing/2014/main" xmlns="" id="{00000000-0008-0000-0700-000088000000}"/>
            </a:ext>
          </a:extLst>
        </xdr:cNvPr>
        <xdr:cNvCxnSpPr/>
      </xdr:nvCxnSpPr>
      <xdr:spPr>
        <a:xfrm>
          <a:off x="26834224" y="11627067"/>
          <a:ext cx="126781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46</xdr:col>
      <xdr:colOff>571500</xdr:colOff>
      <xdr:row>57</xdr:row>
      <xdr:rowOff>170793</xdr:rowOff>
    </xdr:from>
    <xdr:ext cx="939363" cy="266700"/>
    <xdr:sp macro="" textlink="">
      <xdr:nvSpPr>
        <xdr:cNvPr id="138" name="TextBox 137">
          <a:extLst>
            <a:ext uri="{FF2B5EF4-FFF2-40B4-BE49-F238E27FC236}">
              <a16:creationId xmlns:a16="http://schemas.microsoft.com/office/drawing/2014/main" xmlns="" id="{00000000-0008-0000-0700-00008A000000}"/>
            </a:ext>
          </a:extLst>
        </xdr:cNvPr>
        <xdr:cNvSpPr txBox="1"/>
      </xdr:nvSpPr>
      <xdr:spPr>
        <a:xfrm>
          <a:off x="28673534" y="11502259"/>
          <a:ext cx="939363"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SCKB</a:t>
          </a:r>
          <a:r>
            <a:rPr lang="en-US" sz="1000" b="1" baseline="0"/>
            <a:t> (PAD)</a:t>
          </a:r>
          <a:endParaRPr lang="en-US" sz="1000" b="1"/>
        </a:p>
      </xdr:txBody>
    </xdr:sp>
    <xdr:clientData/>
  </xdr:oneCellAnchor>
  <xdr:twoCellAnchor>
    <xdr:from>
      <xdr:col>43</xdr:col>
      <xdr:colOff>551793</xdr:colOff>
      <xdr:row>61</xdr:row>
      <xdr:rowOff>105104</xdr:rowOff>
    </xdr:from>
    <xdr:to>
      <xdr:col>45</xdr:col>
      <xdr:colOff>610913</xdr:colOff>
      <xdr:row>61</xdr:row>
      <xdr:rowOff>105104</xdr:rowOff>
    </xdr:to>
    <xdr:cxnSp macro="">
      <xdr:nvCxnSpPr>
        <xdr:cNvPr id="141" name="Straight Arrow Connector 140">
          <a:extLst>
            <a:ext uri="{FF2B5EF4-FFF2-40B4-BE49-F238E27FC236}">
              <a16:creationId xmlns:a16="http://schemas.microsoft.com/office/drawing/2014/main" xmlns="" id="{00000000-0008-0000-0700-00008D000000}"/>
            </a:ext>
          </a:extLst>
        </xdr:cNvPr>
        <xdr:cNvCxnSpPr/>
      </xdr:nvCxnSpPr>
      <xdr:spPr>
        <a:xfrm>
          <a:off x="26821086" y="12231414"/>
          <a:ext cx="128094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46</xdr:col>
      <xdr:colOff>571500</xdr:colOff>
      <xdr:row>60</xdr:row>
      <xdr:rowOff>170794</xdr:rowOff>
    </xdr:from>
    <xdr:ext cx="1346638" cy="266700"/>
    <xdr:sp macro="" textlink="">
      <xdr:nvSpPr>
        <xdr:cNvPr id="143" name="TextBox 142">
          <a:extLst>
            <a:ext uri="{FF2B5EF4-FFF2-40B4-BE49-F238E27FC236}">
              <a16:creationId xmlns:a16="http://schemas.microsoft.com/office/drawing/2014/main" xmlns="" id="{00000000-0008-0000-0700-00008F000000}"/>
            </a:ext>
          </a:extLst>
        </xdr:cNvPr>
        <xdr:cNvSpPr txBox="1"/>
      </xdr:nvSpPr>
      <xdr:spPr>
        <a:xfrm>
          <a:off x="28673534" y="12106604"/>
          <a:ext cx="1346638"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SCKB</a:t>
          </a:r>
          <a:r>
            <a:rPr lang="en-US" sz="1000" b="1" baseline="0"/>
            <a:t> loopback clock</a:t>
          </a:r>
          <a:endParaRPr lang="en-US" sz="1000" b="1"/>
        </a:p>
      </xdr:txBody>
    </xdr:sp>
    <xdr:clientData/>
  </xdr:oneCellAnchor>
  <xdr:twoCellAnchor>
    <xdr:from>
      <xdr:col>30</xdr:col>
      <xdr:colOff>394138</xdr:colOff>
      <xdr:row>65</xdr:row>
      <xdr:rowOff>170793</xdr:rowOff>
    </xdr:from>
    <xdr:to>
      <xdr:col>32</xdr:col>
      <xdr:colOff>192398</xdr:colOff>
      <xdr:row>70</xdr:row>
      <xdr:rowOff>188363</xdr:rowOff>
    </xdr:to>
    <xdr:sp macro="" textlink="">
      <xdr:nvSpPr>
        <xdr:cNvPr id="144" name="Rectangle 143">
          <a:extLst>
            <a:ext uri="{FF2B5EF4-FFF2-40B4-BE49-F238E27FC236}">
              <a16:creationId xmlns:a16="http://schemas.microsoft.com/office/drawing/2014/main" xmlns="" id="{00000000-0008-0000-0700-000090000000}"/>
            </a:ext>
          </a:extLst>
        </xdr:cNvPr>
        <xdr:cNvSpPr/>
      </xdr:nvSpPr>
      <xdr:spPr>
        <a:xfrm>
          <a:off x="18721552" y="13091948"/>
          <a:ext cx="1020087" cy="10291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DQS-A Clk. Sel.</a:t>
          </a:r>
          <a:endParaRPr lang="en-US" sz="1100" baseline="0"/>
        </a:p>
        <a:p>
          <a:pPr algn="ctr"/>
          <a:r>
            <a:rPr lang="en-US" sz="900"/>
            <a:t>QuadSPI_MCR[SCLKCFG][0]</a:t>
          </a:r>
        </a:p>
      </xdr:txBody>
    </xdr:sp>
    <xdr:clientData/>
  </xdr:twoCellAnchor>
  <xdr:oneCellAnchor>
    <xdr:from>
      <xdr:col>26</xdr:col>
      <xdr:colOff>302173</xdr:colOff>
      <xdr:row>65</xdr:row>
      <xdr:rowOff>164224</xdr:rowOff>
    </xdr:from>
    <xdr:ext cx="328449" cy="266700"/>
    <xdr:sp macro="" textlink="">
      <xdr:nvSpPr>
        <xdr:cNvPr id="145" name="TextBox 144">
          <a:hlinkClick xmlns:r="http://schemas.openxmlformats.org/officeDocument/2006/relationships" r:id="rId7"/>
          <a:extLst>
            <a:ext uri="{FF2B5EF4-FFF2-40B4-BE49-F238E27FC236}">
              <a16:creationId xmlns:a16="http://schemas.microsoft.com/office/drawing/2014/main" xmlns="" id="{00000000-0008-0000-0700-000091000000}"/>
            </a:ext>
          </a:extLst>
        </xdr:cNvPr>
        <xdr:cNvSpPr txBox="1"/>
      </xdr:nvSpPr>
      <xdr:spPr>
        <a:xfrm>
          <a:off x="16185932" y="13085379"/>
          <a:ext cx="328449"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A</a:t>
          </a:r>
        </a:p>
      </xdr:txBody>
    </xdr:sp>
    <xdr:clientData/>
  </xdr:oneCellAnchor>
  <xdr:twoCellAnchor>
    <xdr:from>
      <xdr:col>28</xdr:col>
      <xdr:colOff>0</xdr:colOff>
      <xdr:row>66</xdr:row>
      <xdr:rowOff>105104</xdr:rowOff>
    </xdr:from>
    <xdr:to>
      <xdr:col>30</xdr:col>
      <xdr:colOff>394138</xdr:colOff>
      <xdr:row>66</xdr:row>
      <xdr:rowOff>105104</xdr:rowOff>
    </xdr:to>
    <xdr:cxnSp macro="">
      <xdr:nvCxnSpPr>
        <xdr:cNvPr id="146" name="Straight Arrow Connector 145">
          <a:extLst>
            <a:ext uri="{FF2B5EF4-FFF2-40B4-BE49-F238E27FC236}">
              <a16:creationId xmlns:a16="http://schemas.microsoft.com/office/drawing/2014/main" xmlns="" id="{00000000-0008-0000-0700-000092000000}"/>
            </a:ext>
          </a:extLst>
        </xdr:cNvPr>
        <xdr:cNvCxnSpPr/>
      </xdr:nvCxnSpPr>
      <xdr:spPr>
        <a:xfrm>
          <a:off x="17105586" y="13223328"/>
          <a:ext cx="16159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24</xdr:col>
      <xdr:colOff>440121</xdr:colOff>
      <xdr:row>68</xdr:row>
      <xdr:rowOff>164224</xdr:rowOff>
    </xdr:from>
    <xdr:ext cx="1438604" cy="266700"/>
    <xdr:sp macro="" textlink="">
      <xdr:nvSpPr>
        <xdr:cNvPr id="148" name="TextBox 147">
          <a:hlinkClick xmlns:r="http://schemas.openxmlformats.org/officeDocument/2006/relationships" r:id="rId8"/>
          <a:extLst>
            <a:ext uri="{FF2B5EF4-FFF2-40B4-BE49-F238E27FC236}">
              <a16:creationId xmlns:a16="http://schemas.microsoft.com/office/drawing/2014/main" xmlns="" id="{00000000-0008-0000-0700-000094000000}"/>
            </a:ext>
          </a:extLst>
        </xdr:cNvPr>
        <xdr:cNvSpPr txBox="1"/>
      </xdr:nvSpPr>
      <xdr:spPr>
        <a:xfrm>
          <a:off x="15102052" y="13689724"/>
          <a:ext cx="143860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SCKA</a:t>
          </a:r>
          <a:r>
            <a:rPr lang="en-US" sz="1000" b="1" baseline="0"/>
            <a:t> loopback clock</a:t>
          </a:r>
          <a:endParaRPr lang="en-US" sz="1000" b="1"/>
        </a:p>
      </xdr:txBody>
    </xdr:sp>
    <xdr:clientData/>
  </xdr:oneCellAnchor>
  <xdr:twoCellAnchor>
    <xdr:from>
      <xdr:col>28</xdr:col>
      <xdr:colOff>0</xdr:colOff>
      <xdr:row>69</xdr:row>
      <xdr:rowOff>105103</xdr:rowOff>
    </xdr:from>
    <xdr:to>
      <xdr:col>30</xdr:col>
      <xdr:colOff>394138</xdr:colOff>
      <xdr:row>69</xdr:row>
      <xdr:rowOff>105103</xdr:rowOff>
    </xdr:to>
    <xdr:cxnSp macro="">
      <xdr:nvCxnSpPr>
        <xdr:cNvPr id="149" name="Straight Arrow Connector 148">
          <a:extLst>
            <a:ext uri="{FF2B5EF4-FFF2-40B4-BE49-F238E27FC236}">
              <a16:creationId xmlns:a16="http://schemas.microsoft.com/office/drawing/2014/main" xmlns="" id="{00000000-0008-0000-0700-000095000000}"/>
            </a:ext>
          </a:extLst>
        </xdr:cNvPr>
        <xdr:cNvCxnSpPr/>
      </xdr:nvCxnSpPr>
      <xdr:spPr>
        <a:xfrm>
          <a:off x="17105586" y="13827672"/>
          <a:ext cx="16159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30</xdr:col>
      <xdr:colOff>571501</xdr:colOff>
      <xdr:row>72</xdr:row>
      <xdr:rowOff>6569</xdr:rowOff>
    </xdr:from>
    <xdr:ext cx="1379482" cy="371475"/>
    <xdr:sp macro="" textlink="">
      <xdr:nvSpPr>
        <xdr:cNvPr id="150" name="TextBox 149">
          <a:extLst>
            <a:ext uri="{FF2B5EF4-FFF2-40B4-BE49-F238E27FC236}">
              <a16:creationId xmlns:a16="http://schemas.microsoft.com/office/drawing/2014/main" xmlns="" id="{00000000-0008-0000-0700-000096000000}"/>
            </a:ext>
          </a:extLst>
        </xdr:cNvPr>
        <xdr:cNvSpPr txBox="1"/>
      </xdr:nvSpPr>
      <xdr:spPr>
        <a:xfrm>
          <a:off x="18898915" y="14359759"/>
          <a:ext cx="137948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"A"</a:t>
          </a:r>
          <a:endParaRPr lang="en-US" sz="800"/>
        </a:p>
        <a:p>
          <a:r>
            <a:rPr lang="en-US" sz="800"/>
            <a:t>1 - </a:t>
          </a:r>
          <a:r>
            <a:rPr lang="en-US" sz="800" baseline="0">
              <a:solidFill>
                <a:schemeClr val="tx1"/>
              </a:solidFill>
              <a:effectLst/>
              <a:latin typeface="+mn-lt"/>
              <a:ea typeface="+mn-ea"/>
              <a:cs typeface="+mn-cs"/>
            </a:rPr>
            <a:t>SCKA Loopback Clock</a:t>
          </a:r>
          <a:endParaRPr lang="en-US" sz="800"/>
        </a:p>
      </xdr:txBody>
    </xdr:sp>
    <xdr:clientData/>
  </xdr:oneCellAnchor>
  <xdr:twoCellAnchor>
    <xdr:from>
      <xdr:col>32</xdr:col>
      <xdr:colOff>190500</xdr:colOff>
      <xdr:row>68</xdr:row>
      <xdr:rowOff>19707</xdr:rowOff>
    </xdr:from>
    <xdr:to>
      <xdr:col>35</xdr:col>
      <xdr:colOff>13138</xdr:colOff>
      <xdr:row>68</xdr:row>
      <xdr:rowOff>19707</xdr:rowOff>
    </xdr:to>
    <xdr:cxnSp macro="">
      <xdr:nvCxnSpPr>
        <xdr:cNvPr id="151" name="Straight Arrow Connector 150">
          <a:extLst>
            <a:ext uri="{FF2B5EF4-FFF2-40B4-BE49-F238E27FC236}">
              <a16:creationId xmlns:a16="http://schemas.microsoft.com/office/drawing/2014/main" xmlns="" id="{00000000-0008-0000-0700-000097000000}"/>
            </a:ext>
          </a:extLst>
        </xdr:cNvPr>
        <xdr:cNvCxnSpPr/>
      </xdr:nvCxnSpPr>
      <xdr:spPr>
        <a:xfrm>
          <a:off x="19739741" y="13558345"/>
          <a:ext cx="16553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486104</xdr:colOff>
      <xdr:row>66</xdr:row>
      <xdr:rowOff>98535</xdr:rowOff>
    </xdr:from>
    <xdr:to>
      <xdr:col>36</xdr:col>
      <xdr:colOff>606</xdr:colOff>
      <xdr:row>68</xdr:row>
      <xdr:rowOff>209443</xdr:rowOff>
    </xdr:to>
    <xdr:grpSp>
      <xdr:nvGrpSpPr>
        <xdr:cNvPr id="152" name="Group 151">
          <a:extLst>
            <a:ext uri="{FF2B5EF4-FFF2-40B4-BE49-F238E27FC236}">
              <a16:creationId xmlns:a16="http://schemas.microsoft.com/office/drawing/2014/main" xmlns="" id="{00000000-0008-0000-0700-000098000000}"/>
            </a:ext>
          </a:extLst>
        </xdr:cNvPr>
        <xdr:cNvGrpSpPr/>
      </xdr:nvGrpSpPr>
      <xdr:grpSpPr>
        <a:xfrm>
          <a:off x="21212504" y="12846795"/>
          <a:ext cx="733702" cy="499528"/>
          <a:chOff x="23700222" y="6883164"/>
          <a:chExt cx="736330" cy="498477"/>
        </a:xfrm>
      </xdr:grpSpPr>
      <xdr:grpSp>
        <xdr:nvGrpSpPr>
          <xdr:cNvPr id="153" name="Group 152">
            <a:extLst>
              <a:ext uri="{FF2B5EF4-FFF2-40B4-BE49-F238E27FC236}">
                <a16:creationId xmlns:a16="http://schemas.microsoft.com/office/drawing/2014/main" xmlns="" id="{00000000-0008-0000-0700-000099000000}"/>
              </a:ext>
            </a:extLst>
          </xdr:cNvPr>
          <xdr:cNvGrpSpPr/>
        </xdr:nvGrpSpPr>
        <xdr:grpSpPr>
          <a:xfrm>
            <a:off x="23700222" y="6883164"/>
            <a:ext cx="736330" cy="498477"/>
            <a:chOff x="23700222" y="6883164"/>
            <a:chExt cx="736330" cy="498477"/>
          </a:xfrm>
        </xdr:grpSpPr>
        <xdr:sp macro="" textlink="">
          <xdr:nvSpPr>
            <xdr:cNvPr id="155" name="Isosceles Triangle 154">
              <a:extLst>
                <a:ext uri="{FF2B5EF4-FFF2-40B4-BE49-F238E27FC236}">
                  <a16:creationId xmlns:a16="http://schemas.microsoft.com/office/drawing/2014/main" xmlns="" id="{00000000-0008-0000-0700-00009B000000}"/>
                </a:ext>
              </a:extLst>
            </xdr:cNvPr>
            <xdr:cNvSpPr/>
          </xdr:nvSpPr>
          <xdr:spPr>
            <a:xfrm rot="19990841">
              <a:off x="23700222" y="6883164"/>
              <a:ext cx="538129" cy="49847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6" name="Oval 155">
              <a:extLst>
                <a:ext uri="{FF2B5EF4-FFF2-40B4-BE49-F238E27FC236}">
                  <a16:creationId xmlns:a16="http://schemas.microsoft.com/office/drawing/2014/main" xmlns="" id="{00000000-0008-0000-0700-00009C000000}"/>
                </a:ext>
              </a:extLst>
            </xdr:cNvPr>
            <xdr:cNvSpPr/>
          </xdr:nvSpPr>
          <xdr:spPr>
            <a:xfrm>
              <a:off x="24344586" y="7173310"/>
              <a:ext cx="91966" cy="10510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54" name="TextBox 153">
            <a:extLst>
              <a:ext uri="{FF2B5EF4-FFF2-40B4-BE49-F238E27FC236}">
                <a16:creationId xmlns:a16="http://schemas.microsoft.com/office/drawing/2014/main" xmlns="" id="{00000000-0008-0000-0700-00009A000000}"/>
              </a:ext>
            </a:extLst>
          </xdr:cNvPr>
          <xdr:cNvSpPr txBox="1"/>
        </xdr:nvSpPr>
        <xdr:spPr>
          <a:xfrm>
            <a:off x="23805931" y="7094483"/>
            <a:ext cx="624051" cy="19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chemeClr val="bg1"/>
                </a:solidFill>
              </a:rPr>
              <a:t>Inverter</a:t>
            </a:r>
          </a:p>
        </xdr:txBody>
      </xdr:sp>
    </xdr:grpSp>
    <xdr:clientData/>
  </xdr:twoCellAnchor>
  <xdr:twoCellAnchor>
    <xdr:from>
      <xdr:col>36</xdr:col>
      <xdr:colOff>0</xdr:colOff>
      <xdr:row>68</xdr:row>
      <xdr:rowOff>39414</xdr:rowOff>
    </xdr:from>
    <xdr:to>
      <xdr:col>37</xdr:col>
      <xdr:colOff>440121</xdr:colOff>
      <xdr:row>68</xdr:row>
      <xdr:rowOff>39414</xdr:rowOff>
    </xdr:to>
    <xdr:cxnSp macro="">
      <xdr:nvCxnSpPr>
        <xdr:cNvPr id="158" name="Straight Arrow Connector 157">
          <a:extLst>
            <a:ext uri="{FF2B5EF4-FFF2-40B4-BE49-F238E27FC236}">
              <a16:creationId xmlns:a16="http://schemas.microsoft.com/office/drawing/2014/main" xmlns="" id="{00000000-0008-0000-0700-00009E000000}"/>
            </a:ext>
          </a:extLst>
        </xdr:cNvPr>
        <xdr:cNvCxnSpPr/>
      </xdr:nvCxnSpPr>
      <xdr:spPr>
        <a:xfrm>
          <a:off x="21992897" y="13578052"/>
          <a:ext cx="10510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111672</xdr:colOff>
      <xdr:row>68</xdr:row>
      <xdr:rowOff>19707</xdr:rowOff>
    </xdr:from>
    <xdr:to>
      <xdr:col>34</xdr:col>
      <xdr:colOff>111672</xdr:colOff>
      <xdr:row>71</xdr:row>
      <xdr:rowOff>19706</xdr:rowOff>
    </xdr:to>
    <xdr:cxnSp macro="">
      <xdr:nvCxnSpPr>
        <xdr:cNvPr id="160" name="Straight Arrow Connector 159">
          <a:extLst>
            <a:ext uri="{FF2B5EF4-FFF2-40B4-BE49-F238E27FC236}">
              <a16:creationId xmlns:a16="http://schemas.microsoft.com/office/drawing/2014/main" xmlns="" id="{00000000-0008-0000-0700-0000A0000000}"/>
            </a:ext>
          </a:extLst>
        </xdr:cNvPr>
        <xdr:cNvCxnSpPr/>
      </xdr:nvCxnSpPr>
      <xdr:spPr>
        <a:xfrm>
          <a:off x="20882741" y="13558345"/>
          <a:ext cx="0" cy="63062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105103</xdr:colOff>
      <xdr:row>71</xdr:row>
      <xdr:rowOff>13138</xdr:rowOff>
    </xdr:from>
    <xdr:to>
      <xdr:col>37</xdr:col>
      <xdr:colOff>440121</xdr:colOff>
      <xdr:row>71</xdr:row>
      <xdr:rowOff>13138</xdr:rowOff>
    </xdr:to>
    <xdr:cxnSp macro="">
      <xdr:nvCxnSpPr>
        <xdr:cNvPr id="161" name="Straight Arrow Connector 160">
          <a:extLst>
            <a:ext uri="{FF2B5EF4-FFF2-40B4-BE49-F238E27FC236}">
              <a16:creationId xmlns:a16="http://schemas.microsoft.com/office/drawing/2014/main" xmlns="" id="{00000000-0008-0000-0700-0000A1000000}"/>
            </a:ext>
          </a:extLst>
        </xdr:cNvPr>
        <xdr:cNvCxnSpPr/>
      </xdr:nvCxnSpPr>
      <xdr:spPr>
        <a:xfrm>
          <a:off x="20876172" y="14182397"/>
          <a:ext cx="216775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459828</xdr:colOff>
      <xdr:row>66</xdr:row>
      <xdr:rowOff>177362</xdr:rowOff>
    </xdr:from>
    <xdr:to>
      <xdr:col>39</xdr:col>
      <xdr:colOff>258087</xdr:colOff>
      <xdr:row>71</xdr:row>
      <xdr:rowOff>181794</xdr:rowOff>
    </xdr:to>
    <xdr:sp macro="" textlink="">
      <xdr:nvSpPr>
        <xdr:cNvPr id="163" name="Rectangle 162">
          <a:extLst>
            <a:ext uri="{FF2B5EF4-FFF2-40B4-BE49-F238E27FC236}">
              <a16:creationId xmlns:a16="http://schemas.microsoft.com/office/drawing/2014/main" xmlns="" id="{00000000-0008-0000-0700-0000A3000000}"/>
            </a:ext>
          </a:extLst>
        </xdr:cNvPr>
        <xdr:cNvSpPr/>
      </xdr:nvSpPr>
      <xdr:spPr>
        <a:xfrm>
          <a:off x="23063638" y="13295586"/>
          <a:ext cx="1020087" cy="105546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DQS-A Clk. Sel. 2</a:t>
          </a:r>
        </a:p>
        <a:p>
          <a:pPr algn="ctr"/>
          <a:r>
            <a:rPr lang="en-US" sz="900" baseline="0"/>
            <a:t>No  effect on clk freq.</a:t>
          </a:r>
        </a:p>
        <a:p>
          <a:pPr algn="ctr"/>
          <a:r>
            <a:rPr lang="en-US" sz="900"/>
            <a:t>QuadSPI_MCR[SCLKCFG][1]</a:t>
          </a:r>
        </a:p>
      </xdr:txBody>
    </xdr:sp>
    <xdr:clientData/>
  </xdr:twoCellAnchor>
  <xdr:twoCellAnchor>
    <xdr:from>
      <xdr:col>39</xdr:col>
      <xdr:colOff>262759</xdr:colOff>
      <xdr:row>69</xdr:row>
      <xdr:rowOff>19707</xdr:rowOff>
    </xdr:from>
    <xdr:to>
      <xdr:col>41</xdr:col>
      <xdr:colOff>374431</xdr:colOff>
      <xdr:row>69</xdr:row>
      <xdr:rowOff>19707</xdr:rowOff>
    </xdr:to>
    <xdr:cxnSp macro="">
      <xdr:nvCxnSpPr>
        <xdr:cNvPr id="164" name="Straight Arrow Connector 163">
          <a:extLst>
            <a:ext uri="{FF2B5EF4-FFF2-40B4-BE49-F238E27FC236}">
              <a16:creationId xmlns:a16="http://schemas.microsoft.com/office/drawing/2014/main" xmlns="" id="{00000000-0008-0000-0700-0000A4000000}"/>
            </a:ext>
          </a:extLst>
        </xdr:cNvPr>
        <xdr:cNvCxnSpPr/>
      </xdr:nvCxnSpPr>
      <xdr:spPr>
        <a:xfrm>
          <a:off x="24088397" y="13768552"/>
          <a:ext cx="13335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400706</xdr:colOff>
      <xdr:row>66</xdr:row>
      <xdr:rowOff>190501</xdr:rowOff>
    </xdr:from>
    <xdr:to>
      <xdr:col>43</xdr:col>
      <xdr:colOff>198966</xdr:colOff>
      <xdr:row>71</xdr:row>
      <xdr:rowOff>194933</xdr:rowOff>
    </xdr:to>
    <xdr:sp macro="" textlink="">
      <xdr:nvSpPr>
        <xdr:cNvPr id="166" name="Rectangle 165">
          <a:extLst>
            <a:ext uri="{FF2B5EF4-FFF2-40B4-BE49-F238E27FC236}">
              <a16:creationId xmlns:a16="http://schemas.microsoft.com/office/drawing/2014/main" xmlns="" id="{00000000-0008-0000-0700-0000A6000000}"/>
            </a:ext>
          </a:extLst>
        </xdr:cNvPr>
        <xdr:cNvSpPr/>
      </xdr:nvSpPr>
      <xdr:spPr>
        <a:xfrm>
          <a:off x="25448172" y="13308725"/>
          <a:ext cx="1020087" cy="105546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DQS-A Delay Chain</a:t>
          </a:r>
        </a:p>
        <a:p>
          <a:pPr algn="ctr"/>
          <a:r>
            <a:rPr lang="en-US" sz="900" baseline="0"/>
            <a:t>No  effect on clk freq.</a:t>
          </a:r>
        </a:p>
        <a:p>
          <a:pPr algn="ctr"/>
          <a:r>
            <a:rPr lang="en-US" sz="900"/>
            <a:t>QuadSPI_SOCCR[SOCCFG][7:0]</a:t>
          </a:r>
        </a:p>
      </xdr:txBody>
    </xdr:sp>
    <xdr:clientData/>
  </xdr:twoCellAnchor>
  <xdr:twoCellAnchor>
    <xdr:from>
      <xdr:col>43</xdr:col>
      <xdr:colOff>190500</xdr:colOff>
      <xdr:row>69</xdr:row>
      <xdr:rowOff>26276</xdr:rowOff>
    </xdr:from>
    <xdr:to>
      <xdr:col>50</xdr:col>
      <xdr:colOff>361950</xdr:colOff>
      <xdr:row>69</xdr:row>
      <xdr:rowOff>26276</xdr:rowOff>
    </xdr:to>
    <xdr:cxnSp macro="">
      <xdr:nvCxnSpPr>
        <xdr:cNvPr id="168" name="Straight Arrow Connector 167">
          <a:extLst>
            <a:ext uri="{FF2B5EF4-FFF2-40B4-BE49-F238E27FC236}">
              <a16:creationId xmlns:a16="http://schemas.microsoft.com/office/drawing/2014/main" xmlns="" id="{00000000-0008-0000-0700-0000A8000000}"/>
            </a:ext>
          </a:extLst>
        </xdr:cNvPr>
        <xdr:cNvCxnSpPr/>
      </xdr:nvCxnSpPr>
      <xdr:spPr>
        <a:xfrm>
          <a:off x="26403300" y="14075651"/>
          <a:ext cx="44386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400707</xdr:colOff>
      <xdr:row>77</xdr:row>
      <xdr:rowOff>78828</xdr:rowOff>
    </xdr:from>
    <xdr:to>
      <xdr:col>32</xdr:col>
      <xdr:colOff>198967</xdr:colOff>
      <xdr:row>82</xdr:row>
      <xdr:rowOff>181795</xdr:rowOff>
    </xdr:to>
    <xdr:sp macro="" textlink="">
      <xdr:nvSpPr>
        <xdr:cNvPr id="171" name="Rectangle 170">
          <a:extLst>
            <a:ext uri="{FF2B5EF4-FFF2-40B4-BE49-F238E27FC236}">
              <a16:creationId xmlns:a16="http://schemas.microsoft.com/office/drawing/2014/main" xmlns="" id="{00000000-0008-0000-0700-0000AB000000}"/>
            </a:ext>
          </a:extLst>
        </xdr:cNvPr>
        <xdr:cNvSpPr/>
      </xdr:nvSpPr>
      <xdr:spPr>
        <a:xfrm>
          <a:off x="18728121" y="15417362"/>
          <a:ext cx="1020087" cy="11145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DQS-B Clk. Sel.</a:t>
          </a:r>
          <a:endParaRPr lang="en-US" sz="1100" baseline="0"/>
        </a:p>
        <a:p>
          <a:pPr algn="ctr"/>
          <a:r>
            <a:rPr lang="en-US" sz="900"/>
            <a:t>QuadSPI_MCR[SCLKCFG][2]</a:t>
          </a:r>
        </a:p>
      </xdr:txBody>
    </xdr:sp>
    <xdr:clientData/>
  </xdr:twoCellAnchor>
  <xdr:oneCellAnchor>
    <xdr:from>
      <xdr:col>30</xdr:col>
      <xdr:colOff>571500</xdr:colOff>
      <xdr:row>83</xdr:row>
      <xdr:rowOff>183931</xdr:rowOff>
    </xdr:from>
    <xdr:ext cx="1379482" cy="371475"/>
    <xdr:sp macro="" textlink="">
      <xdr:nvSpPr>
        <xdr:cNvPr id="172" name="TextBox 171">
          <a:extLst>
            <a:ext uri="{FF2B5EF4-FFF2-40B4-BE49-F238E27FC236}">
              <a16:creationId xmlns:a16="http://schemas.microsoft.com/office/drawing/2014/main" xmlns="" id="{00000000-0008-0000-0700-0000AC000000}"/>
            </a:ext>
          </a:extLst>
        </xdr:cNvPr>
        <xdr:cNvSpPr txBox="1"/>
      </xdr:nvSpPr>
      <xdr:spPr>
        <a:xfrm>
          <a:off x="18898914" y="16672034"/>
          <a:ext cx="137948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"A"</a:t>
          </a:r>
          <a:endParaRPr lang="en-US" sz="800"/>
        </a:p>
        <a:p>
          <a:r>
            <a:rPr lang="en-US" sz="800"/>
            <a:t>1 - </a:t>
          </a:r>
          <a:r>
            <a:rPr lang="en-US" sz="800" baseline="0">
              <a:solidFill>
                <a:schemeClr val="tx1"/>
              </a:solidFill>
              <a:effectLst/>
              <a:latin typeface="+mn-lt"/>
              <a:ea typeface="+mn-ea"/>
              <a:cs typeface="+mn-cs"/>
            </a:rPr>
            <a:t>SCKA Loopback Clock</a:t>
          </a:r>
          <a:endParaRPr lang="en-US" sz="800"/>
        </a:p>
      </xdr:txBody>
    </xdr:sp>
    <xdr:clientData/>
  </xdr:oneCellAnchor>
  <xdr:twoCellAnchor>
    <xdr:from>
      <xdr:col>28</xdr:col>
      <xdr:colOff>0</xdr:colOff>
      <xdr:row>78</xdr:row>
      <xdr:rowOff>98535</xdr:rowOff>
    </xdr:from>
    <xdr:to>
      <xdr:col>30</xdr:col>
      <xdr:colOff>394138</xdr:colOff>
      <xdr:row>78</xdr:row>
      <xdr:rowOff>98535</xdr:rowOff>
    </xdr:to>
    <xdr:cxnSp macro="">
      <xdr:nvCxnSpPr>
        <xdr:cNvPr id="173" name="Straight Arrow Connector 172">
          <a:extLst>
            <a:ext uri="{FF2B5EF4-FFF2-40B4-BE49-F238E27FC236}">
              <a16:creationId xmlns:a16="http://schemas.microsoft.com/office/drawing/2014/main" xmlns="" id="{00000000-0008-0000-0700-0000AD000000}"/>
            </a:ext>
          </a:extLst>
        </xdr:cNvPr>
        <xdr:cNvCxnSpPr/>
      </xdr:nvCxnSpPr>
      <xdr:spPr>
        <a:xfrm>
          <a:off x="17105586" y="15634138"/>
          <a:ext cx="16159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0</xdr:colOff>
      <xdr:row>81</xdr:row>
      <xdr:rowOff>124810</xdr:rowOff>
    </xdr:from>
    <xdr:to>
      <xdr:col>30</xdr:col>
      <xdr:colOff>394138</xdr:colOff>
      <xdr:row>81</xdr:row>
      <xdr:rowOff>124810</xdr:rowOff>
    </xdr:to>
    <xdr:cxnSp macro="">
      <xdr:nvCxnSpPr>
        <xdr:cNvPr id="174" name="Straight Arrow Connector 173">
          <a:extLst>
            <a:ext uri="{FF2B5EF4-FFF2-40B4-BE49-F238E27FC236}">
              <a16:creationId xmlns:a16="http://schemas.microsoft.com/office/drawing/2014/main" xmlns="" id="{00000000-0008-0000-0700-0000AE000000}"/>
            </a:ext>
          </a:extLst>
        </xdr:cNvPr>
        <xdr:cNvCxnSpPr/>
      </xdr:nvCxnSpPr>
      <xdr:spPr>
        <a:xfrm>
          <a:off x="17105586" y="16264758"/>
          <a:ext cx="16159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26</xdr:col>
      <xdr:colOff>302173</xdr:colOff>
      <xdr:row>77</xdr:row>
      <xdr:rowOff>151087</xdr:rowOff>
    </xdr:from>
    <xdr:ext cx="328449" cy="266700"/>
    <xdr:sp macro="" textlink="">
      <xdr:nvSpPr>
        <xdr:cNvPr id="175" name="TextBox 174">
          <a:hlinkClick xmlns:r="http://schemas.openxmlformats.org/officeDocument/2006/relationships" r:id="rId7"/>
          <a:extLst>
            <a:ext uri="{FF2B5EF4-FFF2-40B4-BE49-F238E27FC236}">
              <a16:creationId xmlns:a16="http://schemas.microsoft.com/office/drawing/2014/main" xmlns="" id="{00000000-0008-0000-0700-0000AF000000}"/>
            </a:ext>
          </a:extLst>
        </xdr:cNvPr>
        <xdr:cNvSpPr txBox="1"/>
      </xdr:nvSpPr>
      <xdr:spPr>
        <a:xfrm>
          <a:off x="16185932" y="15489621"/>
          <a:ext cx="328449"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A</a:t>
          </a:r>
        </a:p>
      </xdr:txBody>
    </xdr:sp>
    <xdr:clientData/>
  </xdr:oneCellAnchor>
  <xdr:oneCellAnchor>
    <xdr:from>
      <xdr:col>24</xdr:col>
      <xdr:colOff>440121</xdr:colOff>
      <xdr:row>80</xdr:row>
      <xdr:rowOff>164225</xdr:rowOff>
    </xdr:from>
    <xdr:ext cx="1438604" cy="266700"/>
    <xdr:sp macro="" textlink="">
      <xdr:nvSpPr>
        <xdr:cNvPr id="176" name="TextBox 175">
          <a:hlinkClick xmlns:r="http://schemas.openxmlformats.org/officeDocument/2006/relationships" r:id="rId9"/>
          <a:extLst>
            <a:ext uri="{FF2B5EF4-FFF2-40B4-BE49-F238E27FC236}">
              <a16:creationId xmlns:a16="http://schemas.microsoft.com/office/drawing/2014/main" xmlns="" id="{00000000-0008-0000-0700-0000B0000000}"/>
            </a:ext>
          </a:extLst>
        </xdr:cNvPr>
        <xdr:cNvSpPr txBox="1"/>
      </xdr:nvSpPr>
      <xdr:spPr>
        <a:xfrm>
          <a:off x="15102052" y="16107104"/>
          <a:ext cx="143860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SCKB</a:t>
          </a:r>
          <a:r>
            <a:rPr lang="en-US" sz="1000" b="1" baseline="0"/>
            <a:t> loopback clock</a:t>
          </a:r>
          <a:endParaRPr lang="en-US" sz="1000" b="1"/>
        </a:p>
      </xdr:txBody>
    </xdr:sp>
    <xdr:clientData/>
  </xdr:oneCellAnchor>
  <xdr:twoCellAnchor>
    <xdr:from>
      <xdr:col>32</xdr:col>
      <xdr:colOff>190500</xdr:colOff>
      <xdr:row>80</xdr:row>
      <xdr:rowOff>19707</xdr:rowOff>
    </xdr:from>
    <xdr:to>
      <xdr:col>35</xdr:col>
      <xdr:colOff>13138</xdr:colOff>
      <xdr:row>80</xdr:row>
      <xdr:rowOff>19707</xdr:rowOff>
    </xdr:to>
    <xdr:cxnSp macro="">
      <xdr:nvCxnSpPr>
        <xdr:cNvPr id="179" name="Straight Arrow Connector 178">
          <a:extLst>
            <a:ext uri="{FF2B5EF4-FFF2-40B4-BE49-F238E27FC236}">
              <a16:creationId xmlns:a16="http://schemas.microsoft.com/office/drawing/2014/main" xmlns="" id="{00000000-0008-0000-0700-0000B3000000}"/>
            </a:ext>
          </a:extLst>
        </xdr:cNvPr>
        <xdr:cNvCxnSpPr/>
      </xdr:nvCxnSpPr>
      <xdr:spPr>
        <a:xfrm>
          <a:off x="19739741" y="15962586"/>
          <a:ext cx="16553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479536</xdr:colOff>
      <xdr:row>78</xdr:row>
      <xdr:rowOff>105103</xdr:rowOff>
    </xdr:from>
    <xdr:to>
      <xdr:col>35</xdr:col>
      <xdr:colOff>604952</xdr:colOff>
      <xdr:row>81</xdr:row>
      <xdr:rowOff>5804</xdr:rowOff>
    </xdr:to>
    <xdr:grpSp>
      <xdr:nvGrpSpPr>
        <xdr:cNvPr id="180" name="Group 179">
          <a:extLst>
            <a:ext uri="{FF2B5EF4-FFF2-40B4-BE49-F238E27FC236}">
              <a16:creationId xmlns:a16="http://schemas.microsoft.com/office/drawing/2014/main" xmlns="" id="{00000000-0008-0000-0700-0000B4000000}"/>
            </a:ext>
          </a:extLst>
        </xdr:cNvPr>
        <xdr:cNvGrpSpPr/>
      </xdr:nvGrpSpPr>
      <xdr:grpSpPr>
        <a:xfrm>
          <a:off x="21205936" y="15154603"/>
          <a:ext cx="735016" cy="495061"/>
          <a:chOff x="23700222" y="6883164"/>
          <a:chExt cx="736330" cy="498477"/>
        </a:xfrm>
      </xdr:grpSpPr>
      <xdr:grpSp>
        <xdr:nvGrpSpPr>
          <xdr:cNvPr id="181" name="Group 180">
            <a:extLst>
              <a:ext uri="{FF2B5EF4-FFF2-40B4-BE49-F238E27FC236}">
                <a16:creationId xmlns:a16="http://schemas.microsoft.com/office/drawing/2014/main" xmlns="" id="{00000000-0008-0000-0700-0000B5000000}"/>
              </a:ext>
            </a:extLst>
          </xdr:cNvPr>
          <xdr:cNvGrpSpPr/>
        </xdr:nvGrpSpPr>
        <xdr:grpSpPr>
          <a:xfrm>
            <a:off x="23700222" y="6883164"/>
            <a:ext cx="736330" cy="498477"/>
            <a:chOff x="23700222" y="6883164"/>
            <a:chExt cx="736330" cy="498477"/>
          </a:xfrm>
        </xdr:grpSpPr>
        <xdr:sp macro="" textlink="">
          <xdr:nvSpPr>
            <xdr:cNvPr id="183" name="Isosceles Triangle 182">
              <a:extLst>
                <a:ext uri="{FF2B5EF4-FFF2-40B4-BE49-F238E27FC236}">
                  <a16:creationId xmlns:a16="http://schemas.microsoft.com/office/drawing/2014/main" xmlns="" id="{00000000-0008-0000-0700-0000B7000000}"/>
                </a:ext>
              </a:extLst>
            </xdr:cNvPr>
            <xdr:cNvSpPr/>
          </xdr:nvSpPr>
          <xdr:spPr>
            <a:xfrm rot="19990841">
              <a:off x="23700222" y="6883164"/>
              <a:ext cx="538129" cy="49847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4" name="Oval 183">
              <a:extLst>
                <a:ext uri="{FF2B5EF4-FFF2-40B4-BE49-F238E27FC236}">
                  <a16:creationId xmlns:a16="http://schemas.microsoft.com/office/drawing/2014/main" xmlns="" id="{00000000-0008-0000-0700-0000B8000000}"/>
                </a:ext>
              </a:extLst>
            </xdr:cNvPr>
            <xdr:cNvSpPr/>
          </xdr:nvSpPr>
          <xdr:spPr>
            <a:xfrm>
              <a:off x="24344586" y="7173310"/>
              <a:ext cx="91966" cy="10510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82" name="TextBox 181">
            <a:extLst>
              <a:ext uri="{FF2B5EF4-FFF2-40B4-BE49-F238E27FC236}">
                <a16:creationId xmlns:a16="http://schemas.microsoft.com/office/drawing/2014/main" xmlns="" id="{00000000-0008-0000-0700-0000B6000000}"/>
              </a:ext>
            </a:extLst>
          </xdr:cNvPr>
          <xdr:cNvSpPr txBox="1"/>
        </xdr:nvSpPr>
        <xdr:spPr>
          <a:xfrm>
            <a:off x="23805931" y="7094483"/>
            <a:ext cx="624051" cy="197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chemeClr val="bg1"/>
                </a:solidFill>
              </a:rPr>
              <a:t>Inverter</a:t>
            </a:r>
          </a:p>
        </xdr:txBody>
      </xdr:sp>
    </xdr:grpSp>
    <xdr:clientData/>
  </xdr:twoCellAnchor>
  <xdr:twoCellAnchor>
    <xdr:from>
      <xdr:col>35</xdr:col>
      <xdr:colOff>604346</xdr:colOff>
      <xdr:row>80</xdr:row>
      <xdr:rowOff>45982</xdr:rowOff>
    </xdr:from>
    <xdr:to>
      <xdr:col>37</xdr:col>
      <xdr:colOff>433553</xdr:colOff>
      <xdr:row>80</xdr:row>
      <xdr:rowOff>45982</xdr:rowOff>
    </xdr:to>
    <xdr:cxnSp macro="">
      <xdr:nvCxnSpPr>
        <xdr:cNvPr id="185" name="Straight Arrow Connector 184">
          <a:extLst>
            <a:ext uri="{FF2B5EF4-FFF2-40B4-BE49-F238E27FC236}">
              <a16:creationId xmlns:a16="http://schemas.microsoft.com/office/drawing/2014/main" xmlns="" id="{00000000-0008-0000-0700-0000B9000000}"/>
            </a:ext>
          </a:extLst>
        </xdr:cNvPr>
        <xdr:cNvCxnSpPr/>
      </xdr:nvCxnSpPr>
      <xdr:spPr>
        <a:xfrm>
          <a:off x="21986329" y="16001999"/>
          <a:ext cx="10510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105104</xdr:colOff>
      <xdr:row>80</xdr:row>
      <xdr:rowOff>26275</xdr:rowOff>
    </xdr:from>
    <xdr:to>
      <xdr:col>34</xdr:col>
      <xdr:colOff>105104</xdr:colOff>
      <xdr:row>83</xdr:row>
      <xdr:rowOff>26274</xdr:rowOff>
    </xdr:to>
    <xdr:cxnSp macro="">
      <xdr:nvCxnSpPr>
        <xdr:cNvPr id="186" name="Straight Arrow Connector 185">
          <a:extLst>
            <a:ext uri="{FF2B5EF4-FFF2-40B4-BE49-F238E27FC236}">
              <a16:creationId xmlns:a16="http://schemas.microsoft.com/office/drawing/2014/main" xmlns="" id="{00000000-0008-0000-0700-0000BA000000}"/>
            </a:ext>
          </a:extLst>
        </xdr:cNvPr>
        <xdr:cNvCxnSpPr/>
      </xdr:nvCxnSpPr>
      <xdr:spPr>
        <a:xfrm>
          <a:off x="20876173" y="15982292"/>
          <a:ext cx="0" cy="63062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98535</xdr:colOff>
      <xdr:row>83</xdr:row>
      <xdr:rowOff>19706</xdr:rowOff>
    </xdr:from>
    <xdr:to>
      <xdr:col>37</xdr:col>
      <xdr:colOff>433553</xdr:colOff>
      <xdr:row>83</xdr:row>
      <xdr:rowOff>19706</xdr:rowOff>
    </xdr:to>
    <xdr:cxnSp macro="">
      <xdr:nvCxnSpPr>
        <xdr:cNvPr id="187" name="Straight Arrow Connector 186">
          <a:extLst>
            <a:ext uri="{FF2B5EF4-FFF2-40B4-BE49-F238E27FC236}">
              <a16:creationId xmlns:a16="http://schemas.microsoft.com/office/drawing/2014/main" xmlns="" id="{00000000-0008-0000-0700-0000BB000000}"/>
            </a:ext>
          </a:extLst>
        </xdr:cNvPr>
        <xdr:cNvCxnSpPr/>
      </xdr:nvCxnSpPr>
      <xdr:spPr>
        <a:xfrm>
          <a:off x="20869604" y="16606344"/>
          <a:ext cx="216775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433552</xdr:colOff>
      <xdr:row>78</xdr:row>
      <xdr:rowOff>183931</xdr:rowOff>
    </xdr:from>
    <xdr:to>
      <xdr:col>39</xdr:col>
      <xdr:colOff>231811</xdr:colOff>
      <xdr:row>83</xdr:row>
      <xdr:rowOff>188363</xdr:rowOff>
    </xdr:to>
    <xdr:sp macro="" textlink="">
      <xdr:nvSpPr>
        <xdr:cNvPr id="188" name="Rectangle 187">
          <a:extLst>
            <a:ext uri="{FF2B5EF4-FFF2-40B4-BE49-F238E27FC236}">
              <a16:creationId xmlns:a16="http://schemas.microsoft.com/office/drawing/2014/main" xmlns="" id="{00000000-0008-0000-0700-0000BC000000}"/>
            </a:ext>
          </a:extLst>
        </xdr:cNvPr>
        <xdr:cNvSpPr/>
      </xdr:nvSpPr>
      <xdr:spPr>
        <a:xfrm>
          <a:off x="23037362" y="15719534"/>
          <a:ext cx="1020087" cy="105546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DQS-B Clk. Sel. 2</a:t>
          </a:r>
        </a:p>
        <a:p>
          <a:pPr algn="ctr"/>
          <a:r>
            <a:rPr lang="en-US" sz="900" baseline="0"/>
            <a:t>No  effect on clk freq.</a:t>
          </a:r>
        </a:p>
        <a:p>
          <a:pPr algn="ctr"/>
          <a:r>
            <a:rPr lang="en-US" sz="900"/>
            <a:t>QuadSPI_MCR[SCLKCFG][3]</a:t>
          </a:r>
        </a:p>
      </xdr:txBody>
    </xdr:sp>
    <xdr:clientData/>
  </xdr:twoCellAnchor>
  <xdr:twoCellAnchor>
    <xdr:from>
      <xdr:col>39</xdr:col>
      <xdr:colOff>243052</xdr:colOff>
      <xdr:row>81</xdr:row>
      <xdr:rowOff>26276</xdr:rowOff>
    </xdr:from>
    <xdr:to>
      <xdr:col>41</xdr:col>
      <xdr:colOff>354724</xdr:colOff>
      <xdr:row>81</xdr:row>
      <xdr:rowOff>26276</xdr:rowOff>
    </xdr:to>
    <xdr:cxnSp macro="">
      <xdr:nvCxnSpPr>
        <xdr:cNvPr id="189" name="Straight Arrow Connector 188">
          <a:extLst>
            <a:ext uri="{FF2B5EF4-FFF2-40B4-BE49-F238E27FC236}">
              <a16:creationId xmlns:a16="http://schemas.microsoft.com/office/drawing/2014/main" xmlns="" id="{00000000-0008-0000-0700-0000BD000000}"/>
            </a:ext>
          </a:extLst>
        </xdr:cNvPr>
        <xdr:cNvCxnSpPr/>
      </xdr:nvCxnSpPr>
      <xdr:spPr>
        <a:xfrm>
          <a:off x="24068690" y="16192500"/>
          <a:ext cx="13335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420426</xdr:colOff>
      <xdr:row>78</xdr:row>
      <xdr:rowOff>177362</xdr:rowOff>
    </xdr:from>
    <xdr:to>
      <xdr:col>47</xdr:col>
      <xdr:colOff>218686</xdr:colOff>
      <xdr:row>83</xdr:row>
      <xdr:rowOff>181794</xdr:rowOff>
    </xdr:to>
    <xdr:sp macro="" textlink="">
      <xdr:nvSpPr>
        <xdr:cNvPr id="190" name="Rectangle 189">
          <a:extLst>
            <a:ext uri="{FF2B5EF4-FFF2-40B4-BE49-F238E27FC236}">
              <a16:creationId xmlns:a16="http://schemas.microsoft.com/office/drawing/2014/main" xmlns="" id="{00000000-0008-0000-0700-0000BE000000}"/>
            </a:ext>
          </a:extLst>
        </xdr:cNvPr>
        <xdr:cNvSpPr/>
      </xdr:nvSpPr>
      <xdr:spPr>
        <a:xfrm>
          <a:off x="27911547" y="15712965"/>
          <a:ext cx="1020087" cy="105546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DQS-B Delay Chain</a:t>
          </a:r>
        </a:p>
        <a:p>
          <a:pPr algn="ctr"/>
          <a:r>
            <a:rPr lang="en-US" sz="900" baseline="0"/>
            <a:t>No  effect on clk freq.</a:t>
          </a:r>
        </a:p>
        <a:p>
          <a:pPr algn="ctr"/>
          <a:r>
            <a:rPr lang="en-US" sz="900"/>
            <a:t>QuadSPI_SOCCR[SOCCFG][15:8]</a:t>
          </a:r>
        </a:p>
      </xdr:txBody>
    </xdr:sp>
    <xdr:clientData/>
  </xdr:twoCellAnchor>
  <xdr:twoCellAnchor>
    <xdr:from>
      <xdr:col>47</xdr:col>
      <xdr:colOff>216776</xdr:colOff>
      <xdr:row>81</xdr:row>
      <xdr:rowOff>19707</xdr:rowOff>
    </xdr:from>
    <xdr:to>
      <xdr:col>50</xdr:col>
      <xdr:colOff>361950</xdr:colOff>
      <xdr:row>81</xdr:row>
      <xdr:rowOff>19707</xdr:rowOff>
    </xdr:to>
    <xdr:cxnSp macro="">
      <xdr:nvCxnSpPr>
        <xdr:cNvPr id="191" name="Straight Arrow Connector 190">
          <a:extLst>
            <a:ext uri="{FF2B5EF4-FFF2-40B4-BE49-F238E27FC236}">
              <a16:creationId xmlns:a16="http://schemas.microsoft.com/office/drawing/2014/main" xmlns="" id="{00000000-0008-0000-0700-0000BF000000}"/>
            </a:ext>
          </a:extLst>
        </xdr:cNvPr>
        <xdr:cNvCxnSpPr/>
      </xdr:nvCxnSpPr>
      <xdr:spPr>
        <a:xfrm>
          <a:off x="28867976" y="16488432"/>
          <a:ext cx="197397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395451</xdr:colOff>
      <xdr:row>78</xdr:row>
      <xdr:rowOff>204951</xdr:rowOff>
    </xdr:from>
    <xdr:to>
      <xdr:col>43</xdr:col>
      <xdr:colOff>193711</xdr:colOff>
      <xdr:row>83</xdr:row>
      <xdr:rowOff>189676</xdr:rowOff>
    </xdr:to>
    <xdr:sp macro="" textlink="">
      <xdr:nvSpPr>
        <xdr:cNvPr id="193" name="Rectangle 192">
          <a:hlinkClick xmlns:r="http://schemas.openxmlformats.org/officeDocument/2006/relationships" r:id="rId6"/>
          <a:extLst>
            <a:ext uri="{FF2B5EF4-FFF2-40B4-BE49-F238E27FC236}">
              <a16:creationId xmlns:a16="http://schemas.microsoft.com/office/drawing/2014/main" xmlns="" id="{00000000-0008-0000-0700-0000C1000000}"/>
            </a:ext>
          </a:extLst>
        </xdr:cNvPr>
        <xdr:cNvSpPr/>
      </xdr:nvSpPr>
      <xdr:spPr>
        <a:xfrm>
          <a:off x="25442917" y="15740554"/>
          <a:ext cx="1020087" cy="10357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SFIF/HyperRAM</a:t>
          </a:r>
          <a:r>
            <a:rPr lang="en-US" sz="1100" baseline="0"/>
            <a:t> Selection</a:t>
          </a:r>
        </a:p>
        <a:p>
          <a:pPr algn="ctr"/>
          <a:r>
            <a:rPr lang="en-US" sz="900"/>
            <a:t>QuadSPI_MCR[SCLKCFG][5]</a:t>
          </a:r>
        </a:p>
      </xdr:txBody>
    </xdr:sp>
    <xdr:clientData/>
  </xdr:twoCellAnchor>
  <xdr:oneCellAnchor>
    <xdr:from>
      <xdr:col>41</xdr:col>
      <xdr:colOff>545224</xdr:colOff>
      <xdr:row>85</xdr:row>
      <xdr:rowOff>0</xdr:rowOff>
    </xdr:from>
    <xdr:ext cx="1379482" cy="371475"/>
    <xdr:sp macro="" textlink="">
      <xdr:nvSpPr>
        <xdr:cNvPr id="194" name="TextBox 193">
          <a:extLst>
            <a:ext uri="{FF2B5EF4-FFF2-40B4-BE49-F238E27FC236}">
              <a16:creationId xmlns:a16="http://schemas.microsoft.com/office/drawing/2014/main" xmlns="" id="{00000000-0008-0000-0700-0000C2000000}"/>
            </a:ext>
          </a:extLst>
        </xdr:cNvPr>
        <xdr:cNvSpPr txBox="1"/>
      </xdr:nvSpPr>
      <xdr:spPr>
        <a:xfrm>
          <a:off x="25592690" y="17007052"/>
          <a:ext cx="137948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DQS_B_CLK_PS</a:t>
          </a:r>
          <a:endParaRPr lang="en-US" sz="800"/>
        </a:p>
        <a:p>
          <a:r>
            <a:rPr lang="en-US" sz="800"/>
            <a:t>1 - </a:t>
          </a:r>
          <a:r>
            <a:rPr lang="en-US" sz="800" baseline="0">
              <a:solidFill>
                <a:schemeClr val="tx1"/>
              </a:solidFill>
              <a:effectLst/>
              <a:latin typeface="+mn-lt"/>
              <a:ea typeface="+mn-ea"/>
              <a:cs typeface="+mn-cs"/>
            </a:rPr>
            <a:t>R/W Data Strobe (RWDS)</a:t>
          </a:r>
          <a:endParaRPr lang="en-US" sz="800"/>
        </a:p>
      </xdr:txBody>
    </xdr:sp>
    <xdr:clientData/>
  </xdr:oneCellAnchor>
  <xdr:oneCellAnchor>
    <xdr:from>
      <xdr:col>39</xdr:col>
      <xdr:colOff>0</xdr:colOff>
      <xdr:row>78</xdr:row>
      <xdr:rowOff>144518</xdr:rowOff>
    </xdr:from>
    <xdr:ext cx="1882854" cy="266700"/>
    <xdr:sp macro="" textlink="">
      <xdr:nvSpPr>
        <xdr:cNvPr id="195" name="TextBox 194">
          <a:extLst>
            <a:ext uri="{FF2B5EF4-FFF2-40B4-BE49-F238E27FC236}">
              <a16:creationId xmlns:a16="http://schemas.microsoft.com/office/drawing/2014/main" xmlns="" id="{00000000-0008-0000-0700-0000C3000000}"/>
            </a:ext>
          </a:extLst>
        </xdr:cNvPr>
        <xdr:cNvSpPr txBox="1"/>
      </xdr:nvSpPr>
      <xdr:spPr>
        <a:xfrm>
          <a:off x="23825638" y="15680121"/>
          <a:ext cx="188285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DQS_B_CLK_PS</a:t>
          </a:r>
        </a:p>
      </xdr:txBody>
    </xdr:sp>
    <xdr:clientData/>
  </xdr:oneCellAnchor>
  <xdr:oneCellAnchor>
    <xdr:from>
      <xdr:col>36</xdr:col>
      <xdr:colOff>558362</xdr:colOff>
      <xdr:row>86</xdr:row>
      <xdr:rowOff>177362</xdr:rowOff>
    </xdr:from>
    <xdr:ext cx="683501" cy="266700"/>
    <xdr:sp macro="" textlink="">
      <xdr:nvSpPr>
        <xdr:cNvPr id="196" name="TextBox 195">
          <a:hlinkClick xmlns:r="http://schemas.openxmlformats.org/officeDocument/2006/relationships" r:id="rId10"/>
          <a:extLst>
            <a:ext uri="{FF2B5EF4-FFF2-40B4-BE49-F238E27FC236}">
              <a16:creationId xmlns:a16="http://schemas.microsoft.com/office/drawing/2014/main" xmlns="" id="{00000000-0008-0000-0700-0000C4000000}"/>
            </a:ext>
          </a:extLst>
        </xdr:cNvPr>
        <xdr:cNvSpPr txBox="1"/>
      </xdr:nvSpPr>
      <xdr:spPr>
        <a:xfrm>
          <a:off x="22551259" y="17420896"/>
          <a:ext cx="68350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RWDS</a:t>
          </a:r>
        </a:p>
      </xdr:txBody>
    </xdr:sp>
    <xdr:clientData/>
  </xdr:oneCellAnchor>
  <xdr:twoCellAnchor>
    <xdr:from>
      <xdr:col>40</xdr:col>
      <xdr:colOff>337038</xdr:colOff>
      <xdr:row>83</xdr:row>
      <xdr:rowOff>13138</xdr:rowOff>
    </xdr:from>
    <xdr:to>
      <xdr:col>41</xdr:col>
      <xdr:colOff>387569</xdr:colOff>
      <xdr:row>83</xdr:row>
      <xdr:rowOff>13138</xdr:rowOff>
    </xdr:to>
    <xdr:cxnSp macro="">
      <xdr:nvCxnSpPr>
        <xdr:cNvPr id="197" name="Straight Arrow Connector 196">
          <a:extLst>
            <a:ext uri="{FF2B5EF4-FFF2-40B4-BE49-F238E27FC236}">
              <a16:creationId xmlns:a16="http://schemas.microsoft.com/office/drawing/2014/main" xmlns="" id="{00000000-0008-0000-0700-0000C5000000}"/>
            </a:ext>
          </a:extLst>
        </xdr:cNvPr>
        <xdr:cNvCxnSpPr/>
      </xdr:nvCxnSpPr>
      <xdr:spPr>
        <a:xfrm>
          <a:off x="24662423" y="16689215"/>
          <a:ext cx="6586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328448</xdr:colOff>
      <xdr:row>83</xdr:row>
      <xdr:rowOff>6570</xdr:rowOff>
    </xdr:from>
    <xdr:to>
      <xdr:col>40</xdr:col>
      <xdr:colOff>328448</xdr:colOff>
      <xdr:row>87</xdr:row>
      <xdr:rowOff>124810</xdr:rowOff>
    </xdr:to>
    <xdr:cxnSp macro="">
      <xdr:nvCxnSpPr>
        <xdr:cNvPr id="199" name="Straight Arrow Connector 198">
          <a:extLst>
            <a:ext uri="{FF2B5EF4-FFF2-40B4-BE49-F238E27FC236}">
              <a16:creationId xmlns:a16="http://schemas.microsoft.com/office/drawing/2014/main" xmlns="" id="{00000000-0008-0000-0700-0000C7000000}"/>
            </a:ext>
          </a:extLst>
        </xdr:cNvPr>
        <xdr:cNvCxnSpPr/>
      </xdr:nvCxnSpPr>
      <xdr:spPr>
        <a:xfrm>
          <a:off x="24765000" y="16593208"/>
          <a:ext cx="0" cy="93279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0</xdr:colOff>
      <xdr:row>87</xdr:row>
      <xdr:rowOff>118241</xdr:rowOff>
    </xdr:from>
    <xdr:to>
      <xdr:col>40</xdr:col>
      <xdr:colOff>328448</xdr:colOff>
      <xdr:row>87</xdr:row>
      <xdr:rowOff>118241</xdr:rowOff>
    </xdr:to>
    <xdr:cxnSp macro="">
      <xdr:nvCxnSpPr>
        <xdr:cNvPr id="201" name="Straight Arrow Connector 200">
          <a:extLst>
            <a:ext uri="{FF2B5EF4-FFF2-40B4-BE49-F238E27FC236}">
              <a16:creationId xmlns:a16="http://schemas.microsoft.com/office/drawing/2014/main" xmlns="" id="{00000000-0008-0000-0700-0000C9000000}"/>
            </a:ext>
          </a:extLst>
        </xdr:cNvPr>
        <xdr:cNvCxnSpPr/>
      </xdr:nvCxnSpPr>
      <xdr:spPr>
        <a:xfrm flipH="1">
          <a:off x="23825638" y="17519431"/>
          <a:ext cx="939362"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197069</xdr:colOff>
      <xdr:row>81</xdr:row>
      <xdr:rowOff>32845</xdr:rowOff>
    </xdr:from>
    <xdr:to>
      <xdr:col>45</xdr:col>
      <xdr:colOff>381000</xdr:colOff>
      <xdr:row>81</xdr:row>
      <xdr:rowOff>32845</xdr:rowOff>
    </xdr:to>
    <xdr:cxnSp macro="">
      <xdr:nvCxnSpPr>
        <xdr:cNvPr id="203" name="Straight Arrow Connector 202">
          <a:extLst>
            <a:ext uri="{FF2B5EF4-FFF2-40B4-BE49-F238E27FC236}">
              <a16:creationId xmlns:a16="http://schemas.microsoft.com/office/drawing/2014/main" xmlns="" id="{00000000-0008-0000-0700-0000CB000000}"/>
            </a:ext>
          </a:extLst>
        </xdr:cNvPr>
        <xdr:cNvCxnSpPr/>
      </xdr:nvCxnSpPr>
      <xdr:spPr>
        <a:xfrm>
          <a:off x="26466362" y="16199069"/>
          <a:ext cx="140575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387570</xdr:colOff>
      <xdr:row>96</xdr:row>
      <xdr:rowOff>157655</xdr:rowOff>
    </xdr:from>
    <xdr:to>
      <xdr:col>29</xdr:col>
      <xdr:colOff>185828</xdr:colOff>
      <xdr:row>101</xdr:row>
      <xdr:rowOff>164058</xdr:rowOff>
    </xdr:to>
    <xdr:sp macro="" textlink="">
      <xdr:nvSpPr>
        <xdr:cNvPr id="205" name="Rectangle 204">
          <a:hlinkClick xmlns:r="http://schemas.openxmlformats.org/officeDocument/2006/relationships" r:id="rId5"/>
          <a:extLst>
            <a:ext uri="{FF2B5EF4-FFF2-40B4-BE49-F238E27FC236}">
              <a16:creationId xmlns:a16="http://schemas.microsoft.com/office/drawing/2014/main" xmlns="" id="{00000000-0008-0000-0700-0000CD000000}"/>
            </a:ext>
          </a:extLst>
        </xdr:cNvPr>
        <xdr:cNvSpPr/>
      </xdr:nvSpPr>
      <xdr:spPr>
        <a:xfrm>
          <a:off x="16882242" y="19299621"/>
          <a:ext cx="1020086" cy="9589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Clocking Mode Select</a:t>
          </a:r>
          <a:endParaRPr lang="en-US" sz="1100" baseline="0"/>
        </a:p>
        <a:p>
          <a:pPr algn="ctr"/>
          <a:r>
            <a:rPr lang="en-US" sz="900"/>
            <a:t>QuadSPI_MCR[SCLKCFG][6]</a:t>
          </a:r>
        </a:p>
      </xdr:txBody>
    </xdr:sp>
    <xdr:clientData/>
  </xdr:twoCellAnchor>
  <xdr:twoCellAnchor>
    <xdr:from>
      <xdr:col>3</xdr:col>
      <xdr:colOff>308742</xdr:colOff>
      <xdr:row>100</xdr:row>
      <xdr:rowOff>85421</xdr:rowOff>
    </xdr:from>
    <xdr:to>
      <xdr:col>27</xdr:col>
      <xdr:colOff>361294</xdr:colOff>
      <xdr:row>100</xdr:row>
      <xdr:rowOff>85421</xdr:rowOff>
    </xdr:to>
    <xdr:cxnSp macro="">
      <xdr:nvCxnSpPr>
        <xdr:cNvPr id="206" name="Straight Arrow Connector 205">
          <a:extLst>
            <a:ext uri="{FF2B5EF4-FFF2-40B4-BE49-F238E27FC236}">
              <a16:creationId xmlns:a16="http://schemas.microsoft.com/office/drawing/2014/main" xmlns="" id="{00000000-0008-0000-0700-0000CE000000}"/>
            </a:ext>
          </a:extLst>
        </xdr:cNvPr>
        <xdr:cNvCxnSpPr/>
      </xdr:nvCxnSpPr>
      <xdr:spPr>
        <a:xfrm>
          <a:off x="2141483" y="20022231"/>
          <a:ext cx="14714483"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564931</xdr:colOff>
      <xdr:row>103</xdr:row>
      <xdr:rowOff>0</xdr:rowOff>
    </xdr:from>
    <xdr:ext cx="1379482" cy="371475"/>
    <xdr:sp macro="" textlink="">
      <xdr:nvSpPr>
        <xdr:cNvPr id="209" name="TextBox 208">
          <a:extLst>
            <a:ext uri="{FF2B5EF4-FFF2-40B4-BE49-F238E27FC236}">
              <a16:creationId xmlns:a16="http://schemas.microsoft.com/office/drawing/2014/main" xmlns="" id="{00000000-0008-0000-0700-0000D1000000}"/>
            </a:ext>
          </a:extLst>
        </xdr:cNvPr>
        <xdr:cNvSpPr txBox="1"/>
      </xdr:nvSpPr>
      <xdr:spPr>
        <a:xfrm>
          <a:off x="17059603" y="20534586"/>
          <a:ext cx="137948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a:t>
          </a:r>
          <a:r>
            <a:rPr lang="en-US" sz="800" baseline="0"/>
            <a:t> PREDIV_SYS_CLK</a:t>
          </a:r>
          <a:endParaRPr lang="en-US" sz="800"/>
        </a:p>
        <a:p>
          <a:r>
            <a:rPr lang="en-US" sz="800"/>
            <a:t>1 - </a:t>
          </a:r>
          <a:r>
            <a:rPr lang="en-US" sz="800" baseline="0">
              <a:solidFill>
                <a:schemeClr val="tx1"/>
              </a:solidFill>
              <a:effectLst/>
              <a:latin typeface="+mn-lt"/>
              <a:ea typeface="+mn-ea"/>
              <a:cs typeface="+mn-cs"/>
            </a:rPr>
            <a:t>SYSCLK</a:t>
          </a:r>
          <a:endParaRPr lang="en-US" sz="800"/>
        </a:p>
      </xdr:txBody>
    </xdr:sp>
    <xdr:clientData/>
  </xdr:oneCellAnchor>
  <xdr:twoCellAnchor>
    <xdr:from>
      <xdr:col>23</xdr:col>
      <xdr:colOff>13138</xdr:colOff>
      <xdr:row>97</xdr:row>
      <xdr:rowOff>118242</xdr:rowOff>
    </xdr:from>
    <xdr:to>
      <xdr:col>27</xdr:col>
      <xdr:colOff>361294</xdr:colOff>
      <xdr:row>97</xdr:row>
      <xdr:rowOff>118242</xdr:rowOff>
    </xdr:to>
    <xdr:cxnSp macro="">
      <xdr:nvCxnSpPr>
        <xdr:cNvPr id="210" name="Straight Arrow Connector 209">
          <a:extLst>
            <a:ext uri="{FF2B5EF4-FFF2-40B4-BE49-F238E27FC236}">
              <a16:creationId xmlns:a16="http://schemas.microsoft.com/office/drawing/2014/main" xmlns="" id="{00000000-0008-0000-0700-0000D2000000}"/>
            </a:ext>
          </a:extLst>
        </xdr:cNvPr>
        <xdr:cNvCxnSpPr/>
      </xdr:nvCxnSpPr>
      <xdr:spPr>
        <a:xfrm>
          <a:off x="14064155" y="19457276"/>
          <a:ext cx="279181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183931</xdr:colOff>
      <xdr:row>99</xdr:row>
      <xdr:rowOff>32845</xdr:rowOff>
    </xdr:from>
    <xdr:to>
      <xdr:col>31</xdr:col>
      <xdr:colOff>407275</xdr:colOff>
      <xdr:row>99</xdr:row>
      <xdr:rowOff>32845</xdr:rowOff>
    </xdr:to>
    <xdr:cxnSp macro="">
      <xdr:nvCxnSpPr>
        <xdr:cNvPr id="212" name="Straight Arrow Connector 211">
          <a:extLst>
            <a:ext uri="{FF2B5EF4-FFF2-40B4-BE49-F238E27FC236}">
              <a16:creationId xmlns:a16="http://schemas.microsoft.com/office/drawing/2014/main" xmlns="" id="{00000000-0008-0000-0700-0000D4000000}"/>
            </a:ext>
          </a:extLst>
        </xdr:cNvPr>
        <xdr:cNvCxnSpPr/>
      </xdr:nvCxnSpPr>
      <xdr:spPr>
        <a:xfrm>
          <a:off x="17900431" y="19792293"/>
          <a:ext cx="144517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426982</xdr:colOff>
      <xdr:row>96</xdr:row>
      <xdr:rowOff>190499</xdr:rowOff>
    </xdr:from>
    <xdr:to>
      <xdr:col>33</xdr:col>
      <xdr:colOff>225241</xdr:colOff>
      <xdr:row>101</xdr:row>
      <xdr:rowOff>163401</xdr:rowOff>
    </xdr:to>
    <xdr:sp macro="" textlink="">
      <xdr:nvSpPr>
        <xdr:cNvPr id="215" name="Rectangle 214">
          <a:extLst>
            <a:ext uri="{FF2B5EF4-FFF2-40B4-BE49-F238E27FC236}">
              <a16:creationId xmlns:a16="http://schemas.microsoft.com/office/drawing/2014/main" xmlns="" id="{00000000-0008-0000-0700-0000D7000000}"/>
            </a:ext>
          </a:extLst>
        </xdr:cNvPr>
        <xdr:cNvSpPr/>
      </xdr:nvSpPr>
      <xdr:spPr>
        <a:xfrm>
          <a:off x="19365310" y="19332465"/>
          <a:ext cx="1020086" cy="9779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QSPI Clock Enable</a:t>
          </a:r>
          <a:endParaRPr lang="en-US" sz="1100" baseline="0"/>
        </a:p>
        <a:p>
          <a:pPr algn="ctr"/>
          <a:r>
            <a:rPr lang="en-US" sz="900"/>
            <a:t>PCC_QSPI[CGC]</a:t>
          </a:r>
        </a:p>
      </xdr:txBody>
    </xdr:sp>
    <xdr:clientData/>
  </xdr:twoCellAnchor>
  <xdr:twoCellAnchor>
    <xdr:from>
      <xdr:col>33</xdr:col>
      <xdr:colOff>236483</xdr:colOff>
      <xdr:row>99</xdr:row>
      <xdr:rowOff>32845</xdr:rowOff>
    </xdr:from>
    <xdr:to>
      <xdr:col>50</xdr:col>
      <xdr:colOff>381000</xdr:colOff>
      <xdr:row>99</xdr:row>
      <xdr:rowOff>32845</xdr:rowOff>
    </xdr:to>
    <xdr:cxnSp macro="">
      <xdr:nvCxnSpPr>
        <xdr:cNvPr id="217" name="Straight Arrow Connector 216">
          <a:extLst>
            <a:ext uri="{FF2B5EF4-FFF2-40B4-BE49-F238E27FC236}">
              <a16:creationId xmlns:a16="http://schemas.microsoft.com/office/drawing/2014/main" xmlns="" id="{00000000-0008-0000-0700-0000D9000000}"/>
            </a:ext>
          </a:extLst>
        </xdr:cNvPr>
        <xdr:cNvCxnSpPr/>
      </xdr:nvCxnSpPr>
      <xdr:spPr>
        <a:xfrm>
          <a:off x="20396638" y="19792293"/>
          <a:ext cx="105300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39414</xdr:colOff>
      <xdr:row>96</xdr:row>
      <xdr:rowOff>157655</xdr:rowOff>
    </xdr:from>
    <xdr:to>
      <xdr:col>56</xdr:col>
      <xdr:colOff>447273</xdr:colOff>
      <xdr:row>101</xdr:row>
      <xdr:rowOff>164058</xdr:rowOff>
    </xdr:to>
    <xdr:sp macro="" textlink="">
      <xdr:nvSpPr>
        <xdr:cNvPr id="221" name="Rectangle 220">
          <a:extLst>
            <a:ext uri="{FF2B5EF4-FFF2-40B4-BE49-F238E27FC236}">
              <a16:creationId xmlns:a16="http://schemas.microsoft.com/office/drawing/2014/main" xmlns="" id="{00000000-0008-0000-0700-0000DD000000}"/>
            </a:ext>
          </a:extLst>
        </xdr:cNvPr>
        <xdr:cNvSpPr/>
      </xdr:nvSpPr>
      <xdr:spPr>
        <a:xfrm>
          <a:off x="33567414" y="19607705"/>
          <a:ext cx="1017459" cy="10160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QuadSPI</a:t>
          </a:r>
          <a:r>
            <a:rPr lang="en-US" sz="1100" baseline="0"/>
            <a:t> Memory Logic</a:t>
          </a:r>
        </a:p>
        <a:p>
          <a:pPr algn="ctr"/>
          <a:r>
            <a:rPr lang="en-US" sz="1100" baseline="0"/>
            <a:t>128x7</a:t>
          </a:r>
        </a:p>
        <a:p>
          <a:pPr algn="ctr"/>
          <a:r>
            <a:rPr lang="en-US" sz="1100" baseline="0"/>
            <a:t>(1kB)</a:t>
          </a:r>
          <a:endParaRPr lang="en-US" sz="900" baseline="0"/>
        </a:p>
      </xdr:txBody>
    </xdr:sp>
    <xdr:clientData/>
  </xdr:twoCellAnchor>
  <xdr:twoCellAnchor>
    <xdr:from>
      <xdr:col>38</xdr:col>
      <xdr:colOff>389282</xdr:colOff>
      <xdr:row>24</xdr:row>
      <xdr:rowOff>41413</xdr:rowOff>
    </xdr:from>
    <xdr:to>
      <xdr:col>38</xdr:col>
      <xdr:colOff>389282</xdr:colOff>
      <xdr:row>27</xdr:row>
      <xdr:rowOff>114300</xdr:rowOff>
    </xdr:to>
    <xdr:cxnSp macro="">
      <xdr:nvCxnSpPr>
        <xdr:cNvPr id="238" name="Straight Arrow Connector 237">
          <a:extLst>
            <a:ext uri="{FF2B5EF4-FFF2-40B4-BE49-F238E27FC236}">
              <a16:creationId xmlns:a16="http://schemas.microsoft.com/office/drawing/2014/main" xmlns="" id="{00000000-0008-0000-0700-0000EE000000}"/>
            </a:ext>
          </a:extLst>
        </xdr:cNvPr>
        <xdr:cNvCxnSpPr/>
      </xdr:nvCxnSpPr>
      <xdr:spPr>
        <a:xfrm>
          <a:off x="23554082" y="4794388"/>
          <a:ext cx="0" cy="70153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389282</xdr:colOff>
      <xdr:row>27</xdr:row>
      <xdr:rowOff>101971</xdr:rowOff>
    </xdr:from>
    <xdr:to>
      <xdr:col>50</xdr:col>
      <xdr:colOff>381000</xdr:colOff>
      <xdr:row>27</xdr:row>
      <xdr:rowOff>101971</xdr:rowOff>
    </xdr:to>
    <xdr:cxnSp macro="">
      <xdr:nvCxnSpPr>
        <xdr:cNvPr id="239" name="Straight Arrow Connector 238">
          <a:extLst>
            <a:ext uri="{FF2B5EF4-FFF2-40B4-BE49-F238E27FC236}">
              <a16:creationId xmlns:a16="http://schemas.microsoft.com/office/drawing/2014/main" xmlns="" id="{00000000-0008-0000-0700-0000EF000000}"/>
            </a:ext>
          </a:extLst>
        </xdr:cNvPr>
        <xdr:cNvCxnSpPr/>
      </xdr:nvCxnSpPr>
      <xdr:spPr>
        <a:xfrm>
          <a:off x="23554082" y="5483596"/>
          <a:ext cx="73069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594184</xdr:colOff>
      <xdr:row>12</xdr:row>
      <xdr:rowOff>21130</xdr:rowOff>
    </xdr:from>
    <xdr:to>
      <xdr:col>62</xdr:col>
      <xdr:colOff>260000</xdr:colOff>
      <xdr:row>82</xdr:row>
      <xdr:rowOff>140899</xdr:rowOff>
    </xdr:to>
    <xdr:grpSp>
      <xdr:nvGrpSpPr>
        <xdr:cNvPr id="267" name="Group 266">
          <a:extLst>
            <a:ext uri="{FF2B5EF4-FFF2-40B4-BE49-F238E27FC236}">
              <a16:creationId xmlns:a16="http://schemas.microsoft.com/office/drawing/2014/main" xmlns="" id="{00000000-0008-0000-0700-00000B010000}"/>
            </a:ext>
          </a:extLst>
        </xdr:cNvPr>
        <xdr:cNvGrpSpPr/>
      </xdr:nvGrpSpPr>
      <xdr:grpSpPr>
        <a:xfrm>
          <a:off x="33512584" y="2253790"/>
          <a:ext cx="4542616" cy="13729089"/>
          <a:chOff x="30626923" y="2348543"/>
          <a:chExt cx="4569120" cy="14117378"/>
        </a:xfrm>
      </xdr:grpSpPr>
      <xdr:grpSp>
        <xdr:nvGrpSpPr>
          <xdr:cNvPr id="265" name="Group 264">
            <a:extLst>
              <a:ext uri="{FF2B5EF4-FFF2-40B4-BE49-F238E27FC236}">
                <a16:creationId xmlns:a16="http://schemas.microsoft.com/office/drawing/2014/main" xmlns="" id="{00000000-0008-0000-0700-000009010000}"/>
              </a:ext>
            </a:extLst>
          </xdr:cNvPr>
          <xdr:cNvGrpSpPr/>
        </xdr:nvGrpSpPr>
        <xdr:grpSpPr>
          <a:xfrm>
            <a:off x="30626923" y="2348543"/>
            <a:ext cx="4569120" cy="14117378"/>
            <a:chOff x="30626923" y="2348543"/>
            <a:chExt cx="4569120" cy="14117378"/>
          </a:xfrm>
        </xdr:grpSpPr>
        <xdr:grpSp>
          <xdr:nvGrpSpPr>
            <xdr:cNvPr id="261" name="Group 260">
              <a:extLst>
                <a:ext uri="{FF2B5EF4-FFF2-40B4-BE49-F238E27FC236}">
                  <a16:creationId xmlns:a16="http://schemas.microsoft.com/office/drawing/2014/main" xmlns="" id="{00000000-0008-0000-0700-000005010000}"/>
                </a:ext>
              </a:extLst>
            </xdr:cNvPr>
            <xdr:cNvGrpSpPr/>
          </xdr:nvGrpSpPr>
          <xdr:grpSpPr>
            <a:xfrm>
              <a:off x="30626923" y="2348543"/>
              <a:ext cx="4569120" cy="14117378"/>
              <a:chOff x="30626923" y="2348543"/>
              <a:chExt cx="4569120" cy="14117378"/>
            </a:xfrm>
          </xdr:grpSpPr>
          <xdr:grpSp>
            <xdr:nvGrpSpPr>
              <xdr:cNvPr id="258" name="Group 257">
                <a:extLst>
                  <a:ext uri="{FF2B5EF4-FFF2-40B4-BE49-F238E27FC236}">
                    <a16:creationId xmlns:a16="http://schemas.microsoft.com/office/drawing/2014/main" xmlns="" id="{00000000-0008-0000-0700-000002010000}"/>
                  </a:ext>
                </a:extLst>
              </xdr:cNvPr>
              <xdr:cNvGrpSpPr/>
            </xdr:nvGrpSpPr>
            <xdr:grpSpPr>
              <a:xfrm>
                <a:off x="30626923" y="2348543"/>
                <a:ext cx="4569120" cy="14117378"/>
                <a:chOff x="30626923" y="2348543"/>
                <a:chExt cx="4569120" cy="14117378"/>
              </a:xfrm>
            </xdr:grpSpPr>
            <xdr:grpSp>
              <xdr:nvGrpSpPr>
                <xdr:cNvPr id="254" name="Group 253">
                  <a:extLst>
                    <a:ext uri="{FF2B5EF4-FFF2-40B4-BE49-F238E27FC236}">
                      <a16:creationId xmlns:a16="http://schemas.microsoft.com/office/drawing/2014/main" xmlns="" id="{00000000-0008-0000-0700-0000FE000000}"/>
                    </a:ext>
                  </a:extLst>
                </xdr:cNvPr>
                <xdr:cNvGrpSpPr/>
              </xdr:nvGrpSpPr>
              <xdr:grpSpPr>
                <a:xfrm>
                  <a:off x="30626923" y="2348543"/>
                  <a:ext cx="4569120" cy="14117378"/>
                  <a:chOff x="30626923" y="2348543"/>
                  <a:chExt cx="4569120" cy="14117378"/>
                </a:xfrm>
              </xdr:grpSpPr>
              <xdr:grpSp>
                <xdr:nvGrpSpPr>
                  <xdr:cNvPr id="223" name="Group 222">
                    <a:extLst>
                      <a:ext uri="{FF2B5EF4-FFF2-40B4-BE49-F238E27FC236}">
                        <a16:creationId xmlns:a16="http://schemas.microsoft.com/office/drawing/2014/main" xmlns="" id="{00000000-0008-0000-0700-0000DF000000}"/>
                      </a:ext>
                    </a:extLst>
                  </xdr:cNvPr>
                  <xdr:cNvGrpSpPr/>
                </xdr:nvGrpSpPr>
                <xdr:grpSpPr>
                  <a:xfrm>
                    <a:off x="30626923" y="2348543"/>
                    <a:ext cx="4569120" cy="14117378"/>
                    <a:chOff x="29171514" y="2284544"/>
                    <a:chExt cx="4600860" cy="6588358"/>
                  </a:xfrm>
                </xdr:grpSpPr>
                <xdr:grpSp>
                  <xdr:nvGrpSpPr>
                    <xdr:cNvPr id="224" name="Group 223">
                      <a:extLst>
                        <a:ext uri="{FF2B5EF4-FFF2-40B4-BE49-F238E27FC236}">
                          <a16:creationId xmlns:a16="http://schemas.microsoft.com/office/drawing/2014/main" xmlns="" id="{00000000-0008-0000-0700-0000E0000000}"/>
                        </a:ext>
                      </a:extLst>
                    </xdr:cNvPr>
                    <xdr:cNvGrpSpPr/>
                  </xdr:nvGrpSpPr>
                  <xdr:grpSpPr>
                    <a:xfrm>
                      <a:off x="29171514" y="2284544"/>
                      <a:ext cx="4600860" cy="6588358"/>
                      <a:chOff x="29171514" y="2284544"/>
                      <a:chExt cx="4600860" cy="6588358"/>
                    </a:xfrm>
                  </xdr:grpSpPr>
                  <xdr:grpSp>
                    <xdr:nvGrpSpPr>
                      <xdr:cNvPr id="226" name="Group 225">
                        <a:extLst>
                          <a:ext uri="{FF2B5EF4-FFF2-40B4-BE49-F238E27FC236}">
                            <a16:creationId xmlns:a16="http://schemas.microsoft.com/office/drawing/2014/main" xmlns="" id="{00000000-0008-0000-0700-0000E2000000}"/>
                          </a:ext>
                        </a:extLst>
                      </xdr:cNvPr>
                      <xdr:cNvGrpSpPr/>
                    </xdr:nvGrpSpPr>
                    <xdr:grpSpPr>
                      <a:xfrm>
                        <a:off x="29171514" y="2284544"/>
                        <a:ext cx="4600860" cy="6588358"/>
                        <a:chOff x="29171514" y="2284544"/>
                        <a:chExt cx="4600860" cy="6588358"/>
                      </a:xfrm>
                    </xdr:grpSpPr>
                    <xdr:grpSp>
                      <xdr:nvGrpSpPr>
                        <xdr:cNvPr id="228" name="Group 227">
                          <a:extLst>
                            <a:ext uri="{FF2B5EF4-FFF2-40B4-BE49-F238E27FC236}">
                              <a16:creationId xmlns:a16="http://schemas.microsoft.com/office/drawing/2014/main" xmlns="" id="{00000000-0008-0000-0700-0000E4000000}"/>
                            </a:ext>
                          </a:extLst>
                        </xdr:cNvPr>
                        <xdr:cNvGrpSpPr/>
                      </xdr:nvGrpSpPr>
                      <xdr:grpSpPr>
                        <a:xfrm>
                          <a:off x="29189206" y="2284544"/>
                          <a:ext cx="4583168" cy="6588358"/>
                          <a:chOff x="29189206" y="2284544"/>
                          <a:chExt cx="4583168" cy="6588358"/>
                        </a:xfrm>
                      </xdr:grpSpPr>
                      <xdr:grpSp>
                        <xdr:nvGrpSpPr>
                          <xdr:cNvPr id="230" name="Group 229">
                            <a:extLst>
                              <a:ext uri="{FF2B5EF4-FFF2-40B4-BE49-F238E27FC236}">
                                <a16:creationId xmlns:a16="http://schemas.microsoft.com/office/drawing/2014/main" xmlns="" id="{00000000-0008-0000-0700-0000E6000000}"/>
                              </a:ext>
                            </a:extLst>
                          </xdr:cNvPr>
                          <xdr:cNvGrpSpPr/>
                        </xdr:nvGrpSpPr>
                        <xdr:grpSpPr>
                          <a:xfrm>
                            <a:off x="29189206" y="2284544"/>
                            <a:ext cx="4583168" cy="6588358"/>
                            <a:chOff x="3347614" y="30980142"/>
                            <a:chExt cx="4572133" cy="6091750"/>
                          </a:xfrm>
                        </xdr:grpSpPr>
                        <xdr:sp macro="" textlink="">
                          <xdr:nvSpPr>
                            <xdr:cNvPr id="232" name="Rectangle 231">
                              <a:extLst>
                                <a:ext uri="{FF2B5EF4-FFF2-40B4-BE49-F238E27FC236}">
                                  <a16:creationId xmlns:a16="http://schemas.microsoft.com/office/drawing/2014/main" xmlns="" id="{00000000-0008-0000-0700-0000E8000000}"/>
                                </a:ext>
                              </a:extLst>
                            </xdr:cNvPr>
                            <xdr:cNvSpPr/>
                          </xdr:nvSpPr>
                          <xdr:spPr>
                            <a:xfrm>
                              <a:off x="3371850" y="30980142"/>
                              <a:ext cx="4547897" cy="6091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5400"/>
                                <a:t>QSPI</a:t>
                              </a:r>
                            </a:p>
                          </xdr:txBody>
                        </xdr:sp>
                        <xdr:sp macro="" textlink="">
                          <xdr:nvSpPr>
                            <xdr:cNvPr id="233" name="TextBox 232">
                              <a:extLst>
                                <a:ext uri="{FF2B5EF4-FFF2-40B4-BE49-F238E27FC236}">
                                  <a16:creationId xmlns:a16="http://schemas.microsoft.com/office/drawing/2014/main" xmlns="" id="{00000000-0008-0000-0700-0000E9000000}"/>
                                </a:ext>
                              </a:extLst>
                            </xdr:cNvPr>
                            <xdr:cNvSpPr txBox="1"/>
                          </xdr:nvSpPr>
                          <xdr:spPr>
                            <a:xfrm>
                              <a:off x="3347614" y="31013913"/>
                              <a:ext cx="667408" cy="117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BIU</a:t>
                              </a:r>
                            </a:p>
                          </xdr:txBody>
                        </xdr:sp>
                      </xdr:grpSp>
                      <xdr:sp macro="" textlink="">
                        <xdr:nvSpPr>
                          <xdr:cNvPr id="231" name="TextBox 230">
                            <a:extLst>
                              <a:ext uri="{FF2B5EF4-FFF2-40B4-BE49-F238E27FC236}">
                                <a16:creationId xmlns:a16="http://schemas.microsoft.com/office/drawing/2014/main" xmlns="" id="{00000000-0008-0000-0700-0000E7000000}"/>
                              </a:ext>
                            </a:extLst>
                          </xdr:cNvPr>
                          <xdr:cNvSpPr txBox="1"/>
                        </xdr:nvSpPr>
                        <xdr:spPr>
                          <a:xfrm>
                            <a:off x="29194054" y="3302536"/>
                            <a:ext cx="2498364" cy="176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AHB Read Interface</a:t>
                            </a:r>
                            <a:r>
                              <a:rPr lang="en-US" sz="1000" baseline="0">
                                <a:solidFill>
                                  <a:schemeClr val="bg1"/>
                                </a:solidFill>
                              </a:rPr>
                              <a:t> Clock (AHB_BUS_CLK)</a:t>
                            </a:r>
                            <a:endParaRPr lang="en-US" sz="1000">
                              <a:solidFill>
                                <a:schemeClr val="bg1"/>
                              </a:solidFill>
                            </a:endParaRPr>
                          </a:p>
                        </xdr:txBody>
                      </xdr:sp>
                    </xdr:grpSp>
                    <xdr:sp macro="" textlink="">
                      <xdr:nvSpPr>
                        <xdr:cNvPr id="229" name="TextBox 228">
                          <a:extLst>
                            <a:ext uri="{FF2B5EF4-FFF2-40B4-BE49-F238E27FC236}">
                              <a16:creationId xmlns:a16="http://schemas.microsoft.com/office/drawing/2014/main" xmlns="" id="{00000000-0008-0000-0700-0000E5000000}"/>
                            </a:ext>
                          </a:extLst>
                        </xdr:cNvPr>
                        <xdr:cNvSpPr txBox="1"/>
                      </xdr:nvSpPr>
                      <xdr:spPr>
                        <a:xfrm>
                          <a:off x="29171514" y="7535095"/>
                          <a:ext cx="1234658" cy="17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DQS_A</a:t>
                          </a:r>
                        </a:p>
                      </xdr:txBody>
                    </xdr:sp>
                  </xdr:grpSp>
                  <xdr:sp macro="" textlink="">
                    <xdr:nvSpPr>
                      <xdr:cNvPr id="227" name="TextBox 226">
                        <a:extLst>
                          <a:ext uri="{FF2B5EF4-FFF2-40B4-BE49-F238E27FC236}">
                            <a16:creationId xmlns:a16="http://schemas.microsoft.com/office/drawing/2014/main" xmlns="" id="{00000000-0008-0000-0700-0000E3000000}"/>
                          </a:ext>
                        </a:extLst>
                      </xdr:cNvPr>
                      <xdr:cNvSpPr txBox="1"/>
                    </xdr:nvSpPr>
                    <xdr:spPr>
                      <a:xfrm>
                        <a:off x="29188193" y="5179553"/>
                        <a:ext cx="1234658" cy="175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SFIF_CLK</a:t>
                        </a:r>
                      </a:p>
                    </xdr:txBody>
                  </xdr:sp>
                </xdr:grpSp>
                <xdr:sp macro="" textlink="">
                  <xdr:nvSpPr>
                    <xdr:cNvPr id="225" name="TextBox 224">
                      <a:extLst>
                        <a:ext uri="{FF2B5EF4-FFF2-40B4-BE49-F238E27FC236}">
                          <a16:creationId xmlns:a16="http://schemas.microsoft.com/office/drawing/2014/main" xmlns="" id="{00000000-0008-0000-0700-0000E1000000}"/>
                        </a:ext>
                      </a:extLst>
                    </xdr:cNvPr>
                    <xdr:cNvSpPr txBox="1"/>
                  </xdr:nvSpPr>
                  <xdr:spPr>
                    <a:xfrm>
                      <a:off x="29176823" y="8620614"/>
                      <a:ext cx="1234658" cy="163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DQS_B</a:t>
                      </a:r>
                    </a:p>
                  </xdr:txBody>
                </xdr:sp>
              </xdr:grpSp>
              <xdr:sp macro="" textlink="">
                <xdr:nvSpPr>
                  <xdr:cNvPr id="253" name="TextBox 252">
                    <a:extLst>
                      <a:ext uri="{FF2B5EF4-FFF2-40B4-BE49-F238E27FC236}">
                        <a16:creationId xmlns:a16="http://schemas.microsoft.com/office/drawing/2014/main" xmlns="" id="{00000000-0008-0000-0700-0000FD000000}"/>
                      </a:ext>
                    </a:extLst>
                  </xdr:cNvPr>
                  <xdr:cNvSpPr txBox="1"/>
                </xdr:nvSpPr>
                <xdr:spPr>
                  <a:xfrm>
                    <a:off x="30648757" y="5201788"/>
                    <a:ext cx="1313830" cy="37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Module Clock</a:t>
                    </a:r>
                  </a:p>
                </xdr:txBody>
              </xdr:sp>
            </xdr:grpSp>
            <xdr:sp macro="" textlink="">
              <xdr:nvSpPr>
                <xdr:cNvPr id="257" name="TextBox 256">
                  <a:extLst>
                    <a:ext uri="{FF2B5EF4-FFF2-40B4-BE49-F238E27FC236}">
                      <a16:creationId xmlns:a16="http://schemas.microsoft.com/office/drawing/2014/main" xmlns="" id="{00000000-0008-0000-0700-000001010000}"/>
                    </a:ext>
                  </a:extLst>
                </xdr:cNvPr>
                <xdr:cNvSpPr txBox="1"/>
              </xdr:nvSpPr>
              <xdr:spPr>
                <a:xfrm>
                  <a:off x="30640475" y="6556109"/>
                  <a:ext cx="999090" cy="37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2xSFIF_CLK</a:t>
                  </a:r>
                </a:p>
              </xdr:txBody>
            </xdr:sp>
          </xdr:grpSp>
          <xdr:sp macro="" textlink="">
            <xdr:nvSpPr>
              <xdr:cNvPr id="259" name="TextBox 258">
                <a:extLst>
                  <a:ext uri="{FF2B5EF4-FFF2-40B4-BE49-F238E27FC236}">
                    <a16:creationId xmlns:a16="http://schemas.microsoft.com/office/drawing/2014/main" xmlns="" id="{00000000-0008-0000-0700-000003010000}"/>
                  </a:ext>
                </a:extLst>
              </xdr:cNvPr>
              <xdr:cNvSpPr txBox="1"/>
            </xdr:nvSpPr>
            <xdr:spPr>
              <a:xfrm>
                <a:off x="30640475" y="7368915"/>
                <a:ext cx="999090" cy="37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2xSFIF_B_CLK</a:t>
                </a:r>
              </a:p>
            </xdr:txBody>
          </xdr:sp>
        </xdr:grpSp>
        <xdr:sp macro="" textlink="">
          <xdr:nvSpPr>
            <xdr:cNvPr id="262" name="TextBox 261">
              <a:extLst>
                <a:ext uri="{FF2B5EF4-FFF2-40B4-BE49-F238E27FC236}">
                  <a16:creationId xmlns:a16="http://schemas.microsoft.com/office/drawing/2014/main" xmlns="" id="{00000000-0008-0000-0700-000006010000}"/>
                </a:ext>
              </a:extLst>
            </xdr:cNvPr>
            <xdr:cNvSpPr txBox="1"/>
          </xdr:nvSpPr>
          <xdr:spPr>
            <a:xfrm>
              <a:off x="30648757" y="9355756"/>
              <a:ext cx="1226140" cy="376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SFIF_B_CLK</a:t>
              </a:r>
            </a:p>
          </xdr:txBody>
        </xdr:sp>
      </xdr:grpSp>
      <xdr:sp macro="" textlink="">
        <xdr:nvSpPr>
          <xdr:cNvPr id="266" name="TextBox 265">
            <a:extLst>
              <a:ext uri="{FF2B5EF4-FFF2-40B4-BE49-F238E27FC236}">
                <a16:creationId xmlns:a16="http://schemas.microsoft.com/office/drawing/2014/main" xmlns="" id="{00000000-0008-0000-0700-00000A010000}"/>
              </a:ext>
            </a:extLst>
          </xdr:cNvPr>
          <xdr:cNvSpPr txBox="1"/>
        </xdr:nvSpPr>
        <xdr:spPr>
          <a:xfrm>
            <a:off x="30657040" y="10151089"/>
            <a:ext cx="1226140" cy="376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solidFill>
                  <a:schemeClr val="bg1"/>
                </a:solidFill>
              </a:rPr>
              <a:t>SFCK</a:t>
            </a:r>
          </a:p>
        </xdr:txBody>
      </xdr:sp>
    </xdr:grpSp>
    <xdr:clientData/>
  </xdr:twoCellAnchor>
  <xdr:twoCellAnchor>
    <xdr:from>
      <xdr:col>11</xdr:col>
      <xdr:colOff>265043</xdr:colOff>
      <xdr:row>0</xdr:row>
      <xdr:rowOff>91108</xdr:rowOff>
    </xdr:from>
    <xdr:to>
      <xdr:col>24</xdr:col>
      <xdr:colOff>201705</xdr:colOff>
      <xdr:row>8</xdr:row>
      <xdr:rowOff>200024</xdr:rowOff>
    </xdr:to>
    <xdr:sp macro="" textlink="">
      <xdr:nvSpPr>
        <xdr:cNvPr id="269" name="TextBox 268">
          <a:hlinkClick xmlns:r="http://schemas.openxmlformats.org/officeDocument/2006/relationships" r:id="rId11"/>
          <a:extLst>
            <a:ext uri="{FF2B5EF4-FFF2-40B4-BE49-F238E27FC236}">
              <a16:creationId xmlns:a16="http://schemas.microsoft.com/office/drawing/2014/main" xmlns="" id="{00000000-0008-0000-0700-00000D010000}"/>
            </a:ext>
          </a:extLst>
        </xdr:cNvPr>
        <xdr:cNvSpPr txBox="1"/>
      </xdr:nvSpPr>
      <xdr:spPr>
        <a:xfrm>
          <a:off x="6970643" y="91108"/>
          <a:ext cx="7861462" cy="1661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QuadSPI is only valid for modes RUN64,</a:t>
          </a:r>
          <a:r>
            <a:rPr lang="en-US" sz="1600" baseline="0"/>
            <a:t> </a:t>
          </a:r>
          <a:r>
            <a:rPr lang="en-US" sz="1600"/>
            <a:t>RUN80,</a:t>
          </a:r>
          <a:r>
            <a:rPr lang="en-US" sz="1600" baseline="0"/>
            <a:t> </a:t>
          </a:r>
          <a:r>
            <a:rPr lang="en-US" sz="1600"/>
            <a:t>HSRUN80,</a:t>
          </a:r>
          <a:r>
            <a:rPr lang="en-US" sz="1600" baseline="0"/>
            <a:t> and HSRUN112. In HSRUN112, BUS_CLK must be AHB_CLK.  These modes must be manually configured in SCG, where system clock source is SPLL_CLK and SYS_CLK = 2*BUS_CLK. This tool turns all input frequencies of this tab to 0 for any other mode. PREDIV_SYS_CLK = 2*SYS_CLK.  DDR mode supports only up to 20 MHz. It is user's responsibility to ensure RWDS &lt; 20 MHz in DDR mode.  Click this textbox for more information.</a:t>
          </a:r>
          <a:endParaRPr lang="en-US" sz="1600"/>
        </a:p>
      </xdr:txBody>
    </xdr:sp>
    <xdr:clientData/>
  </xdr:twoCellAnchor>
  <xdr:oneCellAnchor>
    <xdr:from>
      <xdr:col>19</xdr:col>
      <xdr:colOff>405848</xdr:colOff>
      <xdr:row>96</xdr:row>
      <xdr:rowOff>157370</xdr:rowOff>
    </xdr:from>
    <xdr:ext cx="1438604" cy="266700"/>
    <xdr:sp macro="" textlink="">
      <xdr:nvSpPr>
        <xdr:cNvPr id="270" name="TextBox 269">
          <a:hlinkClick xmlns:r="http://schemas.openxmlformats.org/officeDocument/2006/relationships" r:id="rId12"/>
          <a:extLst>
            <a:ext uri="{FF2B5EF4-FFF2-40B4-BE49-F238E27FC236}">
              <a16:creationId xmlns:a16="http://schemas.microsoft.com/office/drawing/2014/main" xmlns="" id="{00000000-0008-0000-0700-00000E010000}"/>
            </a:ext>
          </a:extLst>
        </xdr:cNvPr>
        <xdr:cNvSpPr txBox="1"/>
      </xdr:nvSpPr>
      <xdr:spPr>
        <a:xfrm>
          <a:off x="12051196" y="19240500"/>
          <a:ext cx="1438604"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PREDIV_SYS_CLK</a:t>
          </a:r>
        </a:p>
      </xdr:txBody>
    </xdr:sp>
    <xdr:clientData/>
  </xdr:oneCellAnchor>
  <xdr:twoCellAnchor>
    <xdr:from>
      <xdr:col>44</xdr:col>
      <xdr:colOff>448236</xdr:colOff>
      <xdr:row>61</xdr:row>
      <xdr:rowOff>118242</xdr:rowOff>
    </xdr:from>
    <xdr:to>
      <xdr:col>44</xdr:col>
      <xdr:colOff>448236</xdr:colOff>
      <xdr:row>63</xdr:row>
      <xdr:rowOff>78441</xdr:rowOff>
    </xdr:to>
    <xdr:cxnSp macro="">
      <xdr:nvCxnSpPr>
        <xdr:cNvPr id="177" name="Straight Arrow Connector 176">
          <a:extLst>
            <a:ext uri="{FF2B5EF4-FFF2-40B4-BE49-F238E27FC236}">
              <a16:creationId xmlns:a16="http://schemas.microsoft.com/office/drawing/2014/main" xmlns="" id="{00000000-0008-0000-0700-0000B1000000}"/>
            </a:ext>
          </a:extLst>
        </xdr:cNvPr>
        <xdr:cNvCxnSpPr/>
      </xdr:nvCxnSpPr>
      <xdr:spPr>
        <a:xfrm>
          <a:off x="27328443" y="12251121"/>
          <a:ext cx="0" cy="38061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448236</xdr:colOff>
      <xdr:row>63</xdr:row>
      <xdr:rowOff>78441</xdr:rowOff>
    </xdr:from>
    <xdr:to>
      <xdr:col>45</xdr:col>
      <xdr:colOff>604345</xdr:colOff>
      <xdr:row>63</xdr:row>
      <xdr:rowOff>78441</xdr:rowOff>
    </xdr:to>
    <xdr:cxnSp macro="">
      <xdr:nvCxnSpPr>
        <xdr:cNvPr id="192" name="Straight Arrow Connector 191">
          <a:extLst>
            <a:ext uri="{FF2B5EF4-FFF2-40B4-BE49-F238E27FC236}">
              <a16:creationId xmlns:a16="http://schemas.microsoft.com/office/drawing/2014/main" xmlns="" id="{00000000-0008-0000-0700-0000C0000000}"/>
            </a:ext>
          </a:extLst>
        </xdr:cNvPr>
        <xdr:cNvCxnSpPr/>
      </xdr:nvCxnSpPr>
      <xdr:spPr>
        <a:xfrm>
          <a:off x="27328443" y="12618596"/>
          <a:ext cx="7670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46</xdr:col>
      <xdr:colOff>584638</xdr:colOff>
      <xdr:row>62</xdr:row>
      <xdr:rowOff>190500</xdr:rowOff>
    </xdr:from>
    <xdr:ext cx="1346638" cy="266700"/>
    <xdr:sp macro="" textlink="">
      <xdr:nvSpPr>
        <xdr:cNvPr id="198" name="TextBox 197">
          <a:extLst>
            <a:ext uri="{FF2B5EF4-FFF2-40B4-BE49-F238E27FC236}">
              <a16:creationId xmlns:a16="http://schemas.microsoft.com/office/drawing/2014/main" xmlns="" id="{00000000-0008-0000-0700-0000C6000000}"/>
            </a:ext>
          </a:extLst>
        </xdr:cNvPr>
        <xdr:cNvSpPr txBox="1"/>
      </xdr:nvSpPr>
      <xdr:spPr>
        <a:xfrm>
          <a:off x="28686672" y="12533586"/>
          <a:ext cx="1346638"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RWDS</a:t>
          </a:r>
        </a:p>
      </xdr:txBody>
    </xdr:sp>
    <xdr:clientData/>
  </xdr:oneCellAnchor>
  <xdr:twoCellAnchor>
    <xdr:from>
      <xdr:col>60</xdr:col>
      <xdr:colOff>0</xdr:colOff>
      <xdr:row>1</xdr:row>
      <xdr:rowOff>0</xdr:rowOff>
    </xdr:from>
    <xdr:to>
      <xdr:col>72</xdr:col>
      <xdr:colOff>546262</xdr:colOff>
      <xdr:row>9</xdr:row>
      <xdr:rowOff>99391</xdr:rowOff>
    </xdr:to>
    <xdr:sp macro="" textlink="">
      <xdr:nvSpPr>
        <xdr:cNvPr id="200" name="TextBox 199">
          <a:extLst>
            <a:ext uri="{FF2B5EF4-FFF2-40B4-BE49-F238E27FC236}">
              <a16:creationId xmlns:a16="http://schemas.microsoft.com/office/drawing/2014/main" xmlns="" id="{00000000-0008-0000-0700-0000C8000000}"/>
            </a:ext>
          </a:extLst>
        </xdr:cNvPr>
        <xdr:cNvSpPr txBox="1"/>
      </xdr:nvSpPr>
      <xdr:spPr>
        <a:xfrm>
          <a:off x="36576000" y="190500"/>
          <a:ext cx="7861462" cy="1661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RUN64: BUS_CLK</a:t>
          </a:r>
          <a:r>
            <a:rPr lang="en-US" sz="1600" baseline="0"/>
            <a:t> = 32 MHz, SYS_CLK = 64 MHz, PREDIV_SYS_CLK = 112 MHz</a:t>
          </a:r>
        </a:p>
        <a:p>
          <a:r>
            <a:rPr lang="en-US" sz="1600" baseline="0"/>
            <a:t>RUN80: BUS_CLK = 40 MHz, SYS_CLK = 80 MHz, PREDIV_SYS_CLK = 160 MHz</a:t>
          </a:r>
        </a:p>
        <a:p>
          <a:r>
            <a:rPr lang="en-US" sz="1600" baseline="0"/>
            <a:t>HSRUN80: BUS_CLK = 40 MHz, SYS_CLK = 80 MHz, PREDIV_SYS_CLK = 160 MHz</a:t>
          </a:r>
        </a:p>
        <a:p>
          <a:r>
            <a:rPr lang="en-US" sz="1600" baseline="0"/>
            <a:t>HSRUN112: BUS_CLK = 64 MHz, SYS_CLK = 112 MHz, PREDIV_SYS_CLK = 112 MHz</a:t>
          </a:r>
        </a:p>
        <a:p>
          <a:endParaRPr lang="en-US" sz="1600" baseline="0"/>
        </a:p>
        <a:p>
          <a:r>
            <a:rPr lang="en-US" sz="1600" baseline="0"/>
            <a:t>Max SFIF-type and DQSn frequency is 80 MHz.</a:t>
          </a:r>
          <a:endParaRPr lang="en-US" sz="1600"/>
        </a:p>
      </xdr:txBody>
    </xdr:sp>
    <xdr:clientData/>
  </xdr:twoCellAnchor>
  <xdr:twoCellAnchor>
    <xdr:from>
      <xdr:col>50</xdr:col>
      <xdr:colOff>409574</xdr:colOff>
      <xdr:row>11</xdr:row>
      <xdr:rowOff>152400</xdr:rowOff>
    </xdr:from>
    <xdr:to>
      <xdr:col>52</xdr:col>
      <xdr:colOff>186689</xdr:colOff>
      <xdr:row>13</xdr:row>
      <xdr:rowOff>166877</xdr:rowOff>
    </xdr:to>
    <xdr:sp macro="" textlink="">
      <xdr:nvSpPr>
        <xdr:cNvPr id="202" name="Rectangle 201">
          <a:hlinkClick xmlns:r="http://schemas.openxmlformats.org/officeDocument/2006/relationships" r:id="rId13"/>
          <a:extLst>
            <a:ext uri="{FF2B5EF4-FFF2-40B4-BE49-F238E27FC236}">
              <a16:creationId xmlns:a16="http://schemas.microsoft.com/office/drawing/2014/main" xmlns="" id="{00000000-0008-0000-0700-0000CA000000}"/>
            </a:ext>
          </a:extLst>
        </xdr:cNvPr>
        <xdr:cNvSpPr/>
      </xdr:nvSpPr>
      <xdr:spPr>
        <a:xfrm>
          <a:off x="30889574" y="2286000"/>
          <a:ext cx="996315" cy="4240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209550</xdr:colOff>
      <xdr:row>13</xdr:row>
      <xdr:rowOff>38100</xdr:rowOff>
    </xdr:from>
    <xdr:to>
      <xdr:col>55</xdr:col>
      <xdr:colOff>28576</xdr:colOff>
      <xdr:row>13</xdr:row>
      <xdr:rowOff>38100</xdr:rowOff>
    </xdr:to>
    <xdr:cxnSp macro="">
      <xdr:nvCxnSpPr>
        <xdr:cNvPr id="204" name="Straight Arrow Connector 203">
          <a:extLst>
            <a:ext uri="{FF2B5EF4-FFF2-40B4-BE49-F238E27FC236}">
              <a16:creationId xmlns:a16="http://schemas.microsoft.com/office/drawing/2014/main" xmlns="" id="{00000000-0008-0000-0700-0000CC000000}"/>
            </a:ext>
          </a:extLst>
        </xdr:cNvPr>
        <xdr:cNvCxnSpPr/>
      </xdr:nvCxnSpPr>
      <xdr:spPr>
        <a:xfrm>
          <a:off x="31908750" y="2581275"/>
          <a:ext cx="16478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209550</xdr:colOff>
      <xdr:row>24</xdr:row>
      <xdr:rowOff>28575</xdr:rowOff>
    </xdr:from>
    <xdr:to>
      <xdr:col>55</xdr:col>
      <xdr:colOff>28576</xdr:colOff>
      <xdr:row>24</xdr:row>
      <xdr:rowOff>28575</xdr:rowOff>
    </xdr:to>
    <xdr:cxnSp macro="">
      <xdr:nvCxnSpPr>
        <xdr:cNvPr id="208" name="Straight Arrow Connector 207">
          <a:extLst>
            <a:ext uri="{FF2B5EF4-FFF2-40B4-BE49-F238E27FC236}">
              <a16:creationId xmlns:a16="http://schemas.microsoft.com/office/drawing/2014/main" xmlns="" id="{00000000-0008-0000-0700-0000D0000000}"/>
            </a:ext>
          </a:extLst>
        </xdr:cNvPr>
        <xdr:cNvCxnSpPr/>
      </xdr:nvCxnSpPr>
      <xdr:spPr>
        <a:xfrm>
          <a:off x="31908750" y="4800600"/>
          <a:ext cx="16478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180975</xdr:colOff>
      <xdr:row>27</xdr:row>
      <xdr:rowOff>57150</xdr:rowOff>
    </xdr:from>
    <xdr:to>
      <xdr:col>55</xdr:col>
      <xdr:colOff>1</xdr:colOff>
      <xdr:row>27</xdr:row>
      <xdr:rowOff>57150</xdr:rowOff>
    </xdr:to>
    <xdr:cxnSp macro="">
      <xdr:nvCxnSpPr>
        <xdr:cNvPr id="213" name="Straight Arrow Connector 212">
          <a:extLst>
            <a:ext uri="{FF2B5EF4-FFF2-40B4-BE49-F238E27FC236}">
              <a16:creationId xmlns:a16="http://schemas.microsoft.com/office/drawing/2014/main" xmlns="" id="{00000000-0008-0000-0700-0000D5000000}"/>
            </a:ext>
          </a:extLst>
        </xdr:cNvPr>
        <xdr:cNvCxnSpPr/>
      </xdr:nvCxnSpPr>
      <xdr:spPr>
        <a:xfrm>
          <a:off x="31880175" y="5457825"/>
          <a:ext cx="16478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180975</xdr:colOff>
      <xdr:row>34</xdr:row>
      <xdr:rowOff>38100</xdr:rowOff>
    </xdr:from>
    <xdr:to>
      <xdr:col>55</xdr:col>
      <xdr:colOff>28576</xdr:colOff>
      <xdr:row>34</xdr:row>
      <xdr:rowOff>38100</xdr:rowOff>
    </xdr:to>
    <xdr:cxnSp macro="">
      <xdr:nvCxnSpPr>
        <xdr:cNvPr id="216" name="Straight Arrow Connector 215">
          <a:extLst>
            <a:ext uri="{FF2B5EF4-FFF2-40B4-BE49-F238E27FC236}">
              <a16:creationId xmlns:a16="http://schemas.microsoft.com/office/drawing/2014/main" xmlns="" id="{00000000-0008-0000-0700-0000D8000000}"/>
            </a:ext>
          </a:extLst>
        </xdr:cNvPr>
        <xdr:cNvCxnSpPr/>
      </xdr:nvCxnSpPr>
      <xdr:spPr>
        <a:xfrm>
          <a:off x="31880175" y="6848475"/>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419100</xdr:colOff>
      <xdr:row>22</xdr:row>
      <xdr:rowOff>171450</xdr:rowOff>
    </xdr:from>
    <xdr:to>
      <xdr:col>52</xdr:col>
      <xdr:colOff>196215</xdr:colOff>
      <xdr:row>24</xdr:row>
      <xdr:rowOff>176402</xdr:rowOff>
    </xdr:to>
    <xdr:sp macro="" textlink="">
      <xdr:nvSpPr>
        <xdr:cNvPr id="219" name="Rectangle 218">
          <a:hlinkClick xmlns:r="http://schemas.openxmlformats.org/officeDocument/2006/relationships" r:id="rId13"/>
          <a:extLst>
            <a:ext uri="{FF2B5EF4-FFF2-40B4-BE49-F238E27FC236}">
              <a16:creationId xmlns:a16="http://schemas.microsoft.com/office/drawing/2014/main" xmlns="" id="{00000000-0008-0000-0700-0000DB000000}"/>
            </a:ext>
          </a:extLst>
        </xdr:cNvPr>
        <xdr:cNvSpPr/>
      </xdr:nvSpPr>
      <xdr:spPr>
        <a:xfrm>
          <a:off x="30899100" y="4524375"/>
          <a:ext cx="996315" cy="4240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50</xdr:col>
      <xdr:colOff>381000</xdr:colOff>
      <xdr:row>26</xdr:row>
      <xdr:rowOff>152400</xdr:rowOff>
    </xdr:from>
    <xdr:to>
      <xdr:col>52</xdr:col>
      <xdr:colOff>158115</xdr:colOff>
      <xdr:row>28</xdr:row>
      <xdr:rowOff>157352</xdr:rowOff>
    </xdr:to>
    <xdr:sp macro="" textlink="">
      <xdr:nvSpPr>
        <xdr:cNvPr id="220" name="Rectangle 219">
          <a:hlinkClick xmlns:r="http://schemas.openxmlformats.org/officeDocument/2006/relationships" r:id="rId13"/>
          <a:extLst>
            <a:ext uri="{FF2B5EF4-FFF2-40B4-BE49-F238E27FC236}">
              <a16:creationId xmlns:a16="http://schemas.microsoft.com/office/drawing/2014/main" xmlns="" id="{00000000-0008-0000-0700-0000DC000000}"/>
            </a:ext>
          </a:extLst>
        </xdr:cNvPr>
        <xdr:cNvSpPr/>
      </xdr:nvSpPr>
      <xdr:spPr>
        <a:xfrm>
          <a:off x="30861000" y="5343525"/>
          <a:ext cx="996315" cy="4240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50</xdr:col>
      <xdr:colOff>390525</xdr:colOff>
      <xdr:row>32</xdr:row>
      <xdr:rowOff>152400</xdr:rowOff>
    </xdr:from>
    <xdr:to>
      <xdr:col>52</xdr:col>
      <xdr:colOff>167640</xdr:colOff>
      <xdr:row>34</xdr:row>
      <xdr:rowOff>157352</xdr:rowOff>
    </xdr:to>
    <xdr:sp macro="" textlink="">
      <xdr:nvSpPr>
        <xdr:cNvPr id="222" name="Rectangle 221">
          <a:hlinkClick xmlns:r="http://schemas.openxmlformats.org/officeDocument/2006/relationships" r:id="rId13"/>
          <a:extLst>
            <a:ext uri="{FF2B5EF4-FFF2-40B4-BE49-F238E27FC236}">
              <a16:creationId xmlns:a16="http://schemas.microsoft.com/office/drawing/2014/main" xmlns="" id="{00000000-0008-0000-0700-0000DE000000}"/>
            </a:ext>
          </a:extLst>
        </xdr:cNvPr>
        <xdr:cNvSpPr/>
      </xdr:nvSpPr>
      <xdr:spPr>
        <a:xfrm>
          <a:off x="30870525" y="6553200"/>
          <a:ext cx="996315" cy="4145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50</xdr:col>
      <xdr:colOff>409575</xdr:colOff>
      <xdr:row>36</xdr:row>
      <xdr:rowOff>171450</xdr:rowOff>
    </xdr:from>
    <xdr:to>
      <xdr:col>52</xdr:col>
      <xdr:colOff>186690</xdr:colOff>
      <xdr:row>38</xdr:row>
      <xdr:rowOff>166877</xdr:rowOff>
    </xdr:to>
    <xdr:sp macro="" textlink="">
      <xdr:nvSpPr>
        <xdr:cNvPr id="234" name="Rectangle 233">
          <a:hlinkClick xmlns:r="http://schemas.openxmlformats.org/officeDocument/2006/relationships" r:id="rId13"/>
          <a:extLst>
            <a:ext uri="{FF2B5EF4-FFF2-40B4-BE49-F238E27FC236}">
              <a16:creationId xmlns:a16="http://schemas.microsoft.com/office/drawing/2014/main" xmlns="" id="{00000000-0008-0000-0700-0000EA000000}"/>
            </a:ext>
          </a:extLst>
        </xdr:cNvPr>
        <xdr:cNvSpPr/>
      </xdr:nvSpPr>
      <xdr:spPr>
        <a:xfrm>
          <a:off x="30889575" y="7400925"/>
          <a:ext cx="996315" cy="4145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190500</xdr:colOff>
      <xdr:row>38</xdr:row>
      <xdr:rowOff>28575</xdr:rowOff>
    </xdr:from>
    <xdr:to>
      <xdr:col>55</xdr:col>
      <xdr:colOff>38101</xdr:colOff>
      <xdr:row>38</xdr:row>
      <xdr:rowOff>28575</xdr:rowOff>
    </xdr:to>
    <xdr:cxnSp macro="">
      <xdr:nvCxnSpPr>
        <xdr:cNvPr id="235" name="Straight Arrow Connector 234">
          <a:extLst>
            <a:ext uri="{FF2B5EF4-FFF2-40B4-BE49-F238E27FC236}">
              <a16:creationId xmlns:a16="http://schemas.microsoft.com/office/drawing/2014/main" xmlns="" id="{00000000-0008-0000-0700-0000EB000000}"/>
            </a:ext>
          </a:extLst>
        </xdr:cNvPr>
        <xdr:cNvCxnSpPr/>
      </xdr:nvCxnSpPr>
      <xdr:spPr>
        <a:xfrm>
          <a:off x="31889700" y="7677150"/>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390525</xdr:colOff>
      <xdr:row>42</xdr:row>
      <xdr:rowOff>152400</xdr:rowOff>
    </xdr:from>
    <xdr:to>
      <xdr:col>52</xdr:col>
      <xdr:colOff>167640</xdr:colOff>
      <xdr:row>44</xdr:row>
      <xdr:rowOff>157352</xdr:rowOff>
    </xdr:to>
    <xdr:sp macro="" textlink="">
      <xdr:nvSpPr>
        <xdr:cNvPr id="236" name="Rectangle 235">
          <a:hlinkClick xmlns:r="http://schemas.openxmlformats.org/officeDocument/2006/relationships" r:id="rId13"/>
          <a:extLst>
            <a:ext uri="{FF2B5EF4-FFF2-40B4-BE49-F238E27FC236}">
              <a16:creationId xmlns:a16="http://schemas.microsoft.com/office/drawing/2014/main" xmlns="" id="{00000000-0008-0000-0700-0000EC000000}"/>
            </a:ext>
          </a:extLst>
        </xdr:cNvPr>
        <xdr:cNvSpPr/>
      </xdr:nvSpPr>
      <xdr:spPr>
        <a:xfrm>
          <a:off x="30870525" y="8610600"/>
          <a:ext cx="996315" cy="4145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190500</xdr:colOff>
      <xdr:row>44</xdr:row>
      <xdr:rowOff>28575</xdr:rowOff>
    </xdr:from>
    <xdr:to>
      <xdr:col>55</xdr:col>
      <xdr:colOff>38101</xdr:colOff>
      <xdr:row>44</xdr:row>
      <xdr:rowOff>28575</xdr:rowOff>
    </xdr:to>
    <xdr:cxnSp macro="">
      <xdr:nvCxnSpPr>
        <xdr:cNvPr id="237" name="Straight Arrow Connector 236">
          <a:extLst>
            <a:ext uri="{FF2B5EF4-FFF2-40B4-BE49-F238E27FC236}">
              <a16:creationId xmlns:a16="http://schemas.microsoft.com/office/drawing/2014/main" xmlns="" id="{00000000-0008-0000-0700-0000ED000000}"/>
            </a:ext>
          </a:extLst>
        </xdr:cNvPr>
        <xdr:cNvCxnSpPr/>
      </xdr:nvCxnSpPr>
      <xdr:spPr>
        <a:xfrm>
          <a:off x="31889700" y="8896350"/>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400050</xdr:colOff>
      <xdr:row>46</xdr:row>
      <xdr:rowOff>171450</xdr:rowOff>
    </xdr:from>
    <xdr:to>
      <xdr:col>52</xdr:col>
      <xdr:colOff>177165</xdr:colOff>
      <xdr:row>48</xdr:row>
      <xdr:rowOff>166877</xdr:rowOff>
    </xdr:to>
    <xdr:sp macro="" textlink="">
      <xdr:nvSpPr>
        <xdr:cNvPr id="240" name="Rectangle 239">
          <a:hlinkClick xmlns:r="http://schemas.openxmlformats.org/officeDocument/2006/relationships" r:id="rId13"/>
          <a:extLst>
            <a:ext uri="{FF2B5EF4-FFF2-40B4-BE49-F238E27FC236}">
              <a16:creationId xmlns:a16="http://schemas.microsoft.com/office/drawing/2014/main" xmlns="" id="{00000000-0008-0000-0700-0000F0000000}"/>
            </a:ext>
          </a:extLst>
        </xdr:cNvPr>
        <xdr:cNvSpPr/>
      </xdr:nvSpPr>
      <xdr:spPr>
        <a:xfrm>
          <a:off x="30880050" y="9458325"/>
          <a:ext cx="996315" cy="4145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190500</xdr:colOff>
      <xdr:row>48</xdr:row>
      <xdr:rowOff>19050</xdr:rowOff>
    </xdr:from>
    <xdr:to>
      <xdr:col>55</xdr:col>
      <xdr:colOff>38101</xdr:colOff>
      <xdr:row>48</xdr:row>
      <xdr:rowOff>19050</xdr:rowOff>
    </xdr:to>
    <xdr:cxnSp macro="">
      <xdr:nvCxnSpPr>
        <xdr:cNvPr id="241" name="Straight Arrow Connector 240">
          <a:extLst>
            <a:ext uri="{FF2B5EF4-FFF2-40B4-BE49-F238E27FC236}">
              <a16:creationId xmlns:a16="http://schemas.microsoft.com/office/drawing/2014/main" xmlns="" id="{00000000-0008-0000-0700-0000F1000000}"/>
            </a:ext>
          </a:extLst>
        </xdr:cNvPr>
        <xdr:cNvCxnSpPr/>
      </xdr:nvCxnSpPr>
      <xdr:spPr>
        <a:xfrm>
          <a:off x="31889700" y="9725025"/>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400050</xdr:colOff>
      <xdr:row>50</xdr:row>
      <xdr:rowOff>161925</xdr:rowOff>
    </xdr:from>
    <xdr:to>
      <xdr:col>52</xdr:col>
      <xdr:colOff>177165</xdr:colOff>
      <xdr:row>52</xdr:row>
      <xdr:rowOff>176402</xdr:rowOff>
    </xdr:to>
    <xdr:sp macro="" textlink="">
      <xdr:nvSpPr>
        <xdr:cNvPr id="242" name="Rectangle 241">
          <a:hlinkClick xmlns:r="http://schemas.openxmlformats.org/officeDocument/2006/relationships" r:id="rId13"/>
          <a:extLst>
            <a:ext uri="{FF2B5EF4-FFF2-40B4-BE49-F238E27FC236}">
              <a16:creationId xmlns:a16="http://schemas.microsoft.com/office/drawing/2014/main" xmlns="" id="{00000000-0008-0000-0700-0000F2000000}"/>
            </a:ext>
          </a:extLst>
        </xdr:cNvPr>
        <xdr:cNvSpPr/>
      </xdr:nvSpPr>
      <xdr:spPr>
        <a:xfrm>
          <a:off x="30880050" y="10287000"/>
          <a:ext cx="996315" cy="4145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180975</xdr:colOff>
      <xdr:row>52</xdr:row>
      <xdr:rowOff>28575</xdr:rowOff>
    </xdr:from>
    <xdr:to>
      <xdr:col>55</xdr:col>
      <xdr:colOff>28576</xdr:colOff>
      <xdr:row>52</xdr:row>
      <xdr:rowOff>28575</xdr:rowOff>
    </xdr:to>
    <xdr:cxnSp macro="">
      <xdr:nvCxnSpPr>
        <xdr:cNvPr id="243" name="Straight Arrow Connector 242">
          <a:extLst>
            <a:ext uri="{FF2B5EF4-FFF2-40B4-BE49-F238E27FC236}">
              <a16:creationId xmlns:a16="http://schemas.microsoft.com/office/drawing/2014/main" xmlns="" id="{00000000-0008-0000-0700-0000F3000000}"/>
            </a:ext>
          </a:extLst>
        </xdr:cNvPr>
        <xdr:cNvCxnSpPr/>
      </xdr:nvCxnSpPr>
      <xdr:spPr>
        <a:xfrm>
          <a:off x="31880175" y="10553700"/>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390525</xdr:colOff>
      <xdr:row>67</xdr:row>
      <xdr:rowOff>152400</xdr:rowOff>
    </xdr:from>
    <xdr:to>
      <xdr:col>52</xdr:col>
      <xdr:colOff>167640</xdr:colOff>
      <xdr:row>69</xdr:row>
      <xdr:rowOff>166877</xdr:rowOff>
    </xdr:to>
    <xdr:sp macro="" textlink="">
      <xdr:nvSpPr>
        <xdr:cNvPr id="244" name="Rectangle 243">
          <a:hlinkClick xmlns:r="http://schemas.openxmlformats.org/officeDocument/2006/relationships" r:id="rId13"/>
          <a:extLst>
            <a:ext uri="{FF2B5EF4-FFF2-40B4-BE49-F238E27FC236}">
              <a16:creationId xmlns:a16="http://schemas.microsoft.com/office/drawing/2014/main" xmlns="" id="{00000000-0008-0000-0700-0000F4000000}"/>
            </a:ext>
          </a:extLst>
        </xdr:cNvPr>
        <xdr:cNvSpPr/>
      </xdr:nvSpPr>
      <xdr:spPr>
        <a:xfrm>
          <a:off x="30870525" y="13782675"/>
          <a:ext cx="996315" cy="4335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180975</xdr:colOff>
      <xdr:row>69</xdr:row>
      <xdr:rowOff>38100</xdr:rowOff>
    </xdr:from>
    <xdr:to>
      <xdr:col>55</xdr:col>
      <xdr:colOff>28576</xdr:colOff>
      <xdr:row>69</xdr:row>
      <xdr:rowOff>38100</xdr:rowOff>
    </xdr:to>
    <xdr:cxnSp macro="">
      <xdr:nvCxnSpPr>
        <xdr:cNvPr id="245" name="Straight Arrow Connector 244">
          <a:extLst>
            <a:ext uri="{FF2B5EF4-FFF2-40B4-BE49-F238E27FC236}">
              <a16:creationId xmlns:a16="http://schemas.microsoft.com/office/drawing/2014/main" xmlns="" id="{00000000-0008-0000-0700-0000F5000000}"/>
            </a:ext>
          </a:extLst>
        </xdr:cNvPr>
        <xdr:cNvCxnSpPr/>
      </xdr:nvCxnSpPr>
      <xdr:spPr>
        <a:xfrm>
          <a:off x="31880175" y="14087475"/>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400050</xdr:colOff>
      <xdr:row>79</xdr:row>
      <xdr:rowOff>142875</xdr:rowOff>
    </xdr:from>
    <xdr:to>
      <xdr:col>52</xdr:col>
      <xdr:colOff>177165</xdr:colOff>
      <xdr:row>81</xdr:row>
      <xdr:rowOff>157352</xdr:rowOff>
    </xdr:to>
    <xdr:sp macro="" textlink="">
      <xdr:nvSpPr>
        <xdr:cNvPr id="246" name="Rectangle 245">
          <a:hlinkClick xmlns:r="http://schemas.openxmlformats.org/officeDocument/2006/relationships" r:id="rId13"/>
          <a:extLst>
            <a:ext uri="{FF2B5EF4-FFF2-40B4-BE49-F238E27FC236}">
              <a16:creationId xmlns:a16="http://schemas.microsoft.com/office/drawing/2014/main" xmlns="" id="{00000000-0008-0000-0700-0000F6000000}"/>
            </a:ext>
          </a:extLst>
        </xdr:cNvPr>
        <xdr:cNvSpPr/>
      </xdr:nvSpPr>
      <xdr:spPr>
        <a:xfrm>
          <a:off x="30880050" y="16192500"/>
          <a:ext cx="996315" cy="4335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180975</xdr:colOff>
      <xdr:row>81</xdr:row>
      <xdr:rowOff>19050</xdr:rowOff>
    </xdr:from>
    <xdr:to>
      <xdr:col>55</xdr:col>
      <xdr:colOff>28576</xdr:colOff>
      <xdr:row>81</xdr:row>
      <xdr:rowOff>19050</xdr:rowOff>
    </xdr:to>
    <xdr:cxnSp macro="">
      <xdr:nvCxnSpPr>
        <xdr:cNvPr id="247" name="Straight Arrow Connector 246">
          <a:extLst>
            <a:ext uri="{FF2B5EF4-FFF2-40B4-BE49-F238E27FC236}">
              <a16:creationId xmlns:a16="http://schemas.microsoft.com/office/drawing/2014/main" xmlns="" id="{00000000-0008-0000-0700-0000F7000000}"/>
            </a:ext>
          </a:extLst>
        </xdr:cNvPr>
        <xdr:cNvCxnSpPr/>
      </xdr:nvCxnSpPr>
      <xdr:spPr>
        <a:xfrm>
          <a:off x="31880175" y="16487775"/>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390525</xdr:colOff>
      <xdr:row>97</xdr:row>
      <xdr:rowOff>152400</xdr:rowOff>
    </xdr:from>
    <xdr:to>
      <xdr:col>52</xdr:col>
      <xdr:colOff>167640</xdr:colOff>
      <xdr:row>99</xdr:row>
      <xdr:rowOff>166877</xdr:rowOff>
    </xdr:to>
    <xdr:sp macro="" textlink="">
      <xdr:nvSpPr>
        <xdr:cNvPr id="248" name="Rectangle 247">
          <a:hlinkClick xmlns:r="http://schemas.openxmlformats.org/officeDocument/2006/relationships" r:id="rId13"/>
          <a:extLst>
            <a:ext uri="{FF2B5EF4-FFF2-40B4-BE49-F238E27FC236}">
              <a16:creationId xmlns:a16="http://schemas.microsoft.com/office/drawing/2014/main" xmlns="" id="{00000000-0008-0000-0700-0000F8000000}"/>
            </a:ext>
          </a:extLst>
        </xdr:cNvPr>
        <xdr:cNvSpPr/>
      </xdr:nvSpPr>
      <xdr:spPr>
        <a:xfrm>
          <a:off x="30870525" y="19802475"/>
          <a:ext cx="996315" cy="4335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52</xdr:col>
      <xdr:colOff>180975</xdr:colOff>
      <xdr:row>99</xdr:row>
      <xdr:rowOff>38100</xdr:rowOff>
    </xdr:from>
    <xdr:to>
      <xdr:col>55</xdr:col>
      <xdr:colOff>28576</xdr:colOff>
      <xdr:row>99</xdr:row>
      <xdr:rowOff>38100</xdr:rowOff>
    </xdr:to>
    <xdr:cxnSp macro="">
      <xdr:nvCxnSpPr>
        <xdr:cNvPr id="249" name="Straight Arrow Connector 248">
          <a:extLst>
            <a:ext uri="{FF2B5EF4-FFF2-40B4-BE49-F238E27FC236}">
              <a16:creationId xmlns:a16="http://schemas.microsoft.com/office/drawing/2014/main" xmlns="" id="{00000000-0008-0000-0700-0000F9000000}"/>
            </a:ext>
          </a:extLst>
        </xdr:cNvPr>
        <xdr:cNvCxnSpPr/>
      </xdr:nvCxnSpPr>
      <xdr:spPr>
        <a:xfrm>
          <a:off x="31880175" y="20107275"/>
          <a:ext cx="1676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123825</xdr:colOff>
      <xdr:row>0</xdr:row>
      <xdr:rowOff>57150</xdr:rowOff>
    </xdr:from>
    <xdr:ext cx="5619750" cy="895348"/>
    <xdr:sp macro="" textlink="">
      <xdr:nvSpPr>
        <xdr:cNvPr id="2" name="TextBox 1">
          <a:extLst>
            <a:ext uri="{FF2B5EF4-FFF2-40B4-BE49-F238E27FC236}">
              <a16:creationId xmlns:a16="http://schemas.microsoft.com/office/drawing/2014/main" xmlns="" id="{00000000-0008-0000-0800-000002000000}"/>
            </a:ext>
          </a:extLst>
        </xdr:cNvPr>
        <xdr:cNvSpPr txBox="1"/>
      </xdr:nvSpPr>
      <xdr:spPr>
        <a:xfrm>
          <a:off x="733425" y="57150"/>
          <a:ext cx="5619750"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S32K148 ENET Clocking In-Depth</a:t>
          </a:r>
        </a:p>
      </xdr:txBody>
    </xdr:sp>
    <xdr:clientData/>
  </xdr:oneCellAnchor>
  <xdr:oneCellAnchor>
    <xdr:from>
      <xdr:col>0</xdr:col>
      <xdr:colOff>514350</xdr:colOff>
      <xdr:row>6</xdr:row>
      <xdr:rowOff>133350</xdr:rowOff>
    </xdr:from>
    <xdr:ext cx="847725" cy="266700"/>
    <xdr:sp macro="" textlink="">
      <xdr:nvSpPr>
        <xdr:cNvPr id="3" name="TextBox 2">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514350" y="12763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SYS_CLK</a:t>
          </a:r>
        </a:p>
      </xdr:txBody>
    </xdr:sp>
    <xdr:clientData/>
  </xdr:oneCellAnchor>
  <xdr:oneCellAnchor>
    <xdr:from>
      <xdr:col>2</xdr:col>
      <xdr:colOff>438150</xdr:colOff>
      <xdr:row>6</xdr:row>
      <xdr:rowOff>133350</xdr:rowOff>
    </xdr:from>
    <xdr:ext cx="990600" cy="266700"/>
    <xdr:sp macro="" textlink="">
      <xdr:nvSpPr>
        <xdr:cNvPr id="4" name="TextBox 3">
          <a:hlinkClick xmlns:r="http://schemas.openxmlformats.org/officeDocument/2006/relationships" r:id="rId2"/>
          <a:extLst>
            <a:ext uri="{FF2B5EF4-FFF2-40B4-BE49-F238E27FC236}">
              <a16:creationId xmlns:a16="http://schemas.microsoft.com/office/drawing/2014/main" xmlns="" id="{00000000-0008-0000-0800-000004000000}"/>
            </a:ext>
          </a:extLst>
        </xdr:cNvPr>
        <xdr:cNvSpPr txBox="1"/>
      </xdr:nvSpPr>
      <xdr:spPr>
        <a:xfrm>
          <a:off x="1657350" y="12763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SPLLDIV1_CLK</a:t>
          </a:r>
        </a:p>
      </xdr:txBody>
    </xdr:sp>
    <xdr:clientData/>
  </xdr:oneCellAnchor>
  <xdr:oneCellAnchor>
    <xdr:from>
      <xdr:col>4</xdr:col>
      <xdr:colOff>428625</xdr:colOff>
      <xdr:row>6</xdr:row>
      <xdr:rowOff>133350</xdr:rowOff>
    </xdr:from>
    <xdr:ext cx="990600" cy="266700"/>
    <xdr:sp macro="" textlink="">
      <xdr:nvSpPr>
        <xdr:cNvPr id="5" name="TextBox 4">
          <a:hlinkClick xmlns:r="http://schemas.openxmlformats.org/officeDocument/2006/relationships" r:id="rId3"/>
          <a:extLst>
            <a:ext uri="{FF2B5EF4-FFF2-40B4-BE49-F238E27FC236}">
              <a16:creationId xmlns:a16="http://schemas.microsoft.com/office/drawing/2014/main" xmlns="" id="{00000000-0008-0000-0800-000005000000}"/>
            </a:ext>
          </a:extLst>
        </xdr:cNvPr>
        <xdr:cNvSpPr txBox="1"/>
      </xdr:nvSpPr>
      <xdr:spPr>
        <a:xfrm>
          <a:off x="2867025" y="12763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FIRCDIV1_CLK</a:t>
          </a:r>
        </a:p>
      </xdr:txBody>
    </xdr:sp>
    <xdr:clientData/>
  </xdr:oneCellAnchor>
  <xdr:oneCellAnchor>
    <xdr:from>
      <xdr:col>6</xdr:col>
      <xdr:colOff>476250</xdr:colOff>
      <xdr:row>6</xdr:row>
      <xdr:rowOff>133350</xdr:rowOff>
    </xdr:from>
    <xdr:ext cx="990600" cy="266700"/>
    <xdr:sp macro="" textlink="">
      <xdr:nvSpPr>
        <xdr:cNvPr id="6" name="TextBox 5">
          <a:hlinkClick xmlns:r="http://schemas.openxmlformats.org/officeDocument/2006/relationships" r:id="rId4"/>
          <a:extLst>
            <a:ext uri="{FF2B5EF4-FFF2-40B4-BE49-F238E27FC236}">
              <a16:creationId xmlns:a16="http://schemas.microsoft.com/office/drawing/2014/main" xmlns="" id="{00000000-0008-0000-0800-000006000000}"/>
            </a:ext>
          </a:extLst>
        </xdr:cNvPr>
        <xdr:cNvSpPr txBox="1"/>
      </xdr:nvSpPr>
      <xdr:spPr>
        <a:xfrm>
          <a:off x="4133850" y="1276350"/>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SIRCDIV1_CLK</a:t>
          </a:r>
        </a:p>
      </xdr:txBody>
    </xdr:sp>
    <xdr:clientData/>
  </xdr:oneCellAnchor>
  <xdr:oneCellAnchor>
    <xdr:from>
      <xdr:col>8</xdr:col>
      <xdr:colOff>441815</xdr:colOff>
      <xdr:row>6</xdr:row>
      <xdr:rowOff>138479</xdr:rowOff>
    </xdr:from>
    <xdr:ext cx="990600" cy="266700"/>
    <xdr:sp macro="" textlink="">
      <xdr:nvSpPr>
        <xdr:cNvPr id="7" name="TextBox 6">
          <a:hlinkClick xmlns:r="http://schemas.openxmlformats.org/officeDocument/2006/relationships" r:id="rId5"/>
          <a:extLst>
            <a:ext uri="{FF2B5EF4-FFF2-40B4-BE49-F238E27FC236}">
              <a16:creationId xmlns:a16="http://schemas.microsoft.com/office/drawing/2014/main" xmlns="" id="{00000000-0008-0000-0800-000007000000}"/>
            </a:ext>
          </a:extLst>
        </xdr:cNvPr>
        <xdr:cNvSpPr txBox="1"/>
      </xdr:nvSpPr>
      <xdr:spPr>
        <a:xfrm>
          <a:off x="5318615" y="1281479"/>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SOSCDIV1_CLK</a:t>
          </a:r>
        </a:p>
      </xdr:txBody>
    </xdr:sp>
    <xdr:clientData/>
  </xdr:oneCellAnchor>
  <xdr:twoCellAnchor>
    <xdr:from>
      <xdr:col>1</xdr:col>
      <xdr:colOff>314325</xdr:colOff>
      <xdr:row>9</xdr:row>
      <xdr:rowOff>28575</xdr:rowOff>
    </xdr:from>
    <xdr:to>
      <xdr:col>1</xdr:col>
      <xdr:colOff>314325</xdr:colOff>
      <xdr:row>44</xdr:row>
      <xdr:rowOff>165652</xdr:rowOff>
    </xdr:to>
    <xdr:cxnSp macro="">
      <xdr:nvCxnSpPr>
        <xdr:cNvPr id="8" name="Straight Arrow Connector 7">
          <a:extLst>
            <a:ext uri="{FF2B5EF4-FFF2-40B4-BE49-F238E27FC236}">
              <a16:creationId xmlns:a16="http://schemas.microsoft.com/office/drawing/2014/main" xmlns="" id="{00000000-0008-0000-0800-000008000000}"/>
            </a:ext>
          </a:extLst>
        </xdr:cNvPr>
        <xdr:cNvCxnSpPr/>
      </xdr:nvCxnSpPr>
      <xdr:spPr>
        <a:xfrm>
          <a:off x="927238" y="1767923"/>
          <a:ext cx="0" cy="6945381"/>
        </a:xfrm>
        <a:prstGeom prst="straightConnector1">
          <a:avLst/>
        </a:prstGeom>
        <a:ln w="19050">
          <a:solidFill>
            <a:schemeClr val="accent5"/>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304800</xdr:colOff>
      <xdr:row>9</xdr:row>
      <xdr:rowOff>47625</xdr:rowOff>
    </xdr:from>
    <xdr:to>
      <xdr:col>3</xdr:col>
      <xdr:colOff>304800</xdr:colOff>
      <xdr:row>44</xdr:row>
      <xdr:rowOff>173935</xdr:rowOff>
    </xdr:to>
    <xdr:cxnSp macro="">
      <xdr:nvCxnSpPr>
        <xdr:cNvPr id="9" name="Straight Arrow Connector 8">
          <a:extLst>
            <a:ext uri="{FF2B5EF4-FFF2-40B4-BE49-F238E27FC236}">
              <a16:creationId xmlns:a16="http://schemas.microsoft.com/office/drawing/2014/main" xmlns="" id="{00000000-0008-0000-0800-000009000000}"/>
            </a:ext>
          </a:extLst>
        </xdr:cNvPr>
        <xdr:cNvCxnSpPr/>
      </xdr:nvCxnSpPr>
      <xdr:spPr>
        <a:xfrm>
          <a:off x="2143539" y="1786973"/>
          <a:ext cx="0" cy="6934614"/>
        </a:xfrm>
        <a:prstGeom prst="straightConnector1">
          <a:avLst/>
        </a:prstGeom>
        <a:ln w="38100">
          <a:solidFill>
            <a:srgbClr val="00B05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304800</xdr:colOff>
      <xdr:row>9</xdr:row>
      <xdr:rowOff>38100</xdr:rowOff>
    </xdr:from>
    <xdr:to>
      <xdr:col>5</xdr:col>
      <xdr:colOff>304800</xdr:colOff>
      <xdr:row>44</xdr:row>
      <xdr:rowOff>157370</xdr:rowOff>
    </xdr:to>
    <xdr:cxnSp macro="">
      <xdr:nvCxnSpPr>
        <xdr:cNvPr id="10" name="Straight Arrow Connector 9">
          <a:extLst>
            <a:ext uri="{FF2B5EF4-FFF2-40B4-BE49-F238E27FC236}">
              <a16:creationId xmlns:a16="http://schemas.microsoft.com/office/drawing/2014/main" xmlns="" id="{00000000-0008-0000-0800-00000A000000}"/>
            </a:ext>
          </a:extLst>
        </xdr:cNvPr>
        <xdr:cNvCxnSpPr/>
      </xdr:nvCxnSpPr>
      <xdr:spPr>
        <a:xfrm>
          <a:off x="3369365" y="1777448"/>
          <a:ext cx="0" cy="6927574"/>
        </a:xfrm>
        <a:prstGeom prst="straightConnector1">
          <a:avLst/>
        </a:prstGeom>
        <a:ln w="38100">
          <a:solidFill>
            <a:srgbClr val="0070C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304800</xdr:colOff>
      <xdr:row>9</xdr:row>
      <xdr:rowOff>28575</xdr:rowOff>
    </xdr:from>
    <xdr:to>
      <xdr:col>9</xdr:col>
      <xdr:colOff>304800</xdr:colOff>
      <xdr:row>44</xdr:row>
      <xdr:rowOff>165652</xdr:rowOff>
    </xdr:to>
    <xdr:cxnSp macro="">
      <xdr:nvCxnSpPr>
        <xdr:cNvPr id="11" name="Straight Arrow Connector 10">
          <a:extLst>
            <a:ext uri="{FF2B5EF4-FFF2-40B4-BE49-F238E27FC236}">
              <a16:creationId xmlns:a16="http://schemas.microsoft.com/office/drawing/2014/main" xmlns="" id="{00000000-0008-0000-0800-00000B000000}"/>
            </a:ext>
          </a:extLst>
        </xdr:cNvPr>
        <xdr:cNvCxnSpPr/>
      </xdr:nvCxnSpPr>
      <xdr:spPr>
        <a:xfrm flipV="1">
          <a:off x="5821017" y="1767923"/>
          <a:ext cx="0" cy="6945381"/>
        </a:xfrm>
        <a:prstGeom prst="straightConnector1">
          <a:avLst/>
        </a:prstGeom>
        <a:ln w="38100">
          <a:solidFill>
            <a:srgbClr val="FF00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314325</xdr:colOff>
      <xdr:row>9</xdr:row>
      <xdr:rowOff>47625</xdr:rowOff>
    </xdr:from>
    <xdr:to>
      <xdr:col>7</xdr:col>
      <xdr:colOff>314325</xdr:colOff>
      <xdr:row>44</xdr:row>
      <xdr:rowOff>149087</xdr:rowOff>
    </xdr:to>
    <xdr:cxnSp macro="">
      <xdr:nvCxnSpPr>
        <xdr:cNvPr id="12" name="Straight Arrow Connector 11">
          <a:extLst>
            <a:ext uri="{FF2B5EF4-FFF2-40B4-BE49-F238E27FC236}">
              <a16:creationId xmlns:a16="http://schemas.microsoft.com/office/drawing/2014/main" xmlns="" id="{00000000-0008-0000-0800-00000C000000}"/>
            </a:ext>
          </a:extLst>
        </xdr:cNvPr>
        <xdr:cNvCxnSpPr/>
      </xdr:nvCxnSpPr>
      <xdr:spPr>
        <a:xfrm>
          <a:off x="4604716" y="1786973"/>
          <a:ext cx="0" cy="6909766"/>
        </a:xfrm>
        <a:prstGeom prst="straightConnector1">
          <a:avLst/>
        </a:prstGeom>
        <a:ln w="38100">
          <a:solidFill>
            <a:srgbClr val="FFC0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310091</xdr:colOff>
      <xdr:row>12</xdr:row>
      <xdr:rowOff>99392</xdr:rowOff>
    </xdr:from>
    <xdr:to>
      <xdr:col>12</xdr:col>
      <xdr:colOff>397565</xdr:colOff>
      <xdr:row>12</xdr:row>
      <xdr:rowOff>99392</xdr:rowOff>
    </xdr:to>
    <xdr:cxnSp macro="">
      <xdr:nvCxnSpPr>
        <xdr:cNvPr id="23" name="Straight Arrow Connector 22">
          <a:extLst>
            <a:ext uri="{FF2B5EF4-FFF2-40B4-BE49-F238E27FC236}">
              <a16:creationId xmlns:a16="http://schemas.microsoft.com/office/drawing/2014/main" xmlns="" id="{00000000-0008-0000-0800-000017000000}"/>
            </a:ext>
          </a:extLst>
        </xdr:cNvPr>
        <xdr:cNvCxnSpPr/>
      </xdr:nvCxnSpPr>
      <xdr:spPr>
        <a:xfrm>
          <a:off x="923004" y="2418522"/>
          <a:ext cx="6829518" cy="0"/>
        </a:xfrm>
        <a:prstGeom prst="straightConnector1">
          <a:avLst/>
        </a:prstGeom>
        <a:ln w="19050">
          <a:solidFill>
            <a:schemeClr val="accent5"/>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414130</xdr:colOff>
      <xdr:row>9</xdr:row>
      <xdr:rowOff>149087</xdr:rowOff>
    </xdr:from>
    <xdr:to>
      <xdr:col>14</xdr:col>
      <xdr:colOff>205763</xdr:colOff>
      <xdr:row>14</xdr:row>
      <xdr:rowOff>185408</xdr:rowOff>
    </xdr:to>
    <xdr:sp macro="" textlink="">
      <xdr:nvSpPr>
        <xdr:cNvPr id="27" name="Rectangle 26">
          <a:extLst>
            <a:ext uri="{FF2B5EF4-FFF2-40B4-BE49-F238E27FC236}">
              <a16:creationId xmlns:a16="http://schemas.microsoft.com/office/drawing/2014/main" xmlns="" id="{00000000-0008-0000-0800-00001B000000}"/>
            </a:ext>
          </a:extLst>
        </xdr:cNvPr>
        <xdr:cNvSpPr/>
      </xdr:nvSpPr>
      <xdr:spPr>
        <a:xfrm>
          <a:off x="7769087" y="1888435"/>
          <a:ext cx="1017459" cy="10550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ENET Clock Enable</a:t>
          </a:r>
          <a:endParaRPr lang="en-US" sz="1100" baseline="0"/>
        </a:p>
        <a:p>
          <a:pPr algn="ctr"/>
          <a:r>
            <a:rPr lang="en-US" sz="900"/>
            <a:t>PCC_ENET[CGC]</a:t>
          </a:r>
        </a:p>
      </xdr:txBody>
    </xdr:sp>
    <xdr:clientData/>
  </xdr:twoCellAnchor>
  <xdr:oneCellAnchor>
    <xdr:from>
      <xdr:col>12</xdr:col>
      <xdr:colOff>579783</xdr:colOff>
      <xdr:row>15</xdr:row>
      <xdr:rowOff>198783</xdr:rowOff>
    </xdr:from>
    <xdr:ext cx="860534" cy="367862"/>
    <xdr:sp macro="" textlink="">
      <xdr:nvSpPr>
        <xdr:cNvPr id="29" name="TextBox 28">
          <a:extLst>
            <a:ext uri="{FF2B5EF4-FFF2-40B4-BE49-F238E27FC236}">
              <a16:creationId xmlns:a16="http://schemas.microsoft.com/office/drawing/2014/main" xmlns="" id="{00000000-0008-0000-0800-00001D000000}"/>
            </a:ext>
          </a:extLst>
        </xdr:cNvPr>
        <xdr:cNvSpPr txBox="1"/>
      </xdr:nvSpPr>
      <xdr:spPr>
        <a:xfrm>
          <a:off x="7934740" y="3097696"/>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12</xdr:col>
      <xdr:colOff>389283</xdr:colOff>
      <xdr:row>30</xdr:row>
      <xdr:rowOff>57975</xdr:rowOff>
    </xdr:from>
    <xdr:to>
      <xdr:col>14</xdr:col>
      <xdr:colOff>180916</xdr:colOff>
      <xdr:row>34</xdr:row>
      <xdr:rowOff>165619</xdr:rowOff>
    </xdr:to>
    <xdr:sp macro="" textlink="">
      <xdr:nvSpPr>
        <xdr:cNvPr id="32" name="Rectangle 31">
          <a:extLst>
            <a:ext uri="{FF2B5EF4-FFF2-40B4-BE49-F238E27FC236}">
              <a16:creationId xmlns:a16="http://schemas.microsoft.com/office/drawing/2014/main" xmlns="" id="{00000000-0008-0000-0800-000020000000}"/>
            </a:ext>
          </a:extLst>
        </xdr:cNvPr>
        <xdr:cNvSpPr/>
      </xdr:nvSpPr>
      <xdr:spPr>
        <a:xfrm>
          <a:off x="7744240" y="5938627"/>
          <a:ext cx="1017459" cy="8696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ENET Per.</a:t>
          </a:r>
          <a:r>
            <a:rPr lang="en-US" sz="1100" baseline="0"/>
            <a:t> </a:t>
          </a:r>
          <a:r>
            <a:rPr lang="en-US" sz="1100"/>
            <a:t>Clk.</a:t>
          </a:r>
          <a:r>
            <a:rPr lang="en-US" sz="1100" baseline="0"/>
            <a:t> Select</a:t>
          </a:r>
        </a:p>
        <a:p>
          <a:pPr algn="ctr"/>
          <a:r>
            <a:rPr lang="en-US" sz="900"/>
            <a:t>PCC_ENET[PCS]</a:t>
          </a:r>
        </a:p>
      </xdr:txBody>
    </xdr:sp>
    <xdr:clientData/>
  </xdr:twoCellAnchor>
  <xdr:oneCellAnchor>
    <xdr:from>
      <xdr:col>12</xdr:col>
      <xdr:colOff>571500</xdr:colOff>
      <xdr:row>36</xdr:row>
      <xdr:rowOff>8280</xdr:rowOff>
    </xdr:from>
    <xdr:ext cx="1152526" cy="1116726"/>
    <xdr:sp macro="" textlink="">
      <xdr:nvSpPr>
        <xdr:cNvPr id="33" name="TextBox 32">
          <a:extLst>
            <a:ext uri="{FF2B5EF4-FFF2-40B4-BE49-F238E27FC236}">
              <a16:creationId xmlns:a16="http://schemas.microsoft.com/office/drawing/2014/main" xmlns="" id="{00000000-0008-0000-0800-000021000000}"/>
            </a:ext>
          </a:extLst>
        </xdr:cNvPr>
        <xdr:cNvSpPr txBox="1"/>
      </xdr:nvSpPr>
      <xdr:spPr>
        <a:xfrm>
          <a:off x="7926457" y="7031932"/>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a:t>
          </a:r>
          <a:r>
            <a:rPr lang="en-US" sz="800" baseline="0"/>
            <a:t> Clock</a:t>
          </a:r>
          <a:endParaRPr lang="en-US" sz="800"/>
        </a:p>
        <a:p>
          <a:r>
            <a:rPr lang="en-US" sz="800"/>
            <a:t>1 - SOSCDIV1_CLK</a:t>
          </a:r>
        </a:p>
        <a:p>
          <a:r>
            <a:rPr lang="en-US" sz="800"/>
            <a:t>2 - SIRCDIV1_CLK</a:t>
          </a:r>
        </a:p>
        <a:p>
          <a:r>
            <a:rPr lang="en-US" sz="800"/>
            <a:t>3</a:t>
          </a:r>
          <a:r>
            <a:rPr lang="en-US" sz="800" baseline="0"/>
            <a:t> - FIRCDIV1_CLK</a:t>
          </a:r>
        </a:p>
        <a:p>
          <a:r>
            <a:rPr lang="en-US" sz="800" baseline="0"/>
            <a:t>4 - Reserved</a:t>
          </a:r>
        </a:p>
        <a:p>
          <a:r>
            <a:rPr lang="en-US" sz="800" baseline="0"/>
            <a:t>5 - Reserved</a:t>
          </a:r>
          <a:r>
            <a:rPr lang="en-US" sz="800"/>
            <a:t/>
          </a:r>
          <a:br>
            <a:rPr lang="en-US" sz="800"/>
          </a:br>
          <a:r>
            <a:rPr lang="en-US" sz="800"/>
            <a:t>6</a:t>
          </a:r>
          <a:r>
            <a:rPr lang="en-US" sz="800" baseline="0"/>
            <a:t> - SPLLDIV1_CLK</a:t>
          </a:r>
        </a:p>
        <a:p>
          <a:r>
            <a:rPr lang="en-US" sz="800" baseline="0"/>
            <a:t>7 - Reserved</a:t>
          </a:r>
          <a:endParaRPr lang="en-US" sz="800"/>
        </a:p>
      </xdr:txBody>
    </xdr:sp>
    <xdr:clientData/>
  </xdr:oneCellAnchor>
  <xdr:twoCellAnchor>
    <xdr:from>
      <xdr:col>9</xdr:col>
      <xdr:colOff>303593</xdr:colOff>
      <xdr:row>30</xdr:row>
      <xdr:rowOff>173929</xdr:rowOff>
    </xdr:from>
    <xdr:to>
      <xdr:col>12</xdr:col>
      <xdr:colOff>356152</xdr:colOff>
      <xdr:row>30</xdr:row>
      <xdr:rowOff>173929</xdr:rowOff>
    </xdr:to>
    <xdr:cxnSp macro="">
      <xdr:nvCxnSpPr>
        <xdr:cNvPr id="34" name="Straight Arrow Connector 33">
          <a:extLst>
            <a:ext uri="{FF2B5EF4-FFF2-40B4-BE49-F238E27FC236}">
              <a16:creationId xmlns:a16="http://schemas.microsoft.com/office/drawing/2014/main" xmlns="" id="{00000000-0008-0000-0800-000022000000}"/>
            </a:ext>
          </a:extLst>
        </xdr:cNvPr>
        <xdr:cNvCxnSpPr/>
      </xdr:nvCxnSpPr>
      <xdr:spPr>
        <a:xfrm>
          <a:off x="5819810" y="6054581"/>
          <a:ext cx="1891299"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316334</xdr:colOff>
      <xdr:row>32</xdr:row>
      <xdr:rowOff>8282</xdr:rowOff>
    </xdr:from>
    <xdr:to>
      <xdr:col>12</xdr:col>
      <xdr:colOff>356152</xdr:colOff>
      <xdr:row>32</xdr:row>
      <xdr:rowOff>8283</xdr:rowOff>
    </xdr:to>
    <xdr:cxnSp macro="">
      <xdr:nvCxnSpPr>
        <xdr:cNvPr id="38" name="Straight Arrow Connector 37">
          <a:extLst>
            <a:ext uri="{FF2B5EF4-FFF2-40B4-BE49-F238E27FC236}">
              <a16:creationId xmlns:a16="http://schemas.microsoft.com/office/drawing/2014/main" xmlns="" id="{00000000-0008-0000-0800-000026000000}"/>
            </a:ext>
          </a:extLst>
        </xdr:cNvPr>
        <xdr:cNvCxnSpPr/>
      </xdr:nvCxnSpPr>
      <xdr:spPr>
        <a:xfrm flipV="1">
          <a:off x="4606725" y="6269934"/>
          <a:ext cx="3104384" cy="1"/>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310597</xdr:colOff>
      <xdr:row>33</xdr:row>
      <xdr:rowOff>57969</xdr:rowOff>
    </xdr:from>
    <xdr:to>
      <xdr:col>12</xdr:col>
      <xdr:colOff>356152</xdr:colOff>
      <xdr:row>33</xdr:row>
      <xdr:rowOff>57969</xdr:rowOff>
    </xdr:to>
    <xdr:cxnSp macro="">
      <xdr:nvCxnSpPr>
        <xdr:cNvPr id="42" name="Straight Arrow Connector 41">
          <a:extLst>
            <a:ext uri="{FF2B5EF4-FFF2-40B4-BE49-F238E27FC236}">
              <a16:creationId xmlns:a16="http://schemas.microsoft.com/office/drawing/2014/main" xmlns="" id="{00000000-0008-0000-0800-00002A000000}"/>
            </a:ext>
          </a:extLst>
        </xdr:cNvPr>
        <xdr:cNvCxnSpPr/>
      </xdr:nvCxnSpPr>
      <xdr:spPr>
        <a:xfrm>
          <a:off x="3375162" y="6510121"/>
          <a:ext cx="4335947"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304862</xdr:colOff>
      <xdr:row>34</xdr:row>
      <xdr:rowOff>99387</xdr:rowOff>
    </xdr:from>
    <xdr:to>
      <xdr:col>12</xdr:col>
      <xdr:colOff>356152</xdr:colOff>
      <xdr:row>34</xdr:row>
      <xdr:rowOff>99387</xdr:rowOff>
    </xdr:to>
    <xdr:cxnSp macro="">
      <xdr:nvCxnSpPr>
        <xdr:cNvPr id="45" name="Straight Arrow Connector 44">
          <a:extLst>
            <a:ext uri="{FF2B5EF4-FFF2-40B4-BE49-F238E27FC236}">
              <a16:creationId xmlns:a16="http://schemas.microsoft.com/office/drawing/2014/main" xmlns="" id="{00000000-0008-0000-0800-00002D000000}"/>
            </a:ext>
          </a:extLst>
        </xdr:cNvPr>
        <xdr:cNvCxnSpPr/>
      </xdr:nvCxnSpPr>
      <xdr:spPr>
        <a:xfrm>
          <a:off x="2143601" y="6742039"/>
          <a:ext cx="5567508" cy="0"/>
        </a:xfrm>
        <a:prstGeom prst="straightConnector1">
          <a:avLst/>
        </a:prstGeom>
        <a:ln w="38100">
          <a:solidFill>
            <a:srgbClr val="00B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198782</xdr:colOff>
      <xdr:row>33</xdr:row>
      <xdr:rowOff>24844</xdr:rowOff>
    </xdr:from>
    <xdr:to>
      <xdr:col>16</xdr:col>
      <xdr:colOff>438978</xdr:colOff>
      <xdr:row>33</xdr:row>
      <xdr:rowOff>24844</xdr:rowOff>
    </xdr:to>
    <xdr:cxnSp macro="">
      <xdr:nvCxnSpPr>
        <xdr:cNvPr id="48" name="Straight Arrow Connector 47">
          <a:extLst>
            <a:ext uri="{FF2B5EF4-FFF2-40B4-BE49-F238E27FC236}">
              <a16:creationId xmlns:a16="http://schemas.microsoft.com/office/drawing/2014/main" xmlns="" id="{00000000-0008-0000-0800-000030000000}"/>
            </a:ext>
          </a:extLst>
        </xdr:cNvPr>
        <xdr:cNvCxnSpPr/>
      </xdr:nvCxnSpPr>
      <xdr:spPr>
        <a:xfrm>
          <a:off x="8779565" y="6476996"/>
          <a:ext cx="14660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414128</xdr:colOff>
      <xdr:row>30</xdr:row>
      <xdr:rowOff>57974</xdr:rowOff>
    </xdr:from>
    <xdr:to>
      <xdr:col>18</xdr:col>
      <xdr:colOff>205761</xdr:colOff>
      <xdr:row>34</xdr:row>
      <xdr:rowOff>165618</xdr:rowOff>
    </xdr:to>
    <xdr:sp macro="" textlink="">
      <xdr:nvSpPr>
        <xdr:cNvPr id="49" name="Rectangle 48">
          <a:extLst>
            <a:ext uri="{FF2B5EF4-FFF2-40B4-BE49-F238E27FC236}">
              <a16:creationId xmlns:a16="http://schemas.microsoft.com/office/drawing/2014/main" xmlns="" id="{00000000-0008-0000-0800-000031000000}"/>
            </a:ext>
          </a:extLst>
        </xdr:cNvPr>
        <xdr:cNvSpPr/>
      </xdr:nvSpPr>
      <xdr:spPr>
        <a:xfrm>
          <a:off x="10220737" y="5938626"/>
          <a:ext cx="1017459" cy="8696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ENET Fractional Numerator</a:t>
          </a:r>
          <a:endParaRPr lang="en-US" sz="1100" baseline="0"/>
        </a:p>
        <a:p>
          <a:pPr algn="ctr"/>
          <a:r>
            <a:rPr lang="en-US" sz="900"/>
            <a:t>PCC_ENET[FRAC]</a:t>
          </a:r>
        </a:p>
      </xdr:txBody>
    </xdr:sp>
    <xdr:clientData/>
  </xdr:twoCellAnchor>
  <xdr:oneCellAnchor>
    <xdr:from>
      <xdr:col>16</xdr:col>
      <xdr:colOff>571499</xdr:colOff>
      <xdr:row>36</xdr:row>
      <xdr:rowOff>16562</xdr:rowOff>
    </xdr:from>
    <xdr:ext cx="1515717" cy="367862"/>
    <xdr:sp macro="" textlink="">
      <xdr:nvSpPr>
        <xdr:cNvPr id="52" name="TextBox 51">
          <a:extLst>
            <a:ext uri="{FF2B5EF4-FFF2-40B4-BE49-F238E27FC236}">
              <a16:creationId xmlns:a16="http://schemas.microsoft.com/office/drawing/2014/main" xmlns="" id="{00000000-0008-0000-0800-000034000000}"/>
            </a:ext>
          </a:extLst>
        </xdr:cNvPr>
        <xdr:cNvSpPr txBox="1"/>
      </xdr:nvSpPr>
      <xdr:spPr>
        <a:xfrm>
          <a:off x="10378108" y="7040214"/>
          <a:ext cx="1515717"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Numerator</a:t>
          </a:r>
          <a:r>
            <a:rPr lang="en-US" sz="800" baseline="0"/>
            <a:t> is 1</a:t>
          </a:r>
          <a:endParaRPr lang="en-US" sz="800"/>
        </a:p>
        <a:p>
          <a:r>
            <a:rPr lang="en-US" sz="800"/>
            <a:t>1 - Numerator</a:t>
          </a:r>
          <a:r>
            <a:rPr lang="en-US" sz="800" baseline="0"/>
            <a:t> is 2</a:t>
          </a:r>
          <a:endParaRPr lang="en-US" sz="800"/>
        </a:p>
      </xdr:txBody>
    </xdr:sp>
    <xdr:clientData/>
  </xdr:oneCellAnchor>
  <xdr:twoCellAnchor>
    <xdr:from>
      <xdr:col>18</xdr:col>
      <xdr:colOff>223631</xdr:colOff>
      <xdr:row>33</xdr:row>
      <xdr:rowOff>24845</xdr:rowOff>
    </xdr:from>
    <xdr:to>
      <xdr:col>19</xdr:col>
      <xdr:colOff>381000</xdr:colOff>
      <xdr:row>33</xdr:row>
      <xdr:rowOff>24845</xdr:rowOff>
    </xdr:to>
    <xdr:cxnSp macro="">
      <xdr:nvCxnSpPr>
        <xdr:cNvPr id="53" name="Straight Arrow Connector 52">
          <a:extLst>
            <a:ext uri="{FF2B5EF4-FFF2-40B4-BE49-F238E27FC236}">
              <a16:creationId xmlns:a16="http://schemas.microsoft.com/office/drawing/2014/main" xmlns="" id="{00000000-0008-0000-0800-000035000000}"/>
            </a:ext>
          </a:extLst>
        </xdr:cNvPr>
        <xdr:cNvCxnSpPr/>
      </xdr:nvCxnSpPr>
      <xdr:spPr>
        <a:xfrm>
          <a:off x="11256066" y="6476997"/>
          <a:ext cx="77028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405848</xdr:colOff>
      <xdr:row>30</xdr:row>
      <xdr:rowOff>57975</xdr:rowOff>
    </xdr:from>
    <xdr:to>
      <xdr:col>21</xdr:col>
      <xdr:colOff>197481</xdr:colOff>
      <xdr:row>34</xdr:row>
      <xdr:rowOff>165619</xdr:rowOff>
    </xdr:to>
    <xdr:sp macro="" textlink="">
      <xdr:nvSpPr>
        <xdr:cNvPr id="55" name="Rectangle 54">
          <a:extLst>
            <a:ext uri="{FF2B5EF4-FFF2-40B4-BE49-F238E27FC236}">
              <a16:creationId xmlns:a16="http://schemas.microsoft.com/office/drawing/2014/main" xmlns="" id="{00000000-0008-0000-0800-000037000000}"/>
            </a:ext>
          </a:extLst>
        </xdr:cNvPr>
        <xdr:cNvSpPr/>
      </xdr:nvSpPr>
      <xdr:spPr>
        <a:xfrm>
          <a:off x="12051196" y="5938627"/>
          <a:ext cx="1017459" cy="8696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ENET Fractional Denominator</a:t>
          </a:r>
          <a:endParaRPr lang="en-US" sz="1100" baseline="0"/>
        </a:p>
        <a:p>
          <a:pPr algn="ctr"/>
          <a:r>
            <a:rPr lang="en-US" sz="900"/>
            <a:t>PCC_ENET[PCD]</a:t>
          </a:r>
        </a:p>
      </xdr:txBody>
    </xdr:sp>
    <xdr:clientData/>
  </xdr:twoCellAnchor>
  <xdr:oneCellAnchor>
    <xdr:from>
      <xdr:col>19</xdr:col>
      <xdr:colOff>579783</xdr:colOff>
      <xdr:row>36</xdr:row>
      <xdr:rowOff>24844</xdr:rowOff>
    </xdr:from>
    <xdr:ext cx="1152526" cy="1116726"/>
    <xdr:sp macro="" textlink="">
      <xdr:nvSpPr>
        <xdr:cNvPr id="57" name="TextBox 56">
          <a:extLst>
            <a:ext uri="{FF2B5EF4-FFF2-40B4-BE49-F238E27FC236}">
              <a16:creationId xmlns:a16="http://schemas.microsoft.com/office/drawing/2014/main" xmlns="" id="{00000000-0008-0000-0800-000039000000}"/>
            </a:ext>
          </a:extLst>
        </xdr:cNvPr>
        <xdr:cNvSpPr txBox="1"/>
      </xdr:nvSpPr>
      <xdr:spPr>
        <a:xfrm>
          <a:off x="12225131" y="7048496"/>
          <a:ext cx="1152526" cy="1116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 by 1</a:t>
          </a:r>
        </a:p>
        <a:p>
          <a:r>
            <a:rPr lang="en-US" sz="800"/>
            <a:t>1 - Div</a:t>
          </a:r>
          <a:r>
            <a:rPr lang="en-US" sz="800" baseline="0"/>
            <a:t> by 2</a:t>
          </a:r>
          <a:endParaRPr lang="en-US" sz="800"/>
        </a:p>
        <a:p>
          <a:r>
            <a:rPr lang="en-US" sz="800"/>
            <a:t>2 - Div</a:t>
          </a:r>
          <a:r>
            <a:rPr lang="en-US" sz="800" baseline="0"/>
            <a:t> by 3</a:t>
          </a:r>
          <a:endParaRPr lang="en-US" sz="800"/>
        </a:p>
        <a:p>
          <a:r>
            <a:rPr lang="en-US" sz="800"/>
            <a:t>3</a:t>
          </a:r>
          <a:r>
            <a:rPr lang="en-US" sz="800" baseline="0"/>
            <a:t> - Div by 4</a:t>
          </a:r>
        </a:p>
        <a:p>
          <a:r>
            <a:rPr lang="en-US" sz="800" baseline="0"/>
            <a:t>4 - Div by 5</a:t>
          </a:r>
        </a:p>
        <a:p>
          <a:r>
            <a:rPr lang="en-US" sz="800" baseline="0"/>
            <a:t>5 - Div by 6</a:t>
          </a:r>
          <a:r>
            <a:rPr lang="en-US" sz="800"/>
            <a:t/>
          </a:r>
          <a:br>
            <a:rPr lang="en-US" sz="800"/>
          </a:br>
          <a:r>
            <a:rPr lang="en-US" sz="800"/>
            <a:t>6</a:t>
          </a:r>
          <a:r>
            <a:rPr lang="en-US" sz="800" baseline="0"/>
            <a:t> - Div by 7</a:t>
          </a:r>
        </a:p>
        <a:p>
          <a:r>
            <a:rPr lang="en-US" sz="800" baseline="0"/>
            <a:t>7 - Div by 8</a:t>
          </a:r>
          <a:endParaRPr lang="en-US" sz="800"/>
        </a:p>
      </xdr:txBody>
    </xdr:sp>
    <xdr:clientData/>
  </xdr:oneCellAnchor>
  <xdr:oneCellAnchor>
    <xdr:from>
      <xdr:col>21</xdr:col>
      <xdr:colOff>273325</xdr:colOff>
      <xdr:row>30</xdr:row>
      <xdr:rowOff>132522</xdr:rowOff>
    </xdr:from>
    <xdr:ext cx="1316936" cy="266700"/>
    <xdr:sp macro="" textlink="">
      <xdr:nvSpPr>
        <xdr:cNvPr id="80" name="TextBox 79">
          <a:extLst>
            <a:ext uri="{FF2B5EF4-FFF2-40B4-BE49-F238E27FC236}">
              <a16:creationId xmlns:a16="http://schemas.microsoft.com/office/drawing/2014/main" xmlns="" id="{00000000-0008-0000-0800-000050000000}"/>
            </a:ext>
          </a:extLst>
        </xdr:cNvPr>
        <xdr:cNvSpPr txBox="1"/>
      </xdr:nvSpPr>
      <xdr:spPr>
        <a:xfrm>
          <a:off x="13144499" y="5946913"/>
          <a:ext cx="1316936"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ENET_1588_CLKIN</a:t>
          </a:r>
        </a:p>
      </xdr:txBody>
    </xdr:sp>
    <xdr:clientData/>
  </xdr:oneCellAnchor>
  <xdr:twoCellAnchor>
    <xdr:from>
      <xdr:col>28</xdr:col>
      <xdr:colOff>3240</xdr:colOff>
      <xdr:row>7</xdr:row>
      <xdr:rowOff>98609</xdr:rowOff>
    </xdr:from>
    <xdr:to>
      <xdr:col>35</xdr:col>
      <xdr:colOff>283331</xdr:colOff>
      <xdr:row>41</xdr:row>
      <xdr:rowOff>19557</xdr:rowOff>
    </xdr:to>
    <xdr:grpSp>
      <xdr:nvGrpSpPr>
        <xdr:cNvPr id="88" name="Group 87">
          <a:extLst>
            <a:ext uri="{FF2B5EF4-FFF2-40B4-BE49-F238E27FC236}">
              <a16:creationId xmlns:a16="http://schemas.microsoft.com/office/drawing/2014/main" xmlns="" id="{00000000-0008-0000-0800-000058000000}"/>
            </a:ext>
          </a:extLst>
        </xdr:cNvPr>
        <xdr:cNvGrpSpPr/>
      </xdr:nvGrpSpPr>
      <xdr:grpSpPr>
        <a:xfrm>
          <a:off x="17072040" y="1353668"/>
          <a:ext cx="4547291" cy="6393465"/>
          <a:chOff x="15164796" y="1432109"/>
          <a:chExt cx="4515915" cy="6622066"/>
        </a:xfrm>
      </xdr:grpSpPr>
      <xdr:grpSp>
        <xdr:nvGrpSpPr>
          <xdr:cNvPr id="84" name="Group 83">
            <a:extLst>
              <a:ext uri="{FF2B5EF4-FFF2-40B4-BE49-F238E27FC236}">
                <a16:creationId xmlns:a16="http://schemas.microsoft.com/office/drawing/2014/main" xmlns="" id="{00000000-0008-0000-0800-000054000000}"/>
              </a:ext>
            </a:extLst>
          </xdr:cNvPr>
          <xdr:cNvGrpSpPr/>
        </xdr:nvGrpSpPr>
        <xdr:grpSpPr>
          <a:xfrm>
            <a:off x="15164796" y="1432109"/>
            <a:ext cx="4515915" cy="6622066"/>
            <a:chOff x="15164796" y="1432109"/>
            <a:chExt cx="4515915" cy="6622066"/>
          </a:xfrm>
        </xdr:grpSpPr>
        <xdr:grpSp>
          <xdr:nvGrpSpPr>
            <xdr:cNvPr id="82" name="Group 81">
              <a:extLst>
                <a:ext uri="{FF2B5EF4-FFF2-40B4-BE49-F238E27FC236}">
                  <a16:creationId xmlns:a16="http://schemas.microsoft.com/office/drawing/2014/main" xmlns="" id="{00000000-0008-0000-0800-000052000000}"/>
                </a:ext>
              </a:extLst>
            </xdr:cNvPr>
            <xdr:cNvGrpSpPr/>
          </xdr:nvGrpSpPr>
          <xdr:grpSpPr>
            <a:xfrm>
              <a:off x="15164796" y="1432109"/>
              <a:ext cx="4515915" cy="6622066"/>
              <a:chOff x="15164796" y="1432109"/>
              <a:chExt cx="4515915" cy="6622066"/>
            </a:xfrm>
          </xdr:grpSpPr>
          <xdr:grpSp>
            <xdr:nvGrpSpPr>
              <xdr:cNvPr id="78" name="Group 77">
                <a:extLst>
                  <a:ext uri="{FF2B5EF4-FFF2-40B4-BE49-F238E27FC236}">
                    <a16:creationId xmlns:a16="http://schemas.microsoft.com/office/drawing/2014/main" xmlns="" id="{00000000-0008-0000-0800-00004E000000}"/>
                  </a:ext>
                </a:extLst>
              </xdr:cNvPr>
              <xdr:cNvGrpSpPr/>
            </xdr:nvGrpSpPr>
            <xdr:grpSpPr>
              <a:xfrm>
                <a:off x="15164796" y="1432109"/>
                <a:ext cx="4515915" cy="6622066"/>
                <a:chOff x="15359681" y="1432109"/>
                <a:chExt cx="4570482" cy="6563600"/>
              </a:xfrm>
            </xdr:grpSpPr>
            <xdr:grpSp>
              <xdr:nvGrpSpPr>
                <xdr:cNvPr id="73" name="Group 72">
                  <a:extLst>
                    <a:ext uri="{FF2B5EF4-FFF2-40B4-BE49-F238E27FC236}">
                      <a16:creationId xmlns:a16="http://schemas.microsoft.com/office/drawing/2014/main" xmlns="" id="{00000000-0008-0000-0800-000049000000}"/>
                    </a:ext>
                  </a:extLst>
                </xdr:cNvPr>
                <xdr:cNvGrpSpPr/>
              </xdr:nvGrpSpPr>
              <xdr:grpSpPr>
                <a:xfrm>
                  <a:off x="15359681" y="1432109"/>
                  <a:ext cx="4570482" cy="6563600"/>
                  <a:chOff x="15359681" y="1432109"/>
                  <a:chExt cx="4570482" cy="6563600"/>
                </a:xfrm>
              </xdr:grpSpPr>
              <xdr:sp macro="" textlink="">
                <xdr:nvSpPr>
                  <xdr:cNvPr id="69" name="Rectangle 68">
                    <a:extLst>
                      <a:ext uri="{FF2B5EF4-FFF2-40B4-BE49-F238E27FC236}">
                        <a16:creationId xmlns:a16="http://schemas.microsoft.com/office/drawing/2014/main" xmlns="" id="{00000000-0008-0000-0800-000045000000}"/>
                      </a:ext>
                    </a:extLst>
                  </xdr:cNvPr>
                  <xdr:cNvSpPr/>
                </xdr:nvSpPr>
                <xdr:spPr>
                  <a:xfrm>
                    <a:off x="15359681" y="1432109"/>
                    <a:ext cx="4570482" cy="6563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5400"/>
                      <a:t>ENET</a:t>
                    </a:r>
                  </a:p>
                </xdr:txBody>
              </xdr:sp>
              <xdr:sp macro="" textlink="">
                <xdr:nvSpPr>
                  <xdr:cNvPr id="71" name="Rectangle 70">
                    <a:extLst>
                      <a:ext uri="{FF2B5EF4-FFF2-40B4-BE49-F238E27FC236}">
                        <a16:creationId xmlns:a16="http://schemas.microsoft.com/office/drawing/2014/main" xmlns="" id="{00000000-0008-0000-0800-000047000000}"/>
                      </a:ext>
                    </a:extLst>
                  </xdr:cNvPr>
                  <xdr:cNvSpPr/>
                </xdr:nvSpPr>
                <xdr:spPr>
                  <a:xfrm>
                    <a:off x="15629282" y="1639957"/>
                    <a:ext cx="1656523" cy="151571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t>DMA</a:t>
                    </a:r>
                  </a:p>
                </xdr:txBody>
              </xdr:sp>
            </xdr:grpSp>
            <xdr:sp macro="" textlink="">
              <xdr:nvSpPr>
                <xdr:cNvPr id="74" name="Rectangle 73">
                  <a:extLst>
                    <a:ext uri="{FF2B5EF4-FFF2-40B4-BE49-F238E27FC236}">
                      <a16:creationId xmlns:a16="http://schemas.microsoft.com/office/drawing/2014/main" xmlns="" id="{00000000-0008-0000-0800-00004A000000}"/>
                    </a:ext>
                  </a:extLst>
                </xdr:cNvPr>
                <xdr:cNvSpPr/>
              </xdr:nvSpPr>
              <xdr:spPr>
                <a:xfrm>
                  <a:off x="15608159" y="5664522"/>
                  <a:ext cx="1656523" cy="1515717"/>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800"/>
                    <a:t>Timers</a:t>
                  </a:r>
                </a:p>
              </xdr:txBody>
            </xdr:sp>
          </xdr:grpSp>
          <xdr:sp macro="" textlink="">
            <xdr:nvSpPr>
              <xdr:cNvPr id="81" name="Rectangle 80">
                <a:extLst>
                  <a:ext uri="{FF2B5EF4-FFF2-40B4-BE49-F238E27FC236}">
                    <a16:creationId xmlns:a16="http://schemas.microsoft.com/office/drawing/2014/main" xmlns="" id="{00000000-0008-0000-0800-000051000000}"/>
                  </a:ext>
                </a:extLst>
              </xdr:cNvPr>
              <xdr:cNvSpPr/>
            </xdr:nvSpPr>
            <xdr:spPr>
              <a:xfrm>
                <a:off x="18400059" y="2362196"/>
                <a:ext cx="956424" cy="408118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800"/>
                  <a:t>MAC</a:t>
                </a:r>
              </a:p>
            </xdr:txBody>
          </xdr:sp>
        </xdr:grpSp>
        <xdr:sp macro="" textlink="">
          <xdr:nvSpPr>
            <xdr:cNvPr id="83" name="TextBox 82">
              <a:extLst>
                <a:ext uri="{FF2B5EF4-FFF2-40B4-BE49-F238E27FC236}">
                  <a16:creationId xmlns:a16="http://schemas.microsoft.com/office/drawing/2014/main" xmlns="" id="{00000000-0008-0000-0800-000053000000}"/>
                </a:ext>
              </a:extLst>
            </xdr:cNvPr>
            <xdr:cNvSpPr txBox="1"/>
          </xdr:nvSpPr>
          <xdr:spPr>
            <a:xfrm>
              <a:off x="18156767" y="2474781"/>
              <a:ext cx="1223024" cy="307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a:solidFill>
                    <a:schemeClr val="bg1"/>
                  </a:solidFill>
                </a:rPr>
                <a:t>RMII_CLK</a:t>
              </a:r>
            </a:p>
          </xdr:txBody>
        </xdr:sp>
      </xdr:grpSp>
      <xdr:sp macro="" textlink="">
        <xdr:nvSpPr>
          <xdr:cNvPr id="85" name="TextBox 84">
            <a:extLst>
              <a:ext uri="{FF2B5EF4-FFF2-40B4-BE49-F238E27FC236}">
                <a16:creationId xmlns:a16="http://schemas.microsoft.com/office/drawing/2014/main" xmlns="" id="{00000000-0008-0000-0800-000055000000}"/>
              </a:ext>
            </a:extLst>
          </xdr:cNvPr>
          <xdr:cNvSpPr txBox="1"/>
        </xdr:nvSpPr>
        <xdr:spPr>
          <a:xfrm>
            <a:off x="18179178" y="3702312"/>
            <a:ext cx="1223024" cy="307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a:solidFill>
                  <a:schemeClr val="bg1"/>
                </a:solidFill>
              </a:rPr>
              <a:t>MII_TX_CLK</a:t>
            </a:r>
          </a:p>
        </xdr:txBody>
      </xdr:sp>
      <xdr:sp macro="" textlink="">
        <xdr:nvSpPr>
          <xdr:cNvPr id="86" name="TextBox 85">
            <a:extLst>
              <a:ext uri="{FF2B5EF4-FFF2-40B4-BE49-F238E27FC236}">
                <a16:creationId xmlns:a16="http://schemas.microsoft.com/office/drawing/2014/main" xmlns="" id="{00000000-0008-0000-0800-000056000000}"/>
              </a:ext>
            </a:extLst>
          </xdr:cNvPr>
          <xdr:cNvSpPr txBox="1"/>
        </xdr:nvSpPr>
        <xdr:spPr>
          <a:xfrm>
            <a:off x="18190384" y="5823108"/>
            <a:ext cx="1223024" cy="307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a:solidFill>
                  <a:schemeClr val="bg1"/>
                </a:solidFill>
              </a:rPr>
              <a:t>MII_RX_CLK</a:t>
            </a:r>
          </a:p>
        </xdr:txBody>
      </xdr:sp>
    </xdr:grpSp>
    <xdr:clientData/>
  </xdr:twoCellAnchor>
  <xdr:twoCellAnchor>
    <xdr:from>
      <xdr:col>21</xdr:col>
      <xdr:colOff>198783</xdr:colOff>
      <xdr:row>33</xdr:row>
      <xdr:rowOff>24845</xdr:rowOff>
    </xdr:from>
    <xdr:to>
      <xdr:col>23</xdr:col>
      <xdr:colOff>358588</xdr:colOff>
      <xdr:row>33</xdr:row>
      <xdr:rowOff>24845</xdr:rowOff>
    </xdr:to>
    <xdr:cxnSp macro="">
      <xdr:nvCxnSpPr>
        <xdr:cNvPr id="58" name="Straight Arrow Connector 57">
          <a:extLst>
            <a:ext uri="{FF2B5EF4-FFF2-40B4-BE49-F238E27FC236}">
              <a16:creationId xmlns:a16="http://schemas.microsoft.com/office/drawing/2014/main" xmlns="" id="{00000000-0008-0000-0800-00003A000000}"/>
            </a:ext>
          </a:extLst>
        </xdr:cNvPr>
        <xdr:cNvCxnSpPr/>
      </xdr:nvCxnSpPr>
      <xdr:spPr>
        <a:xfrm>
          <a:off x="12906254" y="6703551"/>
          <a:ext cx="137004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215348</xdr:colOff>
      <xdr:row>12</xdr:row>
      <xdr:rowOff>41413</xdr:rowOff>
    </xdr:from>
    <xdr:to>
      <xdr:col>23</xdr:col>
      <xdr:colOff>414618</xdr:colOff>
      <xdr:row>12</xdr:row>
      <xdr:rowOff>41413</xdr:rowOff>
    </xdr:to>
    <xdr:cxnSp macro="">
      <xdr:nvCxnSpPr>
        <xdr:cNvPr id="30" name="Straight Arrow Connector 29">
          <a:extLst>
            <a:ext uri="{FF2B5EF4-FFF2-40B4-BE49-F238E27FC236}">
              <a16:creationId xmlns:a16="http://schemas.microsoft.com/office/drawing/2014/main" xmlns="" id="{00000000-0008-0000-0800-00001E000000}"/>
            </a:ext>
          </a:extLst>
        </xdr:cNvPr>
        <xdr:cNvCxnSpPr/>
      </xdr:nvCxnSpPr>
      <xdr:spPr>
        <a:xfrm>
          <a:off x="8686995" y="2405854"/>
          <a:ext cx="564532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48</xdr:col>
      <xdr:colOff>563217</xdr:colOff>
      <xdr:row>29</xdr:row>
      <xdr:rowOff>165653</xdr:rowOff>
    </xdr:from>
    <xdr:ext cx="996461" cy="266700"/>
    <xdr:sp macro="" textlink="">
      <xdr:nvSpPr>
        <xdr:cNvPr id="103" name="TextBox 102">
          <a:hlinkClick xmlns:r="http://schemas.openxmlformats.org/officeDocument/2006/relationships" r:id="rId6"/>
          <a:extLst>
            <a:ext uri="{FF2B5EF4-FFF2-40B4-BE49-F238E27FC236}">
              <a16:creationId xmlns:a16="http://schemas.microsoft.com/office/drawing/2014/main" xmlns="" id="{00000000-0008-0000-0800-000067000000}"/>
            </a:ext>
          </a:extLst>
        </xdr:cNvPr>
        <xdr:cNvSpPr txBox="1"/>
      </xdr:nvSpPr>
      <xdr:spPr>
        <a:xfrm>
          <a:off x="29983043" y="5855805"/>
          <a:ext cx="9964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Rx_clk</a:t>
          </a:r>
          <a:r>
            <a:rPr lang="en-US" sz="1000" b="1" baseline="0"/>
            <a:t> (PAD)</a:t>
          </a:r>
          <a:endParaRPr lang="en-US" sz="1000" b="1"/>
        </a:p>
      </xdr:txBody>
    </xdr:sp>
    <xdr:clientData/>
  </xdr:oneCellAnchor>
  <xdr:twoCellAnchor>
    <xdr:from>
      <xdr:col>34</xdr:col>
      <xdr:colOff>582706</xdr:colOff>
      <xdr:row>30</xdr:row>
      <xdr:rowOff>107673</xdr:rowOff>
    </xdr:from>
    <xdr:to>
      <xdr:col>47</xdr:col>
      <xdr:colOff>604631</xdr:colOff>
      <xdr:row>30</xdr:row>
      <xdr:rowOff>107673</xdr:rowOff>
    </xdr:to>
    <xdr:cxnSp macro="">
      <xdr:nvCxnSpPr>
        <xdr:cNvPr id="104" name="Straight Arrow Connector 103">
          <a:extLst>
            <a:ext uri="{FF2B5EF4-FFF2-40B4-BE49-F238E27FC236}">
              <a16:creationId xmlns:a16="http://schemas.microsoft.com/office/drawing/2014/main" xmlns="" id="{00000000-0008-0000-0800-000068000000}"/>
            </a:ext>
          </a:extLst>
        </xdr:cNvPr>
        <xdr:cNvCxnSpPr/>
      </xdr:nvCxnSpPr>
      <xdr:spPr>
        <a:xfrm flipH="1">
          <a:off x="21156706" y="6147644"/>
          <a:ext cx="78884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48</xdr:col>
      <xdr:colOff>554934</xdr:colOff>
      <xdr:row>18</xdr:row>
      <xdr:rowOff>149087</xdr:rowOff>
    </xdr:from>
    <xdr:ext cx="996461" cy="266700"/>
    <xdr:sp macro="" textlink="">
      <xdr:nvSpPr>
        <xdr:cNvPr id="108" name="TextBox 107">
          <a:hlinkClick xmlns:r="http://schemas.openxmlformats.org/officeDocument/2006/relationships" r:id="rId7"/>
          <a:extLst>
            <a:ext uri="{FF2B5EF4-FFF2-40B4-BE49-F238E27FC236}">
              <a16:creationId xmlns:a16="http://schemas.microsoft.com/office/drawing/2014/main" xmlns="" id="{00000000-0008-0000-0800-00006C000000}"/>
            </a:ext>
          </a:extLst>
        </xdr:cNvPr>
        <xdr:cNvSpPr txBox="1"/>
      </xdr:nvSpPr>
      <xdr:spPr>
        <a:xfrm>
          <a:off x="29974760" y="3710609"/>
          <a:ext cx="99646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Tx_clk</a:t>
          </a:r>
          <a:r>
            <a:rPr lang="en-US" sz="1000" b="1" baseline="0"/>
            <a:t> (PAD)</a:t>
          </a:r>
          <a:endParaRPr lang="en-US" sz="1000" b="1"/>
        </a:p>
      </xdr:txBody>
    </xdr:sp>
    <xdr:clientData/>
  </xdr:oneCellAnchor>
  <xdr:twoCellAnchor>
    <xdr:from>
      <xdr:col>34</xdr:col>
      <xdr:colOff>549088</xdr:colOff>
      <xdr:row>19</xdr:row>
      <xdr:rowOff>107674</xdr:rowOff>
    </xdr:from>
    <xdr:to>
      <xdr:col>40</xdr:col>
      <xdr:colOff>397565</xdr:colOff>
      <xdr:row>19</xdr:row>
      <xdr:rowOff>107674</xdr:rowOff>
    </xdr:to>
    <xdr:cxnSp macro="">
      <xdr:nvCxnSpPr>
        <xdr:cNvPr id="109" name="Straight Arrow Connector 108">
          <a:extLst>
            <a:ext uri="{FF2B5EF4-FFF2-40B4-BE49-F238E27FC236}">
              <a16:creationId xmlns:a16="http://schemas.microsoft.com/office/drawing/2014/main" xmlns="" id="{00000000-0008-0000-0800-00006D000000}"/>
            </a:ext>
          </a:extLst>
        </xdr:cNvPr>
        <xdr:cNvCxnSpPr/>
      </xdr:nvCxnSpPr>
      <xdr:spPr>
        <a:xfrm flipH="1">
          <a:off x="21123088" y="3962498"/>
          <a:ext cx="347918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554934</xdr:colOff>
      <xdr:row>13</xdr:row>
      <xdr:rowOff>99391</xdr:rowOff>
    </xdr:from>
    <xdr:to>
      <xdr:col>36</xdr:col>
      <xdr:colOff>554934</xdr:colOff>
      <xdr:row>19</xdr:row>
      <xdr:rowOff>118186</xdr:rowOff>
    </xdr:to>
    <xdr:cxnSp macro="">
      <xdr:nvCxnSpPr>
        <xdr:cNvPr id="111" name="Straight Arrow Connector 110">
          <a:extLst>
            <a:ext uri="{FF2B5EF4-FFF2-40B4-BE49-F238E27FC236}">
              <a16:creationId xmlns:a16="http://schemas.microsoft.com/office/drawing/2014/main" xmlns="" id="{00000000-0008-0000-0800-00006F000000}"/>
            </a:ext>
          </a:extLst>
        </xdr:cNvPr>
        <xdr:cNvCxnSpPr/>
      </xdr:nvCxnSpPr>
      <xdr:spPr>
        <a:xfrm flipV="1">
          <a:off x="22339169" y="2676744"/>
          <a:ext cx="0" cy="129626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563217</xdr:colOff>
      <xdr:row>13</xdr:row>
      <xdr:rowOff>99390</xdr:rowOff>
    </xdr:from>
    <xdr:to>
      <xdr:col>36</xdr:col>
      <xdr:colOff>563217</xdr:colOff>
      <xdr:row>13</xdr:row>
      <xdr:rowOff>99390</xdr:rowOff>
    </xdr:to>
    <xdr:cxnSp macro="">
      <xdr:nvCxnSpPr>
        <xdr:cNvPr id="115" name="Straight Arrow Connector 114">
          <a:extLst>
            <a:ext uri="{FF2B5EF4-FFF2-40B4-BE49-F238E27FC236}">
              <a16:creationId xmlns:a16="http://schemas.microsoft.com/office/drawing/2014/main" xmlns="" id="{00000000-0008-0000-0800-000073000000}"/>
            </a:ext>
          </a:extLst>
        </xdr:cNvPr>
        <xdr:cNvCxnSpPr/>
      </xdr:nvCxnSpPr>
      <xdr:spPr>
        <a:xfrm flipH="1">
          <a:off x="21137217" y="2676743"/>
          <a:ext cx="12102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48</xdr:col>
      <xdr:colOff>579779</xdr:colOff>
      <xdr:row>12</xdr:row>
      <xdr:rowOff>157370</xdr:rowOff>
    </xdr:from>
    <xdr:ext cx="990600" cy="266700"/>
    <xdr:sp macro="" textlink="">
      <xdr:nvSpPr>
        <xdr:cNvPr id="118" name="TextBox 117">
          <a:hlinkClick xmlns:r="http://schemas.openxmlformats.org/officeDocument/2006/relationships" r:id="rId5"/>
          <a:extLst>
            <a:ext uri="{FF2B5EF4-FFF2-40B4-BE49-F238E27FC236}">
              <a16:creationId xmlns:a16="http://schemas.microsoft.com/office/drawing/2014/main" xmlns="" id="{00000000-0008-0000-0800-000076000000}"/>
            </a:ext>
          </a:extLst>
        </xdr:cNvPr>
        <xdr:cNvSpPr txBox="1"/>
      </xdr:nvSpPr>
      <xdr:spPr>
        <a:xfrm>
          <a:off x="29999605" y="2501348"/>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SOSCDIV1_CLK</a:t>
          </a:r>
        </a:p>
      </xdr:txBody>
    </xdr:sp>
    <xdr:clientData/>
  </xdr:oneCellAnchor>
  <xdr:oneCellAnchor>
    <xdr:from>
      <xdr:col>0</xdr:col>
      <xdr:colOff>496957</xdr:colOff>
      <xdr:row>45</xdr:row>
      <xdr:rowOff>190500</xdr:rowOff>
    </xdr:from>
    <xdr:ext cx="847725" cy="266700"/>
    <xdr:sp macro="" textlink="">
      <xdr:nvSpPr>
        <xdr:cNvPr id="119" name="TextBox 118">
          <a:hlinkClick xmlns:r="http://schemas.openxmlformats.org/officeDocument/2006/relationships" r:id="rId1"/>
          <a:extLst>
            <a:ext uri="{FF2B5EF4-FFF2-40B4-BE49-F238E27FC236}">
              <a16:creationId xmlns:a16="http://schemas.microsoft.com/office/drawing/2014/main" xmlns="" id="{00000000-0008-0000-0800-000077000000}"/>
            </a:ext>
          </a:extLst>
        </xdr:cNvPr>
        <xdr:cNvSpPr txBox="1"/>
      </xdr:nvSpPr>
      <xdr:spPr>
        <a:xfrm>
          <a:off x="496957" y="903632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SYS_CLK</a:t>
          </a:r>
        </a:p>
      </xdr:txBody>
    </xdr:sp>
    <xdr:clientData/>
  </xdr:oneCellAnchor>
  <xdr:oneCellAnchor>
    <xdr:from>
      <xdr:col>2</xdr:col>
      <xdr:colOff>420757</xdr:colOff>
      <xdr:row>45</xdr:row>
      <xdr:rowOff>190500</xdr:rowOff>
    </xdr:from>
    <xdr:ext cx="990600" cy="266700"/>
    <xdr:sp macro="" textlink="">
      <xdr:nvSpPr>
        <xdr:cNvPr id="120" name="TextBox 119">
          <a:hlinkClick xmlns:r="http://schemas.openxmlformats.org/officeDocument/2006/relationships" r:id="rId2"/>
          <a:extLst>
            <a:ext uri="{FF2B5EF4-FFF2-40B4-BE49-F238E27FC236}">
              <a16:creationId xmlns:a16="http://schemas.microsoft.com/office/drawing/2014/main" xmlns="" id="{00000000-0008-0000-0800-000078000000}"/>
            </a:ext>
          </a:extLst>
        </xdr:cNvPr>
        <xdr:cNvSpPr txBox="1"/>
      </xdr:nvSpPr>
      <xdr:spPr>
        <a:xfrm>
          <a:off x="1646583" y="903632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SPLLDIV1_CLK</a:t>
          </a:r>
        </a:p>
      </xdr:txBody>
    </xdr:sp>
    <xdr:clientData/>
  </xdr:oneCellAnchor>
  <xdr:oneCellAnchor>
    <xdr:from>
      <xdr:col>4</xdr:col>
      <xdr:colOff>411232</xdr:colOff>
      <xdr:row>45</xdr:row>
      <xdr:rowOff>190500</xdr:rowOff>
    </xdr:from>
    <xdr:ext cx="990600" cy="266700"/>
    <xdr:sp macro="" textlink="">
      <xdr:nvSpPr>
        <xdr:cNvPr id="121" name="TextBox 120">
          <a:hlinkClick xmlns:r="http://schemas.openxmlformats.org/officeDocument/2006/relationships" r:id="rId3"/>
          <a:extLst>
            <a:ext uri="{FF2B5EF4-FFF2-40B4-BE49-F238E27FC236}">
              <a16:creationId xmlns:a16="http://schemas.microsoft.com/office/drawing/2014/main" xmlns="" id="{00000000-0008-0000-0800-000079000000}"/>
            </a:ext>
          </a:extLst>
        </xdr:cNvPr>
        <xdr:cNvSpPr txBox="1"/>
      </xdr:nvSpPr>
      <xdr:spPr>
        <a:xfrm>
          <a:off x="2862884" y="903632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FIRCDIV1_CLK</a:t>
          </a:r>
        </a:p>
      </xdr:txBody>
    </xdr:sp>
    <xdr:clientData/>
  </xdr:oneCellAnchor>
  <xdr:oneCellAnchor>
    <xdr:from>
      <xdr:col>6</xdr:col>
      <xdr:colOff>458857</xdr:colOff>
      <xdr:row>45</xdr:row>
      <xdr:rowOff>190500</xdr:rowOff>
    </xdr:from>
    <xdr:ext cx="990600" cy="266700"/>
    <xdr:sp macro="" textlink="">
      <xdr:nvSpPr>
        <xdr:cNvPr id="122" name="TextBox 121">
          <a:hlinkClick xmlns:r="http://schemas.openxmlformats.org/officeDocument/2006/relationships" r:id="rId4"/>
          <a:extLst>
            <a:ext uri="{FF2B5EF4-FFF2-40B4-BE49-F238E27FC236}">
              <a16:creationId xmlns:a16="http://schemas.microsoft.com/office/drawing/2014/main" xmlns="" id="{00000000-0008-0000-0800-00007A000000}"/>
            </a:ext>
          </a:extLst>
        </xdr:cNvPr>
        <xdr:cNvSpPr txBox="1"/>
      </xdr:nvSpPr>
      <xdr:spPr>
        <a:xfrm>
          <a:off x="4136335" y="9036326"/>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SIRCDIV1_CLK</a:t>
          </a:r>
        </a:p>
      </xdr:txBody>
    </xdr:sp>
    <xdr:clientData/>
  </xdr:oneCellAnchor>
  <xdr:oneCellAnchor>
    <xdr:from>
      <xdr:col>8</xdr:col>
      <xdr:colOff>424422</xdr:colOff>
      <xdr:row>45</xdr:row>
      <xdr:rowOff>195629</xdr:rowOff>
    </xdr:from>
    <xdr:ext cx="990600" cy="266700"/>
    <xdr:sp macro="" textlink="">
      <xdr:nvSpPr>
        <xdr:cNvPr id="123" name="TextBox 122">
          <a:hlinkClick xmlns:r="http://schemas.openxmlformats.org/officeDocument/2006/relationships" r:id="rId5"/>
          <a:extLst>
            <a:ext uri="{FF2B5EF4-FFF2-40B4-BE49-F238E27FC236}">
              <a16:creationId xmlns:a16="http://schemas.microsoft.com/office/drawing/2014/main" xmlns="" id="{00000000-0008-0000-0800-00007B000000}"/>
            </a:ext>
          </a:extLst>
        </xdr:cNvPr>
        <xdr:cNvSpPr txBox="1"/>
      </xdr:nvSpPr>
      <xdr:spPr>
        <a:xfrm>
          <a:off x="5327726" y="9041455"/>
          <a:ext cx="9906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SOSCDIV1_CLK</a:t>
          </a:r>
        </a:p>
      </xdr:txBody>
    </xdr:sp>
    <xdr:clientData/>
  </xdr:oneCellAnchor>
  <xdr:twoCellAnchor>
    <xdr:from>
      <xdr:col>46</xdr:col>
      <xdr:colOff>265040</xdr:colOff>
      <xdr:row>13</xdr:row>
      <xdr:rowOff>91109</xdr:rowOff>
    </xdr:from>
    <xdr:to>
      <xdr:col>47</xdr:col>
      <xdr:colOff>588065</xdr:colOff>
      <xdr:row>13</xdr:row>
      <xdr:rowOff>91109</xdr:rowOff>
    </xdr:to>
    <xdr:cxnSp macro="">
      <xdr:nvCxnSpPr>
        <xdr:cNvPr id="124" name="Straight Arrow Connector 123">
          <a:extLst>
            <a:ext uri="{FF2B5EF4-FFF2-40B4-BE49-F238E27FC236}">
              <a16:creationId xmlns:a16="http://schemas.microsoft.com/office/drawing/2014/main" xmlns="" id="{00000000-0008-0000-0800-00007C000000}"/>
            </a:ext>
          </a:extLst>
        </xdr:cNvPr>
        <xdr:cNvCxnSpPr/>
      </xdr:nvCxnSpPr>
      <xdr:spPr>
        <a:xfrm flipH="1">
          <a:off x="28459040" y="2642152"/>
          <a:ext cx="935938"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422409</xdr:colOff>
      <xdr:row>10</xdr:row>
      <xdr:rowOff>149086</xdr:rowOff>
    </xdr:from>
    <xdr:to>
      <xdr:col>46</xdr:col>
      <xdr:colOff>214042</xdr:colOff>
      <xdr:row>15</xdr:row>
      <xdr:rowOff>177124</xdr:rowOff>
    </xdr:to>
    <xdr:sp macro="" textlink="">
      <xdr:nvSpPr>
        <xdr:cNvPr id="128" name="Rectangle 127">
          <a:extLst>
            <a:ext uri="{FF2B5EF4-FFF2-40B4-BE49-F238E27FC236}">
              <a16:creationId xmlns:a16="http://schemas.microsoft.com/office/drawing/2014/main" xmlns="" id="{00000000-0008-0000-0800-000080000000}"/>
            </a:ext>
          </a:extLst>
        </xdr:cNvPr>
        <xdr:cNvSpPr/>
      </xdr:nvSpPr>
      <xdr:spPr>
        <a:xfrm>
          <a:off x="27390583" y="2087216"/>
          <a:ext cx="1017459" cy="10550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RMII CLK Enable</a:t>
          </a:r>
          <a:endParaRPr lang="en-US" sz="1100" baseline="0"/>
        </a:p>
        <a:p>
          <a:pPr algn="ctr"/>
          <a:r>
            <a:rPr lang="en-US" sz="900"/>
            <a:t>SIM_MISCTRL0[RMII_CLK_OBE]</a:t>
          </a:r>
        </a:p>
      </xdr:txBody>
    </xdr:sp>
    <xdr:clientData/>
  </xdr:twoCellAnchor>
  <xdr:oneCellAnchor>
    <xdr:from>
      <xdr:col>44</xdr:col>
      <xdr:colOff>588066</xdr:colOff>
      <xdr:row>16</xdr:row>
      <xdr:rowOff>198782</xdr:rowOff>
    </xdr:from>
    <xdr:ext cx="860534" cy="367862"/>
    <xdr:sp macro="" textlink="">
      <xdr:nvSpPr>
        <xdr:cNvPr id="130" name="TextBox 129">
          <a:extLst>
            <a:ext uri="{FF2B5EF4-FFF2-40B4-BE49-F238E27FC236}">
              <a16:creationId xmlns:a16="http://schemas.microsoft.com/office/drawing/2014/main" xmlns="" id="{00000000-0008-0000-0800-000082000000}"/>
            </a:ext>
          </a:extLst>
        </xdr:cNvPr>
        <xdr:cNvSpPr txBox="1"/>
      </xdr:nvSpPr>
      <xdr:spPr>
        <a:xfrm>
          <a:off x="27556240" y="3371021"/>
          <a:ext cx="860534"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Disabled</a:t>
          </a:r>
        </a:p>
        <a:p>
          <a:r>
            <a:rPr lang="en-US" sz="800"/>
            <a:t>1 - Enabled</a:t>
          </a:r>
        </a:p>
      </xdr:txBody>
    </xdr:sp>
    <xdr:clientData/>
  </xdr:oneCellAnchor>
  <xdr:twoCellAnchor>
    <xdr:from>
      <xdr:col>42</xdr:col>
      <xdr:colOff>496956</xdr:colOff>
      <xdr:row>13</xdr:row>
      <xdr:rowOff>33131</xdr:rowOff>
    </xdr:from>
    <xdr:to>
      <xdr:col>44</xdr:col>
      <xdr:colOff>422411</xdr:colOff>
      <xdr:row>13</xdr:row>
      <xdr:rowOff>33131</xdr:rowOff>
    </xdr:to>
    <xdr:cxnSp macro="">
      <xdr:nvCxnSpPr>
        <xdr:cNvPr id="131" name="Straight Arrow Connector 130">
          <a:extLst>
            <a:ext uri="{FF2B5EF4-FFF2-40B4-BE49-F238E27FC236}">
              <a16:creationId xmlns:a16="http://schemas.microsoft.com/office/drawing/2014/main" xmlns="" id="{00000000-0008-0000-0800-000083000000}"/>
            </a:ext>
          </a:extLst>
        </xdr:cNvPr>
        <xdr:cNvCxnSpPr/>
      </xdr:nvCxnSpPr>
      <xdr:spPr>
        <a:xfrm flipH="1">
          <a:off x="26239304" y="2584174"/>
          <a:ext cx="115128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505239</xdr:colOff>
      <xdr:row>13</xdr:row>
      <xdr:rowOff>16567</xdr:rowOff>
    </xdr:from>
    <xdr:to>
      <xdr:col>42</xdr:col>
      <xdr:colOff>505239</xdr:colOff>
      <xdr:row>16</xdr:row>
      <xdr:rowOff>198783</xdr:rowOff>
    </xdr:to>
    <xdr:cxnSp macro="">
      <xdr:nvCxnSpPr>
        <xdr:cNvPr id="135" name="Straight Arrow Connector 134">
          <a:extLst>
            <a:ext uri="{FF2B5EF4-FFF2-40B4-BE49-F238E27FC236}">
              <a16:creationId xmlns:a16="http://schemas.microsoft.com/office/drawing/2014/main" xmlns="" id="{00000000-0008-0000-0800-000087000000}"/>
            </a:ext>
          </a:extLst>
        </xdr:cNvPr>
        <xdr:cNvCxnSpPr/>
      </xdr:nvCxnSpPr>
      <xdr:spPr>
        <a:xfrm flipV="1">
          <a:off x="26247587" y="2567610"/>
          <a:ext cx="0" cy="80341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215348</xdr:colOff>
      <xdr:row>19</xdr:row>
      <xdr:rowOff>115956</xdr:rowOff>
    </xdr:from>
    <xdr:to>
      <xdr:col>47</xdr:col>
      <xdr:colOff>604630</xdr:colOff>
      <xdr:row>19</xdr:row>
      <xdr:rowOff>115956</xdr:rowOff>
    </xdr:to>
    <xdr:cxnSp macro="">
      <xdr:nvCxnSpPr>
        <xdr:cNvPr id="137" name="Straight Arrow Connector 136">
          <a:extLst>
            <a:ext uri="{FF2B5EF4-FFF2-40B4-BE49-F238E27FC236}">
              <a16:creationId xmlns:a16="http://schemas.microsoft.com/office/drawing/2014/main" xmlns="" id="{00000000-0008-0000-0800-000089000000}"/>
            </a:ext>
          </a:extLst>
        </xdr:cNvPr>
        <xdr:cNvCxnSpPr/>
      </xdr:nvCxnSpPr>
      <xdr:spPr>
        <a:xfrm flipH="1">
          <a:off x="25957696" y="3892826"/>
          <a:ext cx="34538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231913</xdr:colOff>
      <xdr:row>16</xdr:row>
      <xdr:rowOff>182217</xdr:rowOff>
    </xdr:from>
    <xdr:to>
      <xdr:col>42</xdr:col>
      <xdr:colOff>505240</xdr:colOff>
      <xdr:row>16</xdr:row>
      <xdr:rowOff>182217</xdr:rowOff>
    </xdr:to>
    <xdr:cxnSp macro="">
      <xdr:nvCxnSpPr>
        <xdr:cNvPr id="140" name="Straight Arrow Connector 139">
          <a:extLst>
            <a:ext uri="{FF2B5EF4-FFF2-40B4-BE49-F238E27FC236}">
              <a16:creationId xmlns:a16="http://schemas.microsoft.com/office/drawing/2014/main" xmlns="" id="{00000000-0008-0000-0800-00008C000000}"/>
            </a:ext>
          </a:extLst>
        </xdr:cNvPr>
        <xdr:cNvCxnSpPr/>
      </xdr:nvCxnSpPr>
      <xdr:spPr>
        <a:xfrm flipH="1">
          <a:off x="25974261" y="3354456"/>
          <a:ext cx="27332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405848</xdr:colOff>
      <xdr:row>16</xdr:row>
      <xdr:rowOff>124240</xdr:rowOff>
    </xdr:from>
    <xdr:to>
      <xdr:col>42</xdr:col>
      <xdr:colOff>197481</xdr:colOff>
      <xdr:row>21</xdr:row>
      <xdr:rowOff>168844</xdr:rowOff>
    </xdr:to>
    <xdr:sp macro="" textlink="">
      <xdr:nvSpPr>
        <xdr:cNvPr id="142" name="Rectangle 141">
          <a:extLst>
            <a:ext uri="{FF2B5EF4-FFF2-40B4-BE49-F238E27FC236}">
              <a16:creationId xmlns:a16="http://schemas.microsoft.com/office/drawing/2014/main" xmlns="" id="{00000000-0008-0000-0800-00008E000000}"/>
            </a:ext>
          </a:extLst>
        </xdr:cNvPr>
        <xdr:cNvSpPr/>
      </xdr:nvSpPr>
      <xdr:spPr>
        <a:xfrm>
          <a:off x="24922370" y="3296479"/>
          <a:ext cx="1017459" cy="10716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RMII CLK Select</a:t>
          </a:r>
          <a:endParaRPr lang="en-US" sz="1100" baseline="0"/>
        </a:p>
        <a:p>
          <a:pPr algn="ctr"/>
          <a:r>
            <a:rPr lang="en-US" sz="900"/>
            <a:t>SIM_MISCTRL0[RMII_CLK_SEL]</a:t>
          </a:r>
        </a:p>
      </xdr:txBody>
    </xdr:sp>
    <xdr:clientData/>
  </xdr:twoCellAnchor>
  <xdr:oneCellAnchor>
    <xdr:from>
      <xdr:col>40</xdr:col>
      <xdr:colOff>554934</xdr:colOff>
      <xdr:row>23</xdr:row>
      <xdr:rowOff>8283</xdr:rowOff>
    </xdr:from>
    <xdr:ext cx="1250673" cy="367862"/>
    <xdr:sp macro="" textlink="">
      <xdr:nvSpPr>
        <xdr:cNvPr id="145" name="TextBox 144">
          <a:extLst>
            <a:ext uri="{FF2B5EF4-FFF2-40B4-BE49-F238E27FC236}">
              <a16:creationId xmlns:a16="http://schemas.microsoft.com/office/drawing/2014/main" xmlns="" id="{00000000-0008-0000-0800-000091000000}"/>
            </a:ext>
          </a:extLst>
        </xdr:cNvPr>
        <xdr:cNvSpPr txBox="1"/>
      </xdr:nvSpPr>
      <xdr:spPr>
        <a:xfrm>
          <a:off x="25071456" y="4613413"/>
          <a:ext cx="1250673" cy="367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Tx_clk</a:t>
          </a:r>
          <a:r>
            <a:rPr lang="en-US" sz="800" baseline="0"/>
            <a:t> (PAD)</a:t>
          </a:r>
          <a:endParaRPr lang="en-US" sz="800"/>
        </a:p>
        <a:p>
          <a:r>
            <a:rPr lang="en-US" sz="800"/>
            <a:t>1 - SOSCDIV1_CLK</a:t>
          </a:r>
        </a:p>
      </xdr:txBody>
    </xdr:sp>
    <xdr:clientData/>
  </xdr:oneCellAnchor>
  <xdr:twoCellAnchor>
    <xdr:from>
      <xdr:col>23</xdr:col>
      <xdr:colOff>414618</xdr:colOff>
      <xdr:row>31</xdr:row>
      <xdr:rowOff>190501</xdr:rowOff>
    </xdr:from>
    <xdr:to>
      <xdr:col>25</xdr:col>
      <xdr:colOff>200698</xdr:colOff>
      <xdr:row>33</xdr:row>
      <xdr:rowOff>188729</xdr:rowOff>
    </xdr:to>
    <xdr:sp macro="" textlink="">
      <xdr:nvSpPr>
        <xdr:cNvPr id="66" name="Rectangle 65">
          <a:hlinkClick xmlns:r="http://schemas.openxmlformats.org/officeDocument/2006/relationships" r:id="rId8"/>
          <a:extLst>
            <a:ext uri="{FF2B5EF4-FFF2-40B4-BE49-F238E27FC236}">
              <a16:creationId xmlns:a16="http://schemas.microsoft.com/office/drawing/2014/main" xmlns="" id="{00000000-0008-0000-0800-000042000000}"/>
            </a:ext>
          </a:extLst>
        </xdr:cNvPr>
        <xdr:cNvSpPr/>
      </xdr:nvSpPr>
      <xdr:spPr>
        <a:xfrm>
          <a:off x="14332324" y="6443383"/>
          <a:ext cx="996315" cy="4240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25</xdr:col>
      <xdr:colOff>194301</xdr:colOff>
      <xdr:row>33</xdr:row>
      <xdr:rowOff>31568</xdr:rowOff>
    </xdr:from>
    <xdr:to>
      <xdr:col>28</xdr:col>
      <xdr:colOff>235324</xdr:colOff>
      <xdr:row>33</xdr:row>
      <xdr:rowOff>31568</xdr:rowOff>
    </xdr:to>
    <xdr:cxnSp macro="">
      <xdr:nvCxnSpPr>
        <xdr:cNvPr id="68" name="Straight Arrow Connector 67">
          <a:extLst>
            <a:ext uri="{FF2B5EF4-FFF2-40B4-BE49-F238E27FC236}">
              <a16:creationId xmlns:a16="http://schemas.microsoft.com/office/drawing/2014/main" xmlns="" id="{00000000-0008-0000-0800-000044000000}"/>
            </a:ext>
          </a:extLst>
        </xdr:cNvPr>
        <xdr:cNvCxnSpPr/>
      </xdr:nvCxnSpPr>
      <xdr:spPr>
        <a:xfrm>
          <a:off x="15322242" y="6710274"/>
          <a:ext cx="185637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437029</xdr:colOff>
      <xdr:row>10</xdr:row>
      <xdr:rowOff>179293</xdr:rowOff>
    </xdr:from>
    <xdr:to>
      <xdr:col>25</xdr:col>
      <xdr:colOff>223109</xdr:colOff>
      <xdr:row>12</xdr:row>
      <xdr:rowOff>188728</xdr:rowOff>
    </xdr:to>
    <xdr:sp macro="" textlink="">
      <xdr:nvSpPr>
        <xdr:cNvPr id="70" name="Rectangle 69">
          <a:hlinkClick xmlns:r="http://schemas.openxmlformats.org/officeDocument/2006/relationships" r:id="rId8"/>
          <a:extLst>
            <a:ext uri="{FF2B5EF4-FFF2-40B4-BE49-F238E27FC236}">
              <a16:creationId xmlns:a16="http://schemas.microsoft.com/office/drawing/2014/main" xmlns="" id="{00000000-0008-0000-0800-000046000000}"/>
            </a:ext>
          </a:extLst>
        </xdr:cNvPr>
        <xdr:cNvSpPr/>
      </xdr:nvSpPr>
      <xdr:spPr>
        <a:xfrm>
          <a:off x="14354735" y="2129117"/>
          <a:ext cx="996315" cy="42405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xdr:txBody>
    </xdr:sp>
    <xdr:clientData/>
  </xdr:twoCellAnchor>
  <xdr:twoCellAnchor>
    <xdr:from>
      <xdr:col>25</xdr:col>
      <xdr:colOff>235323</xdr:colOff>
      <xdr:row>12</xdr:row>
      <xdr:rowOff>22412</xdr:rowOff>
    </xdr:from>
    <xdr:to>
      <xdr:col>28</xdr:col>
      <xdr:colOff>246530</xdr:colOff>
      <xdr:row>12</xdr:row>
      <xdr:rowOff>22412</xdr:rowOff>
    </xdr:to>
    <xdr:cxnSp macro="">
      <xdr:nvCxnSpPr>
        <xdr:cNvPr id="72" name="Straight Arrow Connector 71">
          <a:extLst>
            <a:ext uri="{FF2B5EF4-FFF2-40B4-BE49-F238E27FC236}">
              <a16:creationId xmlns:a16="http://schemas.microsoft.com/office/drawing/2014/main" xmlns="" id="{00000000-0008-0000-0800-000048000000}"/>
            </a:ext>
          </a:extLst>
        </xdr:cNvPr>
        <xdr:cNvCxnSpPr/>
      </xdr:nvCxnSpPr>
      <xdr:spPr>
        <a:xfrm>
          <a:off x="15363264" y="2386853"/>
          <a:ext cx="18265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oneCellAnchor>
    <xdr:from>
      <xdr:col>2</xdr:col>
      <xdr:colOff>457199</xdr:colOff>
      <xdr:row>0</xdr:row>
      <xdr:rowOff>0</xdr:rowOff>
    </xdr:from>
    <xdr:ext cx="6238876" cy="895348"/>
    <xdr:sp macro="" textlink="">
      <xdr:nvSpPr>
        <xdr:cNvPr id="2" name="TextBox 1">
          <a:extLst>
            <a:ext uri="{FF2B5EF4-FFF2-40B4-BE49-F238E27FC236}">
              <a16:creationId xmlns:a16="http://schemas.microsoft.com/office/drawing/2014/main" xmlns="" id="{00000000-0008-0000-0900-000002000000}"/>
            </a:ext>
          </a:extLst>
        </xdr:cNvPr>
        <xdr:cNvSpPr txBox="1"/>
      </xdr:nvSpPr>
      <xdr:spPr>
        <a:xfrm>
          <a:off x="1676399" y="0"/>
          <a:ext cx="6238876"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a:t>
          </a:r>
          <a:r>
            <a:rPr lang="en-US" sz="2800" b="1" baseline="0"/>
            <a:t> </a:t>
          </a:r>
          <a:r>
            <a:rPr lang="en-US" sz="2800" b="1"/>
            <a:t>CAN/CANFD Clock Generation</a:t>
          </a:r>
        </a:p>
      </xdr:txBody>
    </xdr:sp>
    <xdr:clientData/>
  </xdr:oneCellAnchor>
  <xdr:oneCellAnchor>
    <xdr:from>
      <xdr:col>0</xdr:col>
      <xdr:colOff>523875</xdr:colOff>
      <xdr:row>5</xdr:row>
      <xdr:rowOff>47625</xdr:rowOff>
    </xdr:from>
    <xdr:ext cx="1933575" cy="428625"/>
    <xdr:sp macro="" textlink="">
      <xdr:nvSpPr>
        <xdr:cNvPr id="3" name="TextBox 2">
          <a:extLst>
            <a:ext uri="{FF2B5EF4-FFF2-40B4-BE49-F238E27FC236}">
              <a16:creationId xmlns:a16="http://schemas.microsoft.com/office/drawing/2014/main" xmlns="" id="{00000000-0008-0000-0900-000003000000}"/>
            </a:ext>
          </a:extLst>
        </xdr:cNvPr>
        <xdr:cNvSpPr txBox="1"/>
      </xdr:nvSpPr>
      <xdr:spPr>
        <a:xfrm>
          <a:off x="523875" y="1000125"/>
          <a:ext cx="1933575" cy="42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FlexCAN0</a:t>
          </a:r>
        </a:p>
      </xdr:txBody>
    </xdr:sp>
    <xdr:clientData/>
  </xdr:oneCellAnchor>
  <xdr:oneCellAnchor>
    <xdr:from>
      <xdr:col>1</xdr:col>
      <xdr:colOff>66675</xdr:colOff>
      <xdr:row>9</xdr:row>
      <xdr:rowOff>178593</xdr:rowOff>
    </xdr:from>
    <xdr:ext cx="1195551" cy="266700"/>
    <xdr:sp macro="" textlink="">
      <xdr:nvSpPr>
        <xdr:cNvPr id="4" name="TextBox 3">
          <a:hlinkClick xmlns:r="http://schemas.openxmlformats.org/officeDocument/2006/relationships" r:id="rId1"/>
          <a:extLst>
            <a:ext uri="{FF2B5EF4-FFF2-40B4-BE49-F238E27FC236}">
              <a16:creationId xmlns:a16="http://schemas.microsoft.com/office/drawing/2014/main" xmlns="" id="{00000000-0008-0000-0900-000004000000}"/>
            </a:ext>
          </a:extLst>
        </xdr:cNvPr>
        <xdr:cNvSpPr txBox="1"/>
      </xdr:nvSpPr>
      <xdr:spPr>
        <a:xfrm>
          <a:off x="673894" y="1893093"/>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CAN0 BIU Clock</a:t>
          </a:r>
        </a:p>
      </xdr:txBody>
    </xdr:sp>
    <xdr:clientData/>
  </xdr:oneCellAnchor>
  <xdr:oneCellAnchor>
    <xdr:from>
      <xdr:col>1</xdr:col>
      <xdr:colOff>66675</xdr:colOff>
      <xdr:row>13</xdr:row>
      <xdr:rowOff>172640</xdr:rowOff>
    </xdr:from>
    <xdr:ext cx="1195551" cy="266700"/>
    <xdr:sp macro="" textlink="">
      <xdr:nvSpPr>
        <xdr:cNvPr id="5" name="TextBox 4">
          <a:hlinkClick xmlns:r="http://schemas.openxmlformats.org/officeDocument/2006/relationships" r:id="rId2"/>
          <a:extLst>
            <a:ext uri="{FF2B5EF4-FFF2-40B4-BE49-F238E27FC236}">
              <a16:creationId xmlns:a16="http://schemas.microsoft.com/office/drawing/2014/main" xmlns="" id="{00000000-0008-0000-0900-000005000000}"/>
            </a:ext>
          </a:extLst>
        </xdr:cNvPr>
        <xdr:cNvSpPr txBox="1"/>
      </xdr:nvSpPr>
      <xdr:spPr>
        <a:xfrm>
          <a:off x="673894" y="2690812"/>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CAN0 CHI Clock</a:t>
          </a:r>
        </a:p>
      </xdr:txBody>
    </xdr:sp>
    <xdr:clientData/>
  </xdr:oneCellAnchor>
  <xdr:twoCellAnchor>
    <xdr:from>
      <xdr:col>4</xdr:col>
      <xdr:colOff>0</xdr:colOff>
      <xdr:row>10</xdr:row>
      <xdr:rowOff>126206</xdr:rowOff>
    </xdr:from>
    <xdr:to>
      <xdr:col>31</xdr:col>
      <xdr:colOff>483026</xdr:colOff>
      <xdr:row>10</xdr:row>
      <xdr:rowOff>126206</xdr:rowOff>
    </xdr:to>
    <xdr:cxnSp macro="">
      <xdr:nvCxnSpPr>
        <xdr:cNvPr id="6" name="Straight Arrow Connector 5">
          <a:extLst>
            <a:ext uri="{FF2B5EF4-FFF2-40B4-BE49-F238E27FC236}">
              <a16:creationId xmlns:a16="http://schemas.microsoft.com/office/drawing/2014/main" xmlns="" id="{00000000-0008-0000-0900-000006000000}"/>
            </a:ext>
          </a:extLst>
        </xdr:cNvPr>
        <xdr:cNvCxnSpPr/>
      </xdr:nvCxnSpPr>
      <xdr:spPr>
        <a:xfrm>
          <a:off x="2428875" y="2043112"/>
          <a:ext cx="1687793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19050</xdr:colOff>
      <xdr:row>14</xdr:row>
      <xdr:rowOff>104775</xdr:rowOff>
    </xdr:from>
    <xdr:to>
      <xdr:col>31</xdr:col>
      <xdr:colOff>502076</xdr:colOff>
      <xdr:row>14</xdr:row>
      <xdr:rowOff>104775</xdr:rowOff>
    </xdr:to>
    <xdr:cxnSp macro="">
      <xdr:nvCxnSpPr>
        <xdr:cNvPr id="7" name="Straight Arrow Connector 6">
          <a:extLst>
            <a:ext uri="{FF2B5EF4-FFF2-40B4-BE49-F238E27FC236}">
              <a16:creationId xmlns:a16="http://schemas.microsoft.com/office/drawing/2014/main" xmlns="" id="{00000000-0008-0000-0900-000007000000}"/>
            </a:ext>
          </a:extLst>
        </xdr:cNvPr>
        <xdr:cNvCxnSpPr/>
      </xdr:nvCxnSpPr>
      <xdr:spPr>
        <a:xfrm>
          <a:off x="2457450" y="2819400"/>
          <a:ext cx="169422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438151</xdr:colOff>
      <xdr:row>10</xdr:row>
      <xdr:rowOff>5958</xdr:rowOff>
    </xdr:from>
    <xdr:to>
      <xdr:col>34</xdr:col>
      <xdr:colOff>277885</xdr:colOff>
      <xdr:row>87</xdr:row>
      <xdr:rowOff>161924</xdr:rowOff>
    </xdr:to>
    <xdr:grpSp>
      <xdr:nvGrpSpPr>
        <xdr:cNvPr id="28" name="Group 27">
          <a:extLst>
            <a:ext uri="{FF2B5EF4-FFF2-40B4-BE49-F238E27FC236}">
              <a16:creationId xmlns:a16="http://schemas.microsoft.com/office/drawing/2014/main" xmlns="" id="{00000000-0008-0000-0900-00001C000000}"/>
            </a:ext>
          </a:extLst>
        </xdr:cNvPr>
        <xdr:cNvGrpSpPr/>
      </xdr:nvGrpSpPr>
      <xdr:grpSpPr>
        <a:xfrm>
          <a:off x="19335751" y="1920483"/>
          <a:ext cx="1668534" cy="15329291"/>
          <a:chOff x="19335751" y="1881204"/>
          <a:chExt cx="1668534" cy="14870553"/>
        </a:xfrm>
      </xdr:grpSpPr>
      <xdr:grpSp>
        <xdr:nvGrpSpPr>
          <xdr:cNvPr id="8" name="Group 7">
            <a:extLst>
              <a:ext uri="{FF2B5EF4-FFF2-40B4-BE49-F238E27FC236}">
                <a16:creationId xmlns:a16="http://schemas.microsoft.com/office/drawing/2014/main" xmlns="" id="{00000000-0008-0000-0900-000008000000}"/>
              </a:ext>
            </a:extLst>
          </xdr:cNvPr>
          <xdr:cNvGrpSpPr/>
        </xdr:nvGrpSpPr>
        <xdr:grpSpPr>
          <a:xfrm>
            <a:off x="19335751" y="1881204"/>
            <a:ext cx="1668534" cy="14870553"/>
            <a:chOff x="19469104" y="1894174"/>
            <a:chExt cx="1681681" cy="14775522"/>
          </a:xfrm>
        </xdr:grpSpPr>
        <xdr:grpSp>
          <xdr:nvGrpSpPr>
            <xdr:cNvPr id="9" name="Group 8">
              <a:extLst>
                <a:ext uri="{FF2B5EF4-FFF2-40B4-BE49-F238E27FC236}">
                  <a16:creationId xmlns:a16="http://schemas.microsoft.com/office/drawing/2014/main" xmlns="" id="{00000000-0008-0000-0900-000009000000}"/>
                </a:ext>
              </a:extLst>
            </xdr:cNvPr>
            <xdr:cNvGrpSpPr/>
          </xdr:nvGrpSpPr>
          <xdr:grpSpPr>
            <a:xfrm>
              <a:off x="19469104" y="1894174"/>
              <a:ext cx="1674861" cy="14775522"/>
              <a:chOff x="14411327" y="1884977"/>
              <a:chExt cx="1684577" cy="14571391"/>
            </a:xfrm>
          </xdr:grpSpPr>
          <xdr:grpSp>
            <xdr:nvGrpSpPr>
              <xdr:cNvPr id="12" name="Group 11">
                <a:extLst>
                  <a:ext uri="{FF2B5EF4-FFF2-40B4-BE49-F238E27FC236}">
                    <a16:creationId xmlns:a16="http://schemas.microsoft.com/office/drawing/2014/main" xmlns="" id="{00000000-0008-0000-0900-00000C000000}"/>
                  </a:ext>
                </a:extLst>
              </xdr:cNvPr>
              <xdr:cNvGrpSpPr/>
            </xdr:nvGrpSpPr>
            <xdr:grpSpPr>
              <a:xfrm>
                <a:off x="14411327" y="1884977"/>
                <a:ext cx="1684577" cy="14571391"/>
                <a:chOff x="7880982" y="1559023"/>
                <a:chExt cx="1671698" cy="14221330"/>
              </a:xfrm>
            </xdr:grpSpPr>
            <xdr:grpSp>
              <xdr:nvGrpSpPr>
                <xdr:cNvPr id="14" name="Group 13">
                  <a:extLst>
                    <a:ext uri="{FF2B5EF4-FFF2-40B4-BE49-F238E27FC236}">
                      <a16:creationId xmlns:a16="http://schemas.microsoft.com/office/drawing/2014/main" xmlns="" id="{00000000-0008-0000-0900-00000E000000}"/>
                    </a:ext>
                  </a:extLst>
                </xdr:cNvPr>
                <xdr:cNvGrpSpPr/>
              </xdr:nvGrpSpPr>
              <xdr:grpSpPr>
                <a:xfrm>
                  <a:off x="7883377" y="1559023"/>
                  <a:ext cx="1669303" cy="14221330"/>
                  <a:chOff x="7883377" y="1559023"/>
                  <a:chExt cx="1669303" cy="14221330"/>
                </a:xfrm>
              </xdr:grpSpPr>
              <xdr:grpSp>
                <xdr:nvGrpSpPr>
                  <xdr:cNvPr id="16" name="Group 15">
                    <a:extLst>
                      <a:ext uri="{FF2B5EF4-FFF2-40B4-BE49-F238E27FC236}">
                        <a16:creationId xmlns:a16="http://schemas.microsoft.com/office/drawing/2014/main" xmlns="" id="{00000000-0008-0000-0900-000010000000}"/>
                      </a:ext>
                    </a:extLst>
                  </xdr:cNvPr>
                  <xdr:cNvGrpSpPr/>
                </xdr:nvGrpSpPr>
                <xdr:grpSpPr>
                  <a:xfrm>
                    <a:off x="7883377" y="1559023"/>
                    <a:ext cx="1669303" cy="14221330"/>
                    <a:chOff x="7916737" y="1550078"/>
                    <a:chExt cx="1677604" cy="14021043"/>
                  </a:xfrm>
                </xdr:grpSpPr>
                <xdr:grpSp>
                  <xdr:nvGrpSpPr>
                    <xdr:cNvPr id="18" name="Group 17">
                      <a:extLst>
                        <a:ext uri="{FF2B5EF4-FFF2-40B4-BE49-F238E27FC236}">
                          <a16:creationId xmlns:a16="http://schemas.microsoft.com/office/drawing/2014/main" xmlns="" id="{00000000-0008-0000-0900-000012000000}"/>
                        </a:ext>
                      </a:extLst>
                    </xdr:cNvPr>
                    <xdr:cNvGrpSpPr/>
                  </xdr:nvGrpSpPr>
                  <xdr:grpSpPr>
                    <a:xfrm>
                      <a:off x="7921690" y="1550078"/>
                      <a:ext cx="1628568" cy="14021043"/>
                      <a:chOff x="7921690" y="1546782"/>
                      <a:chExt cx="1628568" cy="13947279"/>
                    </a:xfrm>
                  </xdr:grpSpPr>
                  <xdr:grpSp>
                    <xdr:nvGrpSpPr>
                      <xdr:cNvPr id="20" name="Group 19">
                        <a:extLst>
                          <a:ext uri="{FF2B5EF4-FFF2-40B4-BE49-F238E27FC236}">
                            <a16:creationId xmlns:a16="http://schemas.microsoft.com/office/drawing/2014/main" xmlns="" id="{00000000-0008-0000-0900-000014000000}"/>
                          </a:ext>
                        </a:extLst>
                      </xdr:cNvPr>
                      <xdr:cNvGrpSpPr/>
                    </xdr:nvGrpSpPr>
                    <xdr:grpSpPr>
                      <a:xfrm>
                        <a:off x="7931762" y="1546782"/>
                        <a:ext cx="1618496" cy="13947279"/>
                        <a:chOff x="7931762" y="1542828"/>
                        <a:chExt cx="1618496" cy="13858770"/>
                      </a:xfrm>
                    </xdr:grpSpPr>
                    <xdr:grpSp>
                      <xdr:nvGrpSpPr>
                        <xdr:cNvPr id="23" name="Group 22">
                          <a:extLst>
                            <a:ext uri="{FF2B5EF4-FFF2-40B4-BE49-F238E27FC236}">
                              <a16:creationId xmlns:a16="http://schemas.microsoft.com/office/drawing/2014/main" xmlns="" id="{00000000-0008-0000-0900-000017000000}"/>
                            </a:ext>
                          </a:extLst>
                        </xdr:cNvPr>
                        <xdr:cNvGrpSpPr/>
                      </xdr:nvGrpSpPr>
                      <xdr:grpSpPr>
                        <a:xfrm>
                          <a:off x="7944548" y="1542828"/>
                          <a:ext cx="1605710" cy="13858770"/>
                          <a:chOff x="7737005" y="1498140"/>
                          <a:chExt cx="1602452" cy="13711250"/>
                        </a:xfrm>
                      </xdr:grpSpPr>
                      <xdr:sp macro="" textlink="">
                        <xdr:nvSpPr>
                          <xdr:cNvPr id="25" name="Rectangle 24">
                            <a:extLst>
                              <a:ext uri="{FF2B5EF4-FFF2-40B4-BE49-F238E27FC236}">
                                <a16:creationId xmlns:a16="http://schemas.microsoft.com/office/drawing/2014/main" xmlns="" id="{00000000-0008-0000-0900-000019000000}"/>
                              </a:ext>
                            </a:extLst>
                          </xdr:cNvPr>
                          <xdr:cNvSpPr/>
                        </xdr:nvSpPr>
                        <xdr:spPr>
                          <a:xfrm>
                            <a:off x="7761594" y="1532522"/>
                            <a:ext cx="1577863" cy="136768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3200" baseline="0"/>
                              <a:t>CAN0</a:t>
                            </a:r>
                          </a:p>
                        </xdr:txBody>
                      </xdr:sp>
                      <xdr:sp macro="" textlink="">
                        <xdr:nvSpPr>
                          <xdr:cNvPr id="26" name="TextBox 25">
                            <a:extLst>
                              <a:ext uri="{FF2B5EF4-FFF2-40B4-BE49-F238E27FC236}">
                                <a16:creationId xmlns:a16="http://schemas.microsoft.com/office/drawing/2014/main" xmlns="" id="{00000000-0008-0000-0900-00001A000000}"/>
                              </a:ext>
                            </a:extLst>
                          </xdr:cNvPr>
                          <xdr:cNvSpPr txBox="1"/>
                        </xdr:nvSpPr>
                        <xdr:spPr>
                          <a:xfrm>
                            <a:off x="7737005" y="1498140"/>
                            <a:ext cx="844356" cy="245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Bus Interface Unit</a:t>
                            </a:r>
                          </a:p>
                        </xdr:txBody>
                      </xdr:sp>
                    </xdr:grpSp>
                    <xdr:sp macro="" textlink="">
                      <xdr:nvSpPr>
                        <xdr:cNvPr id="24" name="TextBox 23">
                          <a:extLst>
                            <a:ext uri="{FF2B5EF4-FFF2-40B4-BE49-F238E27FC236}">
                              <a16:creationId xmlns:a16="http://schemas.microsoft.com/office/drawing/2014/main" xmlns="" id="{00000000-0008-0000-0900-000018000000}"/>
                            </a:ext>
                          </a:extLst>
                        </xdr:cNvPr>
                        <xdr:cNvSpPr txBox="1"/>
                      </xdr:nvSpPr>
                      <xdr:spPr>
                        <a:xfrm>
                          <a:off x="7931762" y="2995204"/>
                          <a:ext cx="1479925" cy="196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Seggment_Nominal</a:t>
                          </a:r>
                        </a:p>
                      </xdr:txBody>
                    </xdr:sp>
                  </xdr:grpSp>
                  <xdr:sp macro="" textlink="">
                    <xdr:nvSpPr>
                      <xdr:cNvPr id="21" name="TextBox 20">
                        <a:extLst>
                          <a:ext uri="{FF2B5EF4-FFF2-40B4-BE49-F238E27FC236}">
                            <a16:creationId xmlns:a16="http://schemas.microsoft.com/office/drawing/2014/main" xmlns="" id="{00000000-0008-0000-0900-000015000000}"/>
                          </a:ext>
                        </a:extLst>
                      </xdr:cNvPr>
                      <xdr:cNvSpPr txBox="1"/>
                    </xdr:nvSpPr>
                    <xdr:spPr>
                      <a:xfrm>
                        <a:off x="7921690" y="4264800"/>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1_Nominal</a:t>
                        </a:r>
                      </a:p>
                    </xdr:txBody>
                  </xdr:sp>
                  <xdr:sp macro="" textlink="">
                    <xdr:nvSpPr>
                      <xdr:cNvPr id="22" name="TextBox 21">
                        <a:extLst>
                          <a:ext uri="{FF2B5EF4-FFF2-40B4-BE49-F238E27FC236}">
                            <a16:creationId xmlns:a16="http://schemas.microsoft.com/office/drawing/2014/main" xmlns="" id="{00000000-0008-0000-0900-000016000000}"/>
                          </a:ext>
                        </a:extLst>
                      </xdr:cNvPr>
                      <xdr:cNvSpPr txBox="1"/>
                    </xdr:nvSpPr>
                    <xdr:spPr>
                      <a:xfrm>
                        <a:off x="7927214" y="5524477"/>
                        <a:ext cx="1362532"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a:t>
                        </a:r>
                        <a:r>
                          <a:rPr lang="en-US" sz="600" baseline="0">
                            <a:solidFill>
                              <a:schemeClr val="bg1"/>
                            </a:solidFill>
                          </a:rPr>
                          <a:t> 2_Nominal</a:t>
                        </a:r>
                        <a:endParaRPr lang="en-US" sz="600">
                          <a:solidFill>
                            <a:schemeClr val="bg1"/>
                          </a:solidFill>
                        </a:endParaRPr>
                      </a:p>
                    </xdr:txBody>
                  </xdr:sp>
                </xdr:grpSp>
                <xdr:sp macro="" textlink="">
                  <xdr:nvSpPr>
                    <xdr:cNvPr id="19" name="TextBox 18">
                      <a:extLst>
                        <a:ext uri="{FF2B5EF4-FFF2-40B4-BE49-F238E27FC236}">
                          <a16:creationId xmlns:a16="http://schemas.microsoft.com/office/drawing/2014/main" xmlns="" id="{00000000-0008-0000-0900-000013000000}"/>
                        </a:ext>
                      </a:extLst>
                    </xdr:cNvPr>
                    <xdr:cNvSpPr txBox="1"/>
                  </xdr:nvSpPr>
                  <xdr:spPr>
                    <a:xfrm>
                      <a:off x="7916737" y="9704899"/>
                      <a:ext cx="1677604" cy="23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2_Extended</a:t>
                      </a:r>
                    </a:p>
                  </xdr:txBody>
                </xdr:sp>
              </xdr:grpSp>
              <xdr:sp macro="" textlink="">
                <xdr:nvSpPr>
                  <xdr:cNvPr id="17" name="TextBox 16">
                    <a:extLst>
                      <a:ext uri="{FF2B5EF4-FFF2-40B4-BE49-F238E27FC236}">
                        <a16:creationId xmlns:a16="http://schemas.microsoft.com/office/drawing/2014/main" xmlns="" id="{00000000-0008-0000-0900-000011000000}"/>
                      </a:ext>
                    </a:extLst>
                  </xdr:cNvPr>
                  <xdr:cNvSpPr txBox="1"/>
                </xdr:nvSpPr>
                <xdr:spPr>
                  <a:xfrm>
                    <a:off x="7889201" y="8568621"/>
                    <a:ext cx="1504541"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a:t>
                    </a:r>
                    <a:r>
                      <a:rPr lang="en-US" sz="600" baseline="0">
                        <a:solidFill>
                          <a:schemeClr val="bg1"/>
                        </a:solidFill>
                      </a:rPr>
                      <a:t> Segment 1_Extended</a:t>
                    </a:r>
                    <a:endParaRPr lang="en-US" sz="600">
                      <a:solidFill>
                        <a:schemeClr val="bg1"/>
                      </a:solidFill>
                    </a:endParaRPr>
                  </a:p>
                </xdr:txBody>
              </xdr:sp>
            </xdr:grpSp>
            <xdr:sp macro="" textlink="">
              <xdr:nvSpPr>
                <xdr:cNvPr id="15" name="TextBox 14">
                  <a:extLst>
                    <a:ext uri="{FF2B5EF4-FFF2-40B4-BE49-F238E27FC236}">
                      <a16:creationId xmlns:a16="http://schemas.microsoft.com/office/drawing/2014/main" xmlns="" id="{00000000-0008-0000-0900-00000F000000}"/>
                    </a:ext>
                  </a:extLst>
                </xdr:cNvPr>
                <xdr:cNvSpPr txBox="1"/>
              </xdr:nvSpPr>
              <xdr:spPr>
                <a:xfrm>
                  <a:off x="7880982" y="7087548"/>
                  <a:ext cx="1405909"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Segment_Extended</a:t>
                  </a:r>
                </a:p>
              </xdr:txBody>
            </xdr:sp>
          </xdr:grpSp>
          <xdr:sp macro="" textlink="">
            <xdr:nvSpPr>
              <xdr:cNvPr id="13" name="TextBox 12">
                <a:extLst>
                  <a:ext uri="{FF2B5EF4-FFF2-40B4-BE49-F238E27FC236}">
                    <a16:creationId xmlns:a16="http://schemas.microsoft.com/office/drawing/2014/main" xmlns="" id="{00000000-0008-0000-0900-00000D000000}"/>
                  </a:ext>
                </a:extLst>
              </xdr:cNvPr>
              <xdr:cNvSpPr txBox="1"/>
            </xdr:nvSpPr>
            <xdr:spPr>
              <a:xfrm>
                <a:off x="14424185" y="13087561"/>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Segment_FD</a:t>
                </a:r>
              </a:p>
            </xdr:txBody>
          </xdr:sp>
        </xdr:grpSp>
        <xdr:sp macro="" textlink="">
          <xdr:nvSpPr>
            <xdr:cNvPr id="10" name="TextBox 9">
              <a:extLst>
                <a:ext uri="{FF2B5EF4-FFF2-40B4-BE49-F238E27FC236}">
                  <a16:creationId xmlns:a16="http://schemas.microsoft.com/office/drawing/2014/main" xmlns="" id="{00000000-0008-0000-0900-00000A000000}"/>
                </a:ext>
              </a:extLst>
            </xdr:cNvPr>
            <xdr:cNvSpPr txBox="1"/>
          </xdr:nvSpPr>
          <xdr:spPr>
            <a:xfrm>
              <a:off x="19478476" y="14796614"/>
              <a:ext cx="1408569" cy="24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1_FD</a:t>
              </a:r>
            </a:p>
          </xdr:txBody>
        </xdr:sp>
        <xdr:sp macro="" textlink="">
          <xdr:nvSpPr>
            <xdr:cNvPr id="11" name="TextBox 10">
              <a:extLst>
                <a:ext uri="{FF2B5EF4-FFF2-40B4-BE49-F238E27FC236}">
                  <a16:creationId xmlns:a16="http://schemas.microsoft.com/office/drawing/2014/main" xmlns="" id="{00000000-0008-0000-0900-00000B000000}"/>
                </a:ext>
              </a:extLst>
            </xdr:cNvPr>
            <xdr:cNvSpPr txBox="1"/>
          </xdr:nvSpPr>
          <xdr:spPr>
            <a:xfrm>
              <a:off x="19478326" y="16083573"/>
              <a:ext cx="167245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2_FD</a:t>
              </a:r>
            </a:p>
          </xdr:txBody>
        </xdr:sp>
      </xdr:grpSp>
      <xdr:sp macro="" textlink="">
        <xdr:nvSpPr>
          <xdr:cNvPr id="27" name="TextBox 26">
            <a:extLst>
              <a:ext uri="{FF2B5EF4-FFF2-40B4-BE49-F238E27FC236}">
                <a16:creationId xmlns:a16="http://schemas.microsoft.com/office/drawing/2014/main" xmlns="" id="{00000000-0008-0000-0900-00001B000000}"/>
              </a:ext>
            </a:extLst>
          </xdr:cNvPr>
          <xdr:cNvSpPr txBox="1"/>
        </xdr:nvSpPr>
        <xdr:spPr>
          <a:xfrm>
            <a:off x="19354800" y="2629297"/>
            <a:ext cx="1269595" cy="22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Controlle</a:t>
            </a:r>
            <a:r>
              <a:rPr lang="en-US" sz="600" baseline="0">
                <a:solidFill>
                  <a:schemeClr val="bg1"/>
                </a:solidFill>
              </a:rPr>
              <a:t>r Host Interface</a:t>
            </a:r>
            <a:endParaRPr lang="en-US" sz="600">
              <a:solidFill>
                <a:schemeClr val="bg1"/>
              </a:solidFill>
            </a:endParaRPr>
          </a:p>
        </xdr:txBody>
      </xdr:sp>
    </xdr:grpSp>
    <xdr:clientData/>
  </xdr:twoCellAnchor>
  <xdr:oneCellAnchor>
    <xdr:from>
      <xdr:col>1</xdr:col>
      <xdr:colOff>77391</xdr:colOff>
      <xdr:row>17</xdr:row>
      <xdr:rowOff>160735</xdr:rowOff>
    </xdr:from>
    <xdr:ext cx="1195551" cy="266700"/>
    <xdr:sp macro="" textlink="">
      <xdr:nvSpPr>
        <xdr:cNvPr id="29" name="TextBox 28">
          <a:hlinkClick xmlns:r="http://schemas.openxmlformats.org/officeDocument/2006/relationships" r:id="rId3"/>
          <a:extLst>
            <a:ext uri="{FF2B5EF4-FFF2-40B4-BE49-F238E27FC236}">
              <a16:creationId xmlns:a16="http://schemas.microsoft.com/office/drawing/2014/main" xmlns="" id="{00000000-0008-0000-0900-00001D000000}"/>
            </a:ext>
          </a:extLst>
        </xdr:cNvPr>
        <xdr:cNvSpPr txBox="1"/>
      </xdr:nvSpPr>
      <xdr:spPr>
        <a:xfrm>
          <a:off x="684610" y="3482579"/>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CAN0 PE Clock</a:t>
          </a:r>
        </a:p>
      </xdr:txBody>
    </xdr:sp>
    <xdr:clientData/>
  </xdr:oneCellAnchor>
  <xdr:twoCellAnchor>
    <xdr:from>
      <xdr:col>7</xdr:col>
      <xdr:colOff>416719</xdr:colOff>
      <xdr:row>16</xdr:row>
      <xdr:rowOff>41672</xdr:rowOff>
    </xdr:from>
    <xdr:to>
      <xdr:col>9</xdr:col>
      <xdr:colOff>189599</xdr:colOff>
      <xdr:row>20</xdr:row>
      <xdr:rowOff>173100</xdr:rowOff>
    </xdr:to>
    <xdr:sp macro="" textlink="">
      <xdr:nvSpPr>
        <xdr:cNvPr id="30" name="Rectangle 29">
          <a:extLst>
            <a:ext uri="{FF2B5EF4-FFF2-40B4-BE49-F238E27FC236}">
              <a16:creationId xmlns:a16="http://schemas.microsoft.com/office/drawing/2014/main" xmlns="" id="{00000000-0008-0000-0900-00001E000000}"/>
            </a:ext>
          </a:extLst>
        </xdr:cNvPr>
        <xdr:cNvSpPr/>
      </xdr:nvSpPr>
      <xdr:spPr>
        <a:xfrm>
          <a:off x="4667250" y="3173016"/>
          <a:ext cx="987318" cy="935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Sclock Prescaler</a:t>
          </a:r>
        </a:p>
        <a:p>
          <a:pPr algn="ctr"/>
          <a:r>
            <a:rPr lang="en-US" sz="900" baseline="0"/>
            <a:t>/(1+(0...255))</a:t>
          </a:r>
        </a:p>
        <a:p>
          <a:pPr algn="ctr"/>
          <a:r>
            <a:rPr lang="en-US" sz="900" baseline="0"/>
            <a:t>CAN0_CTRL1[PRESDIV]</a:t>
          </a:r>
          <a:endParaRPr lang="en-US" sz="900"/>
        </a:p>
      </xdr:txBody>
    </xdr:sp>
    <xdr:clientData/>
  </xdr:twoCellAnchor>
  <xdr:twoCellAnchor>
    <xdr:from>
      <xdr:col>4</xdr:col>
      <xdr:colOff>0</xdr:colOff>
      <xdr:row>18</xdr:row>
      <xdr:rowOff>107157</xdr:rowOff>
    </xdr:from>
    <xdr:to>
      <xdr:col>7</xdr:col>
      <xdr:colOff>403272</xdr:colOff>
      <xdr:row>18</xdr:row>
      <xdr:rowOff>107157</xdr:rowOff>
    </xdr:to>
    <xdr:cxnSp macro="">
      <xdr:nvCxnSpPr>
        <xdr:cNvPr id="31" name="Straight Arrow Connector 30">
          <a:extLst>
            <a:ext uri="{FF2B5EF4-FFF2-40B4-BE49-F238E27FC236}">
              <a16:creationId xmlns:a16="http://schemas.microsoft.com/office/drawing/2014/main" xmlns="" id="{00000000-0008-0000-0900-00001F000000}"/>
            </a:ext>
          </a:extLst>
        </xdr:cNvPr>
        <xdr:cNvCxnSpPr/>
      </xdr:nvCxnSpPr>
      <xdr:spPr>
        <a:xfrm>
          <a:off x="2428875" y="3631407"/>
          <a:ext cx="22249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202407</xdr:colOff>
      <xdr:row>18</xdr:row>
      <xdr:rowOff>29766</xdr:rowOff>
    </xdr:from>
    <xdr:to>
      <xdr:col>11</xdr:col>
      <xdr:colOff>385246</xdr:colOff>
      <xdr:row>18</xdr:row>
      <xdr:rowOff>29766</xdr:rowOff>
    </xdr:to>
    <xdr:cxnSp macro="">
      <xdr:nvCxnSpPr>
        <xdr:cNvPr id="33" name="Straight Arrow Connector 32">
          <a:extLst>
            <a:ext uri="{FF2B5EF4-FFF2-40B4-BE49-F238E27FC236}">
              <a16:creationId xmlns:a16="http://schemas.microsoft.com/office/drawing/2014/main" xmlns="" id="{00000000-0008-0000-0900-000021000000}"/>
            </a:ext>
          </a:extLst>
        </xdr:cNvPr>
        <xdr:cNvCxnSpPr/>
      </xdr:nvCxnSpPr>
      <xdr:spPr>
        <a:xfrm>
          <a:off x="5667376" y="3554016"/>
          <a:ext cx="139727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416719</xdr:colOff>
      <xdr:row>15</xdr:row>
      <xdr:rowOff>166687</xdr:rowOff>
    </xdr:from>
    <xdr:ext cx="1009650" cy="294086"/>
    <xdr:sp macro="" textlink="">
      <xdr:nvSpPr>
        <xdr:cNvPr id="34" name="TextBox 33">
          <a:extLst>
            <a:ext uri="{FF2B5EF4-FFF2-40B4-BE49-F238E27FC236}">
              <a16:creationId xmlns:a16="http://schemas.microsoft.com/office/drawing/2014/main" xmlns="" id="{00000000-0008-0000-0900-000022000000}"/>
            </a:ext>
          </a:extLst>
        </xdr:cNvPr>
        <xdr:cNvSpPr txBox="1"/>
      </xdr:nvSpPr>
      <xdr:spPr>
        <a:xfrm>
          <a:off x="5881688" y="3095625"/>
          <a:ext cx="1009650" cy="294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a:t>
          </a:r>
        </a:p>
      </xdr:txBody>
    </xdr:sp>
    <xdr:clientData/>
  </xdr:oneCellAnchor>
  <xdr:twoCellAnchor>
    <xdr:from>
      <xdr:col>11</xdr:col>
      <xdr:colOff>386954</xdr:colOff>
      <xdr:row>16</xdr:row>
      <xdr:rowOff>83343</xdr:rowOff>
    </xdr:from>
    <xdr:to>
      <xdr:col>13</xdr:col>
      <xdr:colOff>175426</xdr:colOff>
      <xdr:row>20</xdr:row>
      <xdr:rowOff>179373</xdr:rowOff>
    </xdr:to>
    <xdr:sp macro="" textlink="">
      <xdr:nvSpPr>
        <xdr:cNvPr id="35" name="Rectangle 34">
          <a:extLst>
            <a:ext uri="{FF2B5EF4-FFF2-40B4-BE49-F238E27FC236}">
              <a16:creationId xmlns:a16="http://schemas.microsoft.com/office/drawing/2014/main" xmlns="" id="{00000000-0008-0000-0900-000023000000}"/>
            </a:ext>
          </a:extLst>
        </xdr:cNvPr>
        <xdr:cNvSpPr/>
      </xdr:nvSpPr>
      <xdr:spPr>
        <a:xfrm>
          <a:off x="7066360" y="3214687"/>
          <a:ext cx="1002910"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Jump Width</a:t>
          </a:r>
        </a:p>
        <a:p>
          <a:pPr algn="ctr"/>
          <a:r>
            <a:rPr lang="en-US" sz="900" baseline="0"/>
            <a:t>1+(0...3)</a:t>
          </a:r>
        </a:p>
        <a:p>
          <a:pPr algn="ctr"/>
          <a:r>
            <a:rPr lang="en-US" sz="900" baseline="0"/>
            <a:t>CAN0_CTRL1[RJW]</a:t>
          </a:r>
          <a:endParaRPr lang="en-US" sz="900"/>
        </a:p>
      </xdr:txBody>
    </xdr:sp>
    <xdr:clientData/>
  </xdr:twoCellAnchor>
  <xdr:twoCellAnchor>
    <xdr:from>
      <xdr:col>13</xdr:col>
      <xdr:colOff>184547</xdr:colOff>
      <xdr:row>18</xdr:row>
      <xdr:rowOff>119063</xdr:rowOff>
    </xdr:from>
    <xdr:to>
      <xdr:col>15</xdr:col>
      <xdr:colOff>398860</xdr:colOff>
      <xdr:row>18</xdr:row>
      <xdr:rowOff>119063</xdr:rowOff>
    </xdr:to>
    <xdr:cxnSp macro="">
      <xdr:nvCxnSpPr>
        <xdr:cNvPr id="36" name="Straight Arrow Connector 35">
          <a:extLst>
            <a:ext uri="{FF2B5EF4-FFF2-40B4-BE49-F238E27FC236}">
              <a16:creationId xmlns:a16="http://schemas.microsoft.com/office/drawing/2014/main" xmlns="" id="{00000000-0008-0000-0900-000024000000}"/>
            </a:ext>
          </a:extLst>
        </xdr:cNvPr>
        <xdr:cNvCxnSpPr/>
      </xdr:nvCxnSpPr>
      <xdr:spPr>
        <a:xfrm>
          <a:off x="8078391" y="3661172"/>
          <a:ext cx="14287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416720</xdr:colOff>
      <xdr:row>16</xdr:row>
      <xdr:rowOff>83344</xdr:rowOff>
    </xdr:from>
    <xdr:to>
      <xdr:col>17</xdr:col>
      <xdr:colOff>205191</xdr:colOff>
      <xdr:row>20</xdr:row>
      <xdr:rowOff>179374</xdr:rowOff>
    </xdr:to>
    <xdr:sp macro="" textlink="">
      <xdr:nvSpPr>
        <xdr:cNvPr id="37" name="Rectangle 36">
          <a:extLst>
            <a:ext uri="{FF2B5EF4-FFF2-40B4-BE49-F238E27FC236}">
              <a16:creationId xmlns:a16="http://schemas.microsoft.com/office/drawing/2014/main" xmlns="" id="{00000000-0008-0000-0900-000025000000}"/>
            </a:ext>
          </a:extLst>
        </xdr:cNvPr>
        <xdr:cNvSpPr/>
      </xdr:nvSpPr>
      <xdr:spPr>
        <a:xfrm>
          <a:off x="9525001" y="3214688"/>
          <a:ext cx="1002909"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Prop. Seg.</a:t>
          </a:r>
        </a:p>
        <a:p>
          <a:pPr algn="ctr"/>
          <a:r>
            <a:rPr lang="en-US" sz="900" baseline="0"/>
            <a:t>1+(0...7)</a:t>
          </a:r>
        </a:p>
        <a:p>
          <a:pPr algn="ctr"/>
          <a:r>
            <a:rPr lang="en-US" sz="900" baseline="0"/>
            <a:t>CAN0_CTRL1[PROPSEG]</a:t>
          </a:r>
          <a:endParaRPr lang="en-US" sz="900"/>
        </a:p>
      </xdr:txBody>
    </xdr:sp>
    <xdr:clientData/>
  </xdr:twoCellAnchor>
  <xdr:twoCellAnchor>
    <xdr:from>
      <xdr:col>17</xdr:col>
      <xdr:colOff>196454</xdr:colOff>
      <xdr:row>18</xdr:row>
      <xdr:rowOff>107153</xdr:rowOff>
    </xdr:from>
    <xdr:to>
      <xdr:col>31</xdr:col>
      <xdr:colOff>476250</xdr:colOff>
      <xdr:row>18</xdr:row>
      <xdr:rowOff>107153</xdr:rowOff>
    </xdr:to>
    <xdr:cxnSp macro="">
      <xdr:nvCxnSpPr>
        <xdr:cNvPr id="39" name="Straight Arrow Connector 38">
          <a:extLst>
            <a:ext uri="{FF2B5EF4-FFF2-40B4-BE49-F238E27FC236}">
              <a16:creationId xmlns:a16="http://schemas.microsoft.com/office/drawing/2014/main" xmlns="" id="{00000000-0008-0000-0900-000027000000}"/>
            </a:ext>
          </a:extLst>
        </xdr:cNvPr>
        <xdr:cNvCxnSpPr/>
      </xdr:nvCxnSpPr>
      <xdr:spPr>
        <a:xfrm>
          <a:off x="10519173" y="3649262"/>
          <a:ext cx="878085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297654</xdr:colOff>
      <xdr:row>18</xdr:row>
      <xdr:rowOff>130970</xdr:rowOff>
    </xdr:from>
    <xdr:to>
      <xdr:col>14</xdr:col>
      <xdr:colOff>297654</xdr:colOff>
      <xdr:row>32</xdr:row>
      <xdr:rowOff>95250</xdr:rowOff>
    </xdr:to>
    <xdr:cxnSp macro="">
      <xdr:nvCxnSpPr>
        <xdr:cNvPr id="41" name="Straight Arrow Connector 40">
          <a:extLst>
            <a:ext uri="{FF2B5EF4-FFF2-40B4-BE49-F238E27FC236}">
              <a16:creationId xmlns:a16="http://schemas.microsoft.com/office/drawing/2014/main" xmlns="" id="{00000000-0008-0000-0900-000029000000}"/>
            </a:ext>
          </a:extLst>
        </xdr:cNvPr>
        <xdr:cNvCxnSpPr/>
      </xdr:nvCxnSpPr>
      <xdr:spPr>
        <a:xfrm flipV="1">
          <a:off x="8798717" y="3673079"/>
          <a:ext cx="0" cy="274439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404814</xdr:colOff>
      <xdr:row>23</xdr:row>
      <xdr:rowOff>5953</xdr:rowOff>
    </xdr:from>
    <xdr:to>
      <xdr:col>17</xdr:col>
      <xdr:colOff>193285</xdr:colOff>
      <xdr:row>27</xdr:row>
      <xdr:rowOff>167725</xdr:rowOff>
    </xdr:to>
    <xdr:sp macro="" textlink="">
      <xdr:nvSpPr>
        <xdr:cNvPr id="42" name="Rectangle 41">
          <a:extLst>
            <a:ext uri="{FF2B5EF4-FFF2-40B4-BE49-F238E27FC236}">
              <a16:creationId xmlns:a16="http://schemas.microsoft.com/office/drawing/2014/main" xmlns="" id="{00000000-0008-0000-0900-00002A000000}"/>
            </a:ext>
          </a:extLst>
        </xdr:cNvPr>
        <xdr:cNvSpPr/>
      </xdr:nvSpPr>
      <xdr:spPr>
        <a:xfrm>
          <a:off x="9513095" y="4572000"/>
          <a:ext cx="1002909" cy="9237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a:t>
          </a:r>
          <a:r>
            <a:rPr lang="en-US" sz="1100" baseline="0"/>
            <a:t> </a:t>
          </a:r>
          <a:r>
            <a:rPr lang="en-US" sz="1100"/>
            <a:t> Seg.</a:t>
          </a:r>
          <a:r>
            <a:rPr lang="en-US" sz="1100" baseline="0"/>
            <a:t> 1</a:t>
          </a:r>
          <a:endParaRPr lang="en-US" sz="1100"/>
        </a:p>
        <a:p>
          <a:pPr algn="ctr"/>
          <a:r>
            <a:rPr lang="en-US" sz="900" baseline="0"/>
            <a:t>1+(0...7)</a:t>
          </a:r>
        </a:p>
        <a:p>
          <a:pPr algn="ctr"/>
          <a:r>
            <a:rPr lang="en-US" sz="900" baseline="0"/>
            <a:t>CAN0_CTRL1[PSEG1]</a:t>
          </a:r>
          <a:endParaRPr lang="en-US" sz="900"/>
        </a:p>
      </xdr:txBody>
    </xdr:sp>
    <xdr:clientData/>
  </xdr:twoCellAnchor>
  <xdr:twoCellAnchor>
    <xdr:from>
      <xdr:col>14</xdr:col>
      <xdr:colOff>303609</xdr:colOff>
      <xdr:row>25</xdr:row>
      <xdr:rowOff>89296</xdr:rowOff>
    </xdr:from>
    <xdr:to>
      <xdr:col>15</xdr:col>
      <xdr:colOff>392402</xdr:colOff>
      <xdr:row>25</xdr:row>
      <xdr:rowOff>89296</xdr:rowOff>
    </xdr:to>
    <xdr:cxnSp macro="">
      <xdr:nvCxnSpPr>
        <xdr:cNvPr id="43" name="Straight Arrow Connector 42">
          <a:extLst>
            <a:ext uri="{FF2B5EF4-FFF2-40B4-BE49-F238E27FC236}">
              <a16:creationId xmlns:a16="http://schemas.microsoft.com/office/drawing/2014/main" xmlns="" id="{00000000-0008-0000-0900-00002B000000}"/>
            </a:ext>
          </a:extLst>
        </xdr:cNvPr>
        <xdr:cNvCxnSpPr/>
      </xdr:nvCxnSpPr>
      <xdr:spPr>
        <a:xfrm>
          <a:off x="8804672" y="5036343"/>
          <a:ext cx="69601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398859</xdr:colOff>
      <xdr:row>30</xdr:row>
      <xdr:rowOff>0</xdr:rowOff>
    </xdr:from>
    <xdr:to>
      <xdr:col>17</xdr:col>
      <xdr:colOff>187330</xdr:colOff>
      <xdr:row>34</xdr:row>
      <xdr:rowOff>160059</xdr:rowOff>
    </xdr:to>
    <xdr:sp macro="" textlink="">
      <xdr:nvSpPr>
        <xdr:cNvPr id="44" name="Rectangle 43">
          <a:extLst>
            <a:ext uri="{FF2B5EF4-FFF2-40B4-BE49-F238E27FC236}">
              <a16:creationId xmlns:a16="http://schemas.microsoft.com/office/drawing/2014/main" xmlns="" id="{00000000-0008-0000-0900-00002C000000}"/>
            </a:ext>
          </a:extLst>
        </xdr:cNvPr>
        <xdr:cNvSpPr/>
      </xdr:nvSpPr>
      <xdr:spPr>
        <a:xfrm>
          <a:off x="9507140" y="5941219"/>
          <a:ext cx="1002909" cy="9220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a:t>
          </a:r>
          <a:r>
            <a:rPr lang="en-US" sz="1100" baseline="0"/>
            <a:t> </a:t>
          </a:r>
          <a:r>
            <a:rPr lang="en-US" sz="1100"/>
            <a:t> Seg. 2</a:t>
          </a:r>
        </a:p>
        <a:p>
          <a:pPr algn="ctr"/>
          <a:r>
            <a:rPr lang="en-US" sz="900" baseline="0"/>
            <a:t>1+(0...7)</a:t>
          </a:r>
        </a:p>
        <a:p>
          <a:pPr algn="ctr"/>
          <a:r>
            <a:rPr lang="en-US" sz="900" baseline="0"/>
            <a:t>CAN0_CTRL1[PSEG2]</a:t>
          </a:r>
          <a:endParaRPr lang="en-US" sz="900"/>
        </a:p>
      </xdr:txBody>
    </xdr:sp>
    <xdr:clientData/>
  </xdr:twoCellAnchor>
  <xdr:twoCellAnchor>
    <xdr:from>
      <xdr:col>14</xdr:col>
      <xdr:colOff>295275</xdr:colOff>
      <xdr:row>32</xdr:row>
      <xdr:rowOff>92869</xdr:rowOff>
    </xdr:from>
    <xdr:to>
      <xdr:col>15</xdr:col>
      <xdr:colOff>384068</xdr:colOff>
      <xdr:row>32</xdr:row>
      <xdr:rowOff>92869</xdr:rowOff>
    </xdr:to>
    <xdr:cxnSp macro="">
      <xdr:nvCxnSpPr>
        <xdr:cNvPr id="45" name="Straight Arrow Connector 44">
          <a:extLst>
            <a:ext uri="{FF2B5EF4-FFF2-40B4-BE49-F238E27FC236}">
              <a16:creationId xmlns:a16="http://schemas.microsoft.com/office/drawing/2014/main" xmlns="" id="{00000000-0008-0000-0900-00002D000000}"/>
            </a:ext>
          </a:extLst>
        </xdr:cNvPr>
        <xdr:cNvCxnSpPr/>
      </xdr:nvCxnSpPr>
      <xdr:spPr>
        <a:xfrm>
          <a:off x="8796338" y="6415088"/>
          <a:ext cx="69601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184547</xdr:colOff>
      <xdr:row>25</xdr:row>
      <xdr:rowOff>95250</xdr:rowOff>
    </xdr:from>
    <xdr:to>
      <xdr:col>31</xdr:col>
      <xdr:colOff>464343</xdr:colOff>
      <xdr:row>25</xdr:row>
      <xdr:rowOff>95250</xdr:rowOff>
    </xdr:to>
    <xdr:cxnSp macro="">
      <xdr:nvCxnSpPr>
        <xdr:cNvPr id="47" name="Straight Arrow Connector 46">
          <a:extLst>
            <a:ext uri="{FF2B5EF4-FFF2-40B4-BE49-F238E27FC236}">
              <a16:creationId xmlns:a16="http://schemas.microsoft.com/office/drawing/2014/main" xmlns="" id="{00000000-0008-0000-0900-00002F000000}"/>
            </a:ext>
          </a:extLst>
        </xdr:cNvPr>
        <xdr:cNvCxnSpPr/>
      </xdr:nvCxnSpPr>
      <xdr:spPr>
        <a:xfrm>
          <a:off x="10507266" y="5042297"/>
          <a:ext cx="878085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32</xdr:row>
      <xdr:rowOff>89297</xdr:rowOff>
    </xdr:from>
    <xdr:to>
      <xdr:col>31</xdr:col>
      <xdr:colOff>470296</xdr:colOff>
      <xdr:row>32</xdr:row>
      <xdr:rowOff>89297</xdr:rowOff>
    </xdr:to>
    <xdr:cxnSp macro="">
      <xdr:nvCxnSpPr>
        <xdr:cNvPr id="48" name="Straight Arrow Connector 47">
          <a:extLst>
            <a:ext uri="{FF2B5EF4-FFF2-40B4-BE49-F238E27FC236}">
              <a16:creationId xmlns:a16="http://schemas.microsoft.com/office/drawing/2014/main" xmlns="" id="{00000000-0008-0000-0900-000030000000}"/>
            </a:ext>
          </a:extLst>
        </xdr:cNvPr>
        <xdr:cNvCxnSpPr/>
      </xdr:nvCxnSpPr>
      <xdr:spPr>
        <a:xfrm>
          <a:off x="10513219" y="6411516"/>
          <a:ext cx="878085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303609</xdr:colOff>
      <xdr:row>18</xdr:row>
      <xdr:rowOff>107158</xdr:rowOff>
    </xdr:from>
    <xdr:to>
      <xdr:col>4</xdr:col>
      <xdr:colOff>303609</xdr:colOff>
      <xdr:row>70</xdr:row>
      <xdr:rowOff>0</xdr:rowOff>
    </xdr:to>
    <xdr:cxnSp macro="">
      <xdr:nvCxnSpPr>
        <xdr:cNvPr id="49" name="Straight Arrow Connector 48">
          <a:extLst>
            <a:ext uri="{FF2B5EF4-FFF2-40B4-BE49-F238E27FC236}">
              <a16:creationId xmlns:a16="http://schemas.microsoft.com/office/drawing/2014/main" xmlns="" id="{00000000-0008-0000-0900-000031000000}"/>
            </a:ext>
          </a:extLst>
        </xdr:cNvPr>
        <xdr:cNvCxnSpPr/>
      </xdr:nvCxnSpPr>
      <xdr:spPr>
        <a:xfrm flipV="1">
          <a:off x="2742009" y="3640933"/>
          <a:ext cx="0" cy="10094117"/>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422677</xdr:colOff>
      <xdr:row>37</xdr:row>
      <xdr:rowOff>172641</xdr:rowOff>
    </xdr:from>
    <xdr:to>
      <xdr:col>7</xdr:col>
      <xdr:colOff>211149</xdr:colOff>
      <xdr:row>42</xdr:row>
      <xdr:rowOff>187398</xdr:rowOff>
    </xdr:to>
    <xdr:sp macro="" textlink="">
      <xdr:nvSpPr>
        <xdr:cNvPr id="50" name="Rectangle 49">
          <a:extLst>
            <a:ext uri="{FF2B5EF4-FFF2-40B4-BE49-F238E27FC236}">
              <a16:creationId xmlns:a16="http://schemas.microsoft.com/office/drawing/2014/main" xmlns="" id="{00000000-0008-0000-0900-000032000000}"/>
            </a:ext>
          </a:extLst>
        </xdr:cNvPr>
        <xdr:cNvSpPr/>
      </xdr:nvSpPr>
      <xdr:spPr>
        <a:xfrm>
          <a:off x="3458771" y="7489032"/>
          <a:ext cx="1002909" cy="9672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Ext. Format Enable</a:t>
          </a:r>
        </a:p>
        <a:p>
          <a:pPr algn="ctr"/>
          <a:r>
            <a:rPr lang="en-US" sz="900" baseline="0"/>
            <a:t>CAN0_CBT[BTF]</a:t>
          </a:r>
          <a:endParaRPr lang="en-US" sz="900"/>
        </a:p>
      </xdr:txBody>
    </xdr:sp>
    <xdr:clientData/>
  </xdr:twoCellAnchor>
  <xdr:oneCellAnchor>
    <xdr:from>
      <xdr:col>5</xdr:col>
      <xdr:colOff>541734</xdr:colOff>
      <xdr:row>43</xdr:row>
      <xdr:rowOff>178594</xdr:rowOff>
    </xdr:from>
    <xdr:ext cx="1476498" cy="354111"/>
    <xdr:sp macro="" textlink="">
      <xdr:nvSpPr>
        <xdr:cNvPr id="51" name="TextBox 50">
          <a:extLst>
            <a:ext uri="{FF2B5EF4-FFF2-40B4-BE49-F238E27FC236}">
              <a16:creationId xmlns:a16="http://schemas.microsoft.com/office/drawing/2014/main" xmlns="" id="{00000000-0008-0000-0900-000033000000}"/>
            </a:ext>
          </a:extLst>
        </xdr:cNvPr>
        <xdr:cNvSpPr txBox="1"/>
      </xdr:nvSpPr>
      <xdr:spPr>
        <a:xfrm>
          <a:off x="3577828" y="8649891"/>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Extended Format Disabled</a:t>
          </a:r>
        </a:p>
        <a:p>
          <a:r>
            <a:rPr lang="en-US" sz="800"/>
            <a:t>1 - Extended</a:t>
          </a:r>
          <a:r>
            <a:rPr lang="en-US" sz="800" baseline="0"/>
            <a:t> Format Enabled</a:t>
          </a:r>
          <a:endParaRPr lang="en-US" sz="800"/>
        </a:p>
      </xdr:txBody>
    </xdr:sp>
    <xdr:clientData/>
  </xdr:oneCellAnchor>
  <xdr:twoCellAnchor>
    <xdr:from>
      <xdr:col>4</xdr:col>
      <xdr:colOff>315516</xdr:colOff>
      <xdr:row>40</xdr:row>
      <xdr:rowOff>107156</xdr:rowOff>
    </xdr:from>
    <xdr:to>
      <xdr:col>5</xdr:col>
      <xdr:colOff>404812</xdr:colOff>
      <xdr:row>40</xdr:row>
      <xdr:rowOff>107156</xdr:rowOff>
    </xdr:to>
    <xdr:cxnSp macro="">
      <xdr:nvCxnSpPr>
        <xdr:cNvPr id="52" name="Straight Arrow Connector 51">
          <a:extLst>
            <a:ext uri="{FF2B5EF4-FFF2-40B4-BE49-F238E27FC236}">
              <a16:creationId xmlns:a16="http://schemas.microsoft.com/office/drawing/2014/main" xmlns="" id="{00000000-0008-0000-0900-000034000000}"/>
            </a:ext>
          </a:extLst>
        </xdr:cNvPr>
        <xdr:cNvCxnSpPr/>
      </xdr:nvCxnSpPr>
      <xdr:spPr>
        <a:xfrm>
          <a:off x="2744391" y="7995047"/>
          <a:ext cx="69651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208360</xdr:colOff>
      <xdr:row>40</xdr:row>
      <xdr:rowOff>23813</xdr:rowOff>
    </xdr:from>
    <xdr:to>
      <xdr:col>11</xdr:col>
      <xdr:colOff>392906</xdr:colOff>
      <xdr:row>40</xdr:row>
      <xdr:rowOff>23813</xdr:rowOff>
    </xdr:to>
    <xdr:cxnSp macro="">
      <xdr:nvCxnSpPr>
        <xdr:cNvPr id="54" name="Straight Arrow Connector 53">
          <a:extLst>
            <a:ext uri="{FF2B5EF4-FFF2-40B4-BE49-F238E27FC236}">
              <a16:creationId xmlns:a16="http://schemas.microsoft.com/office/drawing/2014/main" xmlns="" id="{00000000-0008-0000-0900-000036000000}"/>
            </a:ext>
          </a:extLst>
        </xdr:cNvPr>
        <xdr:cNvCxnSpPr/>
      </xdr:nvCxnSpPr>
      <xdr:spPr>
        <a:xfrm>
          <a:off x="4458891" y="7941469"/>
          <a:ext cx="26134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398860</xdr:colOff>
      <xdr:row>38</xdr:row>
      <xdr:rowOff>23812</xdr:rowOff>
    </xdr:from>
    <xdr:to>
      <xdr:col>13</xdr:col>
      <xdr:colOff>187332</xdr:colOff>
      <xdr:row>42</xdr:row>
      <xdr:rowOff>187397</xdr:rowOff>
    </xdr:to>
    <xdr:sp macro="" textlink="">
      <xdr:nvSpPr>
        <xdr:cNvPr id="55" name="Rectangle 54">
          <a:extLst>
            <a:ext uri="{FF2B5EF4-FFF2-40B4-BE49-F238E27FC236}">
              <a16:creationId xmlns:a16="http://schemas.microsoft.com/office/drawing/2014/main" xmlns="" id="{00000000-0008-0000-0900-000037000000}"/>
            </a:ext>
          </a:extLst>
        </xdr:cNvPr>
        <xdr:cNvSpPr/>
      </xdr:nvSpPr>
      <xdr:spPr>
        <a:xfrm>
          <a:off x="7078266" y="7530703"/>
          <a:ext cx="1002910" cy="9672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Sclock Ext. Prescaler</a:t>
          </a:r>
        </a:p>
        <a:p>
          <a:pPr algn="ctr"/>
          <a:r>
            <a:rPr lang="en-US" sz="900" baseline="0"/>
            <a:t>/(1+(0...1023))</a:t>
          </a:r>
        </a:p>
        <a:p>
          <a:pPr algn="ctr"/>
          <a:r>
            <a:rPr lang="en-US" sz="900" baseline="0"/>
            <a:t>CAN0_CBT[EPRESDIV]</a:t>
          </a:r>
          <a:endParaRPr lang="en-US" sz="900"/>
        </a:p>
      </xdr:txBody>
    </xdr:sp>
    <xdr:clientData/>
  </xdr:twoCellAnchor>
  <xdr:twoCellAnchor>
    <xdr:from>
      <xdr:col>13</xdr:col>
      <xdr:colOff>184546</xdr:colOff>
      <xdr:row>40</xdr:row>
      <xdr:rowOff>29766</xdr:rowOff>
    </xdr:from>
    <xdr:to>
      <xdr:col>18</xdr:col>
      <xdr:colOff>392906</xdr:colOff>
      <xdr:row>40</xdr:row>
      <xdr:rowOff>29766</xdr:rowOff>
    </xdr:to>
    <xdr:cxnSp macro="">
      <xdr:nvCxnSpPr>
        <xdr:cNvPr id="58" name="Straight Arrow Connector 57">
          <a:extLst>
            <a:ext uri="{FF2B5EF4-FFF2-40B4-BE49-F238E27FC236}">
              <a16:creationId xmlns:a16="http://schemas.microsoft.com/office/drawing/2014/main" xmlns="" id="{00000000-0008-0000-0900-00003A000000}"/>
            </a:ext>
          </a:extLst>
        </xdr:cNvPr>
        <xdr:cNvCxnSpPr/>
      </xdr:nvCxnSpPr>
      <xdr:spPr>
        <a:xfrm>
          <a:off x="8078390" y="7947422"/>
          <a:ext cx="32444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416718</xdr:colOff>
      <xdr:row>38</xdr:row>
      <xdr:rowOff>47625</xdr:rowOff>
    </xdr:from>
    <xdr:to>
      <xdr:col>20</xdr:col>
      <xdr:colOff>205191</xdr:colOff>
      <xdr:row>42</xdr:row>
      <xdr:rowOff>176837</xdr:rowOff>
    </xdr:to>
    <xdr:sp macro="" textlink="">
      <xdr:nvSpPr>
        <xdr:cNvPr id="59" name="Rectangle 58">
          <a:extLst>
            <a:ext uri="{FF2B5EF4-FFF2-40B4-BE49-F238E27FC236}">
              <a16:creationId xmlns:a16="http://schemas.microsoft.com/office/drawing/2014/main" xmlns="" id="{00000000-0008-0000-0900-00003B000000}"/>
            </a:ext>
          </a:extLst>
        </xdr:cNvPr>
        <xdr:cNvSpPr/>
      </xdr:nvSpPr>
      <xdr:spPr>
        <a:xfrm>
          <a:off x="11346656" y="7554516"/>
          <a:ext cx="1002910" cy="9328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Ext. Jump Width</a:t>
          </a:r>
        </a:p>
        <a:p>
          <a:pPr algn="ctr"/>
          <a:r>
            <a:rPr lang="en-US" sz="900" baseline="0"/>
            <a:t>1+(0...31)</a:t>
          </a:r>
        </a:p>
        <a:p>
          <a:pPr algn="ctr"/>
          <a:r>
            <a:rPr lang="en-US" sz="900" baseline="0"/>
            <a:t>CAN0_CBT[ERJW]</a:t>
          </a:r>
          <a:endParaRPr lang="en-US" sz="900"/>
        </a:p>
      </xdr:txBody>
    </xdr:sp>
    <xdr:clientData/>
  </xdr:twoCellAnchor>
  <xdr:oneCellAnchor>
    <xdr:from>
      <xdr:col>14</xdr:col>
      <xdr:colOff>244078</xdr:colOff>
      <xdr:row>37</xdr:row>
      <xdr:rowOff>136921</xdr:rowOff>
    </xdr:from>
    <xdr:ext cx="1416327" cy="319709"/>
    <xdr:sp macro="" textlink="">
      <xdr:nvSpPr>
        <xdr:cNvPr id="61" name="TextBox 60">
          <a:extLst>
            <a:ext uri="{FF2B5EF4-FFF2-40B4-BE49-F238E27FC236}">
              <a16:creationId xmlns:a16="http://schemas.microsoft.com/office/drawing/2014/main" xmlns="" id="{00000000-0008-0000-0900-00003D000000}"/>
            </a:ext>
          </a:extLst>
        </xdr:cNvPr>
        <xdr:cNvSpPr txBox="1"/>
      </xdr:nvSpPr>
      <xdr:spPr>
        <a:xfrm>
          <a:off x="8745141" y="7453312"/>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Sclock_Extended</a:t>
          </a:r>
        </a:p>
      </xdr:txBody>
    </xdr:sp>
    <xdr:clientData/>
  </xdr:oneCellAnchor>
  <xdr:twoCellAnchor>
    <xdr:from>
      <xdr:col>20</xdr:col>
      <xdr:colOff>208360</xdr:colOff>
      <xdr:row>40</xdr:row>
      <xdr:rowOff>107157</xdr:rowOff>
    </xdr:from>
    <xdr:to>
      <xdr:col>25</xdr:col>
      <xdr:colOff>433932</xdr:colOff>
      <xdr:row>40</xdr:row>
      <xdr:rowOff>107157</xdr:rowOff>
    </xdr:to>
    <xdr:cxnSp macro="">
      <xdr:nvCxnSpPr>
        <xdr:cNvPr id="62" name="Straight Arrow Connector 61">
          <a:extLst>
            <a:ext uri="{FF2B5EF4-FFF2-40B4-BE49-F238E27FC236}">
              <a16:creationId xmlns:a16="http://schemas.microsoft.com/office/drawing/2014/main" xmlns="" id="{00000000-0008-0000-0900-00003E000000}"/>
            </a:ext>
          </a:extLst>
        </xdr:cNvPr>
        <xdr:cNvCxnSpPr/>
      </xdr:nvCxnSpPr>
      <xdr:spPr>
        <a:xfrm>
          <a:off x="12352735" y="8024813"/>
          <a:ext cx="32616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440531</xdr:colOff>
      <xdr:row>38</xdr:row>
      <xdr:rowOff>47625</xdr:rowOff>
    </xdr:from>
    <xdr:to>
      <xdr:col>27</xdr:col>
      <xdr:colOff>229003</xdr:colOff>
      <xdr:row>42</xdr:row>
      <xdr:rowOff>178079</xdr:rowOff>
    </xdr:to>
    <xdr:sp macro="" textlink="">
      <xdr:nvSpPr>
        <xdr:cNvPr id="63" name="Rectangle 62">
          <a:extLst>
            <a:ext uri="{FF2B5EF4-FFF2-40B4-BE49-F238E27FC236}">
              <a16:creationId xmlns:a16="http://schemas.microsoft.com/office/drawing/2014/main" xmlns="" id="{00000000-0008-0000-0900-00003F000000}"/>
            </a:ext>
          </a:extLst>
        </xdr:cNvPr>
        <xdr:cNvSpPr/>
      </xdr:nvSpPr>
      <xdr:spPr>
        <a:xfrm>
          <a:off x="15621000" y="7554516"/>
          <a:ext cx="1002909" cy="9341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Prop. Seg. Ext.</a:t>
          </a:r>
        </a:p>
        <a:p>
          <a:pPr algn="ctr"/>
          <a:r>
            <a:rPr lang="en-US" sz="900" baseline="0"/>
            <a:t>1+(0...63)</a:t>
          </a:r>
        </a:p>
        <a:p>
          <a:pPr algn="ctr"/>
          <a:r>
            <a:rPr lang="en-US" sz="900" baseline="0"/>
            <a:t>CAN0_CBT[EPROPSEG]</a:t>
          </a:r>
          <a:endParaRPr lang="en-US" sz="900"/>
        </a:p>
      </xdr:txBody>
    </xdr:sp>
    <xdr:clientData/>
  </xdr:twoCellAnchor>
  <xdr:twoCellAnchor>
    <xdr:from>
      <xdr:col>27</xdr:col>
      <xdr:colOff>220266</xdr:colOff>
      <xdr:row>40</xdr:row>
      <xdr:rowOff>107157</xdr:rowOff>
    </xdr:from>
    <xdr:to>
      <xdr:col>31</xdr:col>
      <xdr:colOff>482203</xdr:colOff>
      <xdr:row>40</xdr:row>
      <xdr:rowOff>107157</xdr:rowOff>
    </xdr:to>
    <xdr:cxnSp macro="">
      <xdr:nvCxnSpPr>
        <xdr:cNvPr id="64" name="Straight Arrow Connector 63">
          <a:extLst>
            <a:ext uri="{FF2B5EF4-FFF2-40B4-BE49-F238E27FC236}">
              <a16:creationId xmlns:a16="http://schemas.microsoft.com/office/drawing/2014/main" xmlns="" id="{00000000-0008-0000-0900-000040000000}"/>
            </a:ext>
          </a:extLst>
        </xdr:cNvPr>
        <xdr:cNvCxnSpPr/>
      </xdr:nvCxnSpPr>
      <xdr:spPr>
        <a:xfrm>
          <a:off x="16615172" y="8024813"/>
          <a:ext cx="26908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369094</xdr:colOff>
      <xdr:row>40</xdr:row>
      <xdr:rowOff>107157</xdr:rowOff>
    </xdr:from>
    <xdr:to>
      <xdr:col>23</xdr:col>
      <xdr:colOff>369094</xdr:colOff>
      <xdr:row>55</xdr:row>
      <xdr:rowOff>92529</xdr:rowOff>
    </xdr:to>
    <xdr:cxnSp macro="">
      <xdr:nvCxnSpPr>
        <xdr:cNvPr id="66" name="Straight Arrow Connector 65">
          <a:extLst>
            <a:ext uri="{FF2B5EF4-FFF2-40B4-BE49-F238E27FC236}">
              <a16:creationId xmlns:a16="http://schemas.microsoft.com/office/drawing/2014/main" xmlns="" id="{00000000-0008-0000-0900-000042000000}"/>
            </a:ext>
          </a:extLst>
        </xdr:cNvPr>
        <xdr:cNvCxnSpPr/>
      </xdr:nvCxnSpPr>
      <xdr:spPr>
        <a:xfrm flipV="1">
          <a:off x="14389894" y="8042843"/>
          <a:ext cx="0" cy="2940843"/>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392906</xdr:colOff>
      <xdr:row>46</xdr:row>
      <xdr:rowOff>17860</xdr:rowOff>
    </xdr:from>
    <xdr:to>
      <xdr:col>27</xdr:col>
      <xdr:colOff>181378</xdr:colOff>
      <xdr:row>50</xdr:row>
      <xdr:rowOff>173421</xdr:rowOff>
    </xdr:to>
    <xdr:sp macro="" textlink="">
      <xdr:nvSpPr>
        <xdr:cNvPr id="67" name="Rectangle 66">
          <a:extLst>
            <a:ext uri="{FF2B5EF4-FFF2-40B4-BE49-F238E27FC236}">
              <a16:creationId xmlns:a16="http://schemas.microsoft.com/office/drawing/2014/main" xmlns="" id="{00000000-0008-0000-0900-000043000000}"/>
            </a:ext>
          </a:extLst>
        </xdr:cNvPr>
        <xdr:cNvSpPr/>
      </xdr:nvSpPr>
      <xdr:spPr>
        <a:xfrm>
          <a:off x="15573375" y="9132094"/>
          <a:ext cx="1002909"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 Seg. 1 Ext.</a:t>
          </a:r>
        </a:p>
        <a:p>
          <a:pPr algn="ctr"/>
          <a:r>
            <a:rPr lang="en-US" sz="900" baseline="0"/>
            <a:t>1+(0...31)</a:t>
          </a:r>
        </a:p>
        <a:p>
          <a:pPr algn="ctr"/>
          <a:r>
            <a:rPr lang="en-US" sz="900" baseline="0"/>
            <a:t>CAN0_CBT[EPSEG1]</a:t>
          </a:r>
          <a:endParaRPr lang="en-US" sz="900"/>
        </a:p>
      </xdr:txBody>
    </xdr:sp>
    <xdr:clientData/>
  </xdr:twoCellAnchor>
  <xdr:twoCellAnchor>
    <xdr:from>
      <xdr:col>23</xdr:col>
      <xdr:colOff>381001</xdr:colOff>
      <xdr:row>48</xdr:row>
      <xdr:rowOff>95251</xdr:rowOff>
    </xdr:from>
    <xdr:to>
      <xdr:col>25</xdr:col>
      <xdr:colOff>367543</xdr:colOff>
      <xdr:row>48</xdr:row>
      <xdr:rowOff>95251</xdr:rowOff>
    </xdr:to>
    <xdr:cxnSp macro="">
      <xdr:nvCxnSpPr>
        <xdr:cNvPr id="68" name="Straight Arrow Connector 67">
          <a:extLst>
            <a:ext uri="{FF2B5EF4-FFF2-40B4-BE49-F238E27FC236}">
              <a16:creationId xmlns:a16="http://schemas.microsoft.com/office/drawing/2014/main" xmlns="" id="{00000000-0008-0000-0900-000044000000}"/>
            </a:ext>
          </a:extLst>
        </xdr:cNvPr>
        <xdr:cNvCxnSpPr/>
      </xdr:nvCxnSpPr>
      <xdr:spPr>
        <a:xfrm>
          <a:off x="14347032" y="9590485"/>
          <a:ext cx="12009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184548</xdr:colOff>
      <xdr:row>48</xdr:row>
      <xdr:rowOff>101204</xdr:rowOff>
    </xdr:from>
    <xdr:to>
      <xdr:col>31</xdr:col>
      <xdr:colOff>470297</xdr:colOff>
      <xdr:row>48</xdr:row>
      <xdr:rowOff>101204</xdr:rowOff>
    </xdr:to>
    <xdr:cxnSp macro="">
      <xdr:nvCxnSpPr>
        <xdr:cNvPr id="69" name="Straight Arrow Connector 68">
          <a:extLst>
            <a:ext uri="{FF2B5EF4-FFF2-40B4-BE49-F238E27FC236}">
              <a16:creationId xmlns:a16="http://schemas.microsoft.com/office/drawing/2014/main" xmlns="" id="{00000000-0008-0000-0900-000045000000}"/>
            </a:ext>
          </a:extLst>
        </xdr:cNvPr>
        <xdr:cNvCxnSpPr/>
      </xdr:nvCxnSpPr>
      <xdr:spPr>
        <a:xfrm>
          <a:off x="16579454" y="9596438"/>
          <a:ext cx="27146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402771</xdr:colOff>
      <xdr:row>53</xdr:row>
      <xdr:rowOff>22286</xdr:rowOff>
    </xdr:from>
    <xdr:to>
      <xdr:col>27</xdr:col>
      <xdr:colOff>191242</xdr:colOff>
      <xdr:row>57</xdr:row>
      <xdr:rowOff>174276</xdr:rowOff>
    </xdr:to>
    <xdr:sp macro="" textlink="">
      <xdr:nvSpPr>
        <xdr:cNvPr id="71" name="Rectangle 70">
          <a:extLst>
            <a:ext uri="{FF2B5EF4-FFF2-40B4-BE49-F238E27FC236}">
              <a16:creationId xmlns:a16="http://schemas.microsoft.com/office/drawing/2014/main" xmlns="" id="{00000000-0008-0000-0900-000047000000}"/>
            </a:ext>
          </a:extLst>
        </xdr:cNvPr>
        <xdr:cNvSpPr/>
      </xdr:nvSpPr>
      <xdr:spPr>
        <a:xfrm>
          <a:off x="15642771" y="10532443"/>
          <a:ext cx="1007671" cy="9139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 Seg. 2 Ext.</a:t>
          </a:r>
        </a:p>
        <a:p>
          <a:pPr algn="ctr"/>
          <a:r>
            <a:rPr lang="en-US" sz="900" baseline="0"/>
            <a:t>1+(0...31)</a:t>
          </a:r>
        </a:p>
        <a:p>
          <a:pPr algn="ctr"/>
          <a:r>
            <a:rPr lang="en-US" sz="900" baseline="0"/>
            <a:t>CAN0_CBT[EPSEG2]</a:t>
          </a:r>
          <a:endParaRPr lang="en-US" sz="900"/>
        </a:p>
      </xdr:txBody>
    </xdr:sp>
    <xdr:clientData/>
  </xdr:twoCellAnchor>
  <xdr:twoCellAnchor>
    <xdr:from>
      <xdr:col>23</xdr:col>
      <xdr:colOff>370114</xdr:colOff>
      <xdr:row>55</xdr:row>
      <xdr:rowOff>92527</xdr:rowOff>
    </xdr:from>
    <xdr:to>
      <xdr:col>25</xdr:col>
      <xdr:colOff>351894</xdr:colOff>
      <xdr:row>55</xdr:row>
      <xdr:rowOff>92527</xdr:rowOff>
    </xdr:to>
    <xdr:cxnSp macro="">
      <xdr:nvCxnSpPr>
        <xdr:cNvPr id="72" name="Straight Arrow Connector 71">
          <a:extLst>
            <a:ext uri="{FF2B5EF4-FFF2-40B4-BE49-F238E27FC236}">
              <a16:creationId xmlns:a16="http://schemas.microsoft.com/office/drawing/2014/main" xmlns="" id="{00000000-0008-0000-0900-000048000000}"/>
            </a:ext>
          </a:extLst>
        </xdr:cNvPr>
        <xdr:cNvCxnSpPr/>
      </xdr:nvCxnSpPr>
      <xdr:spPr>
        <a:xfrm>
          <a:off x="14390914" y="10983684"/>
          <a:ext cx="12009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195943</xdr:colOff>
      <xdr:row>55</xdr:row>
      <xdr:rowOff>103414</xdr:rowOff>
    </xdr:from>
    <xdr:to>
      <xdr:col>31</xdr:col>
      <xdr:colOff>473529</xdr:colOff>
      <xdr:row>55</xdr:row>
      <xdr:rowOff>103414</xdr:rowOff>
    </xdr:to>
    <xdr:cxnSp macro="">
      <xdr:nvCxnSpPr>
        <xdr:cNvPr id="74" name="Straight Arrow Connector 73">
          <a:extLst>
            <a:ext uri="{FF2B5EF4-FFF2-40B4-BE49-F238E27FC236}">
              <a16:creationId xmlns:a16="http://schemas.microsoft.com/office/drawing/2014/main" xmlns="" id="{00000000-0008-0000-0900-00004A000000}"/>
            </a:ext>
          </a:extLst>
        </xdr:cNvPr>
        <xdr:cNvCxnSpPr/>
      </xdr:nvCxnSpPr>
      <xdr:spPr>
        <a:xfrm>
          <a:off x="16655143" y="10994571"/>
          <a:ext cx="271598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390525</xdr:colOff>
      <xdr:row>67</xdr:row>
      <xdr:rowOff>114300</xdr:rowOff>
    </xdr:from>
    <xdr:to>
      <xdr:col>7</xdr:col>
      <xdr:colOff>167608</xdr:colOff>
      <xdr:row>72</xdr:row>
      <xdr:rowOff>169642</xdr:rowOff>
    </xdr:to>
    <xdr:sp macro="" textlink="">
      <xdr:nvSpPr>
        <xdr:cNvPr id="65" name="Rectangle 64">
          <a:extLst>
            <a:ext uri="{FF2B5EF4-FFF2-40B4-BE49-F238E27FC236}">
              <a16:creationId xmlns:a16="http://schemas.microsoft.com/office/drawing/2014/main" xmlns="" id="{00000000-0008-0000-0900-000041000000}"/>
            </a:ext>
          </a:extLst>
        </xdr:cNvPr>
        <xdr:cNvSpPr/>
      </xdr:nvSpPr>
      <xdr:spPr>
        <a:xfrm>
          <a:off x="3438525" y="13277850"/>
          <a:ext cx="996283" cy="10078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CAN0FD Enable </a:t>
          </a:r>
          <a:r>
            <a:rPr lang="en-US" sz="900" baseline="0"/>
            <a:t>CAN0_MCR[FDEN]</a:t>
          </a:r>
          <a:endParaRPr lang="en-US" sz="900"/>
        </a:p>
      </xdr:txBody>
    </xdr:sp>
    <xdr:clientData/>
  </xdr:twoCellAnchor>
  <xdr:twoCellAnchor>
    <xdr:from>
      <xdr:col>4</xdr:col>
      <xdr:colOff>304800</xdr:colOff>
      <xdr:row>69</xdr:row>
      <xdr:rowOff>183357</xdr:rowOff>
    </xdr:from>
    <xdr:to>
      <xdr:col>5</xdr:col>
      <xdr:colOff>376765</xdr:colOff>
      <xdr:row>69</xdr:row>
      <xdr:rowOff>183357</xdr:rowOff>
    </xdr:to>
    <xdr:cxnSp macro="">
      <xdr:nvCxnSpPr>
        <xdr:cNvPr id="70" name="Straight Arrow Connector 69">
          <a:extLst>
            <a:ext uri="{FF2B5EF4-FFF2-40B4-BE49-F238E27FC236}">
              <a16:creationId xmlns:a16="http://schemas.microsoft.com/office/drawing/2014/main" xmlns="" id="{00000000-0008-0000-0900-000046000000}"/>
            </a:ext>
          </a:extLst>
        </xdr:cNvPr>
        <xdr:cNvCxnSpPr/>
      </xdr:nvCxnSpPr>
      <xdr:spPr>
        <a:xfrm>
          <a:off x="2743200" y="13727907"/>
          <a:ext cx="6815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561975</xdr:colOff>
      <xdr:row>74</xdr:row>
      <xdr:rowOff>0</xdr:rowOff>
    </xdr:from>
    <xdr:ext cx="1476498" cy="354111"/>
    <xdr:sp macro="" textlink="">
      <xdr:nvSpPr>
        <xdr:cNvPr id="73" name="TextBox 72">
          <a:extLst>
            <a:ext uri="{FF2B5EF4-FFF2-40B4-BE49-F238E27FC236}">
              <a16:creationId xmlns:a16="http://schemas.microsoft.com/office/drawing/2014/main" xmlns="" id="{00000000-0008-0000-0900-000049000000}"/>
            </a:ext>
          </a:extLst>
        </xdr:cNvPr>
        <xdr:cNvSpPr txBox="1"/>
      </xdr:nvSpPr>
      <xdr:spPr>
        <a:xfrm>
          <a:off x="3609975" y="14525625"/>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Disabled</a:t>
          </a:r>
          <a:endParaRPr lang="en-US" sz="800"/>
        </a:p>
        <a:p>
          <a:r>
            <a:rPr lang="en-US" sz="800"/>
            <a:t>1 - CANFD</a:t>
          </a:r>
          <a:r>
            <a:rPr lang="en-US" sz="800" baseline="0"/>
            <a:t> Enabled</a:t>
          </a:r>
          <a:endParaRPr lang="en-US" sz="800"/>
        </a:p>
      </xdr:txBody>
    </xdr:sp>
    <xdr:clientData/>
  </xdr:oneCellAnchor>
  <xdr:twoCellAnchor>
    <xdr:from>
      <xdr:col>7</xdr:col>
      <xdr:colOff>171450</xdr:colOff>
      <xdr:row>70</xdr:row>
      <xdr:rowOff>28575</xdr:rowOff>
    </xdr:from>
    <xdr:to>
      <xdr:col>9</xdr:col>
      <xdr:colOff>390525</xdr:colOff>
      <xdr:row>70</xdr:row>
      <xdr:rowOff>28575</xdr:rowOff>
    </xdr:to>
    <xdr:cxnSp macro="">
      <xdr:nvCxnSpPr>
        <xdr:cNvPr id="75" name="Straight Arrow Connector 74">
          <a:extLst>
            <a:ext uri="{FF2B5EF4-FFF2-40B4-BE49-F238E27FC236}">
              <a16:creationId xmlns:a16="http://schemas.microsoft.com/office/drawing/2014/main" xmlns="" id="{00000000-0008-0000-0900-00004B000000}"/>
            </a:ext>
          </a:extLst>
        </xdr:cNvPr>
        <xdr:cNvCxnSpPr/>
      </xdr:nvCxnSpPr>
      <xdr:spPr>
        <a:xfrm>
          <a:off x="4438650" y="13792200"/>
          <a:ext cx="14382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390525</xdr:colOff>
      <xdr:row>67</xdr:row>
      <xdr:rowOff>180975</xdr:rowOff>
    </xdr:from>
    <xdr:to>
      <xdr:col>11</xdr:col>
      <xdr:colOff>167608</xdr:colOff>
      <xdr:row>72</xdr:row>
      <xdr:rowOff>165086</xdr:rowOff>
    </xdr:to>
    <xdr:sp macro="" textlink="">
      <xdr:nvSpPr>
        <xdr:cNvPr id="76" name="Rectangle 75">
          <a:extLst>
            <a:ext uri="{FF2B5EF4-FFF2-40B4-BE49-F238E27FC236}">
              <a16:creationId xmlns:a16="http://schemas.microsoft.com/office/drawing/2014/main" xmlns="" id="{00000000-0008-0000-0900-00004C000000}"/>
            </a:ext>
          </a:extLst>
        </xdr:cNvPr>
        <xdr:cNvSpPr/>
      </xdr:nvSpPr>
      <xdr:spPr>
        <a:xfrm>
          <a:off x="5876925" y="13344525"/>
          <a:ext cx="996283" cy="9747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Bit Rate Switch</a:t>
          </a:r>
        </a:p>
        <a:p>
          <a:pPr algn="ctr"/>
          <a:r>
            <a:rPr lang="en-US" sz="900" baseline="0"/>
            <a:t>CAN0_FDCTRL[FDRATE]</a:t>
          </a:r>
          <a:endParaRPr lang="en-US" sz="900"/>
        </a:p>
      </xdr:txBody>
    </xdr:sp>
    <xdr:clientData/>
  </xdr:twoCellAnchor>
  <xdr:oneCellAnchor>
    <xdr:from>
      <xdr:col>9</xdr:col>
      <xdr:colOff>552450</xdr:colOff>
      <xdr:row>73</xdr:row>
      <xdr:rowOff>200025</xdr:rowOff>
    </xdr:from>
    <xdr:ext cx="1476498" cy="354111"/>
    <xdr:sp macro="" textlink="">
      <xdr:nvSpPr>
        <xdr:cNvPr id="77" name="TextBox 76">
          <a:extLst>
            <a:ext uri="{FF2B5EF4-FFF2-40B4-BE49-F238E27FC236}">
              <a16:creationId xmlns:a16="http://schemas.microsoft.com/office/drawing/2014/main" xmlns="" id="{00000000-0008-0000-0900-00004D000000}"/>
            </a:ext>
          </a:extLst>
        </xdr:cNvPr>
        <xdr:cNvSpPr txBox="1"/>
      </xdr:nvSpPr>
      <xdr:spPr>
        <a:xfrm>
          <a:off x="6038850" y="14554200"/>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12</xdr:col>
      <xdr:colOff>390525</xdr:colOff>
      <xdr:row>68</xdr:row>
      <xdr:rowOff>9525</xdr:rowOff>
    </xdr:from>
    <xdr:to>
      <xdr:col>14</xdr:col>
      <xdr:colOff>167608</xdr:colOff>
      <xdr:row>72</xdr:row>
      <xdr:rowOff>184136</xdr:rowOff>
    </xdr:to>
    <xdr:sp macro="" textlink="">
      <xdr:nvSpPr>
        <xdr:cNvPr id="78" name="Rectangle 77">
          <a:extLst>
            <a:ext uri="{FF2B5EF4-FFF2-40B4-BE49-F238E27FC236}">
              <a16:creationId xmlns:a16="http://schemas.microsoft.com/office/drawing/2014/main" xmlns="" id="{00000000-0008-0000-0900-00004E000000}"/>
            </a:ext>
          </a:extLst>
        </xdr:cNvPr>
        <xdr:cNvSpPr/>
      </xdr:nvSpPr>
      <xdr:spPr>
        <a:xfrm>
          <a:off x="7705725" y="13363575"/>
          <a:ext cx="996283" cy="9747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a:t>
          </a:r>
          <a:r>
            <a:rPr lang="en-US" sz="1100" baseline="0"/>
            <a:t> BRS</a:t>
          </a:r>
          <a:endParaRPr lang="en-US" sz="900"/>
        </a:p>
      </xdr:txBody>
    </xdr:sp>
    <xdr:clientData/>
  </xdr:twoCellAnchor>
  <xdr:twoCellAnchor>
    <xdr:from>
      <xdr:col>11</xdr:col>
      <xdr:colOff>190500</xdr:colOff>
      <xdr:row>70</xdr:row>
      <xdr:rowOff>104775</xdr:rowOff>
    </xdr:from>
    <xdr:to>
      <xdr:col>12</xdr:col>
      <xdr:colOff>371475</xdr:colOff>
      <xdr:row>70</xdr:row>
      <xdr:rowOff>104775</xdr:rowOff>
    </xdr:to>
    <xdr:cxnSp macro="">
      <xdr:nvCxnSpPr>
        <xdr:cNvPr id="79" name="Straight Arrow Connector 78">
          <a:extLst>
            <a:ext uri="{FF2B5EF4-FFF2-40B4-BE49-F238E27FC236}">
              <a16:creationId xmlns:a16="http://schemas.microsoft.com/office/drawing/2014/main" xmlns="" id="{00000000-0008-0000-0900-00004F000000}"/>
            </a:ext>
          </a:extLst>
        </xdr:cNvPr>
        <xdr:cNvCxnSpPr/>
      </xdr:nvCxnSpPr>
      <xdr:spPr>
        <a:xfrm>
          <a:off x="6896100" y="13868400"/>
          <a:ext cx="7905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561975</xdr:colOff>
      <xdr:row>74</xdr:row>
      <xdr:rowOff>0</xdr:rowOff>
    </xdr:from>
    <xdr:ext cx="2009775" cy="354111"/>
    <xdr:sp macro="" textlink="">
      <xdr:nvSpPr>
        <xdr:cNvPr id="80" name="TextBox 79">
          <a:extLst>
            <a:ext uri="{FF2B5EF4-FFF2-40B4-BE49-F238E27FC236}">
              <a16:creationId xmlns:a16="http://schemas.microsoft.com/office/drawing/2014/main" xmlns="" id="{00000000-0008-0000-0900-000050000000}"/>
            </a:ext>
          </a:extLst>
        </xdr:cNvPr>
        <xdr:cNvSpPr txBox="1"/>
      </xdr:nvSpPr>
      <xdr:spPr>
        <a:xfrm>
          <a:off x="7877175" y="14563725"/>
          <a:ext cx="2009775"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 data phase</a:t>
          </a:r>
          <a:r>
            <a:rPr lang="en-US" sz="800" baseline="0"/>
            <a:t> use nominal settings </a:t>
          </a:r>
        </a:p>
        <a:p>
          <a:r>
            <a:rPr lang="en-US" sz="800"/>
            <a:t>1 - CANFD</a:t>
          </a:r>
          <a:r>
            <a:rPr lang="en-US" sz="800" baseline="0"/>
            <a:t> data phase use CANFD settings</a:t>
          </a:r>
          <a:endParaRPr lang="en-US" sz="800"/>
        </a:p>
      </xdr:txBody>
    </xdr:sp>
    <xdr:clientData/>
  </xdr:oneCellAnchor>
  <xdr:twoCellAnchor>
    <xdr:from>
      <xdr:col>14</xdr:col>
      <xdr:colOff>171450</xdr:colOff>
      <xdr:row>70</xdr:row>
      <xdr:rowOff>85725</xdr:rowOff>
    </xdr:from>
    <xdr:to>
      <xdr:col>15</xdr:col>
      <xdr:colOff>419100</xdr:colOff>
      <xdr:row>70</xdr:row>
      <xdr:rowOff>85725</xdr:rowOff>
    </xdr:to>
    <xdr:cxnSp macro="">
      <xdr:nvCxnSpPr>
        <xdr:cNvPr id="81" name="Straight Arrow Connector 80">
          <a:extLst>
            <a:ext uri="{FF2B5EF4-FFF2-40B4-BE49-F238E27FC236}">
              <a16:creationId xmlns:a16="http://schemas.microsoft.com/office/drawing/2014/main" xmlns="" id="{00000000-0008-0000-0900-000051000000}"/>
            </a:ext>
          </a:extLst>
        </xdr:cNvPr>
        <xdr:cNvCxnSpPr/>
      </xdr:nvCxnSpPr>
      <xdr:spPr>
        <a:xfrm>
          <a:off x="8705850" y="13849350"/>
          <a:ext cx="8572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419100</xdr:colOff>
      <xdr:row>67</xdr:row>
      <xdr:rowOff>171450</xdr:rowOff>
    </xdr:from>
    <xdr:to>
      <xdr:col>17</xdr:col>
      <xdr:colOff>196184</xdr:colOff>
      <xdr:row>72</xdr:row>
      <xdr:rowOff>172126</xdr:rowOff>
    </xdr:to>
    <xdr:sp macro="" textlink="">
      <xdr:nvSpPr>
        <xdr:cNvPr id="82" name="Rectangle 81">
          <a:extLst>
            <a:ext uri="{FF2B5EF4-FFF2-40B4-BE49-F238E27FC236}">
              <a16:creationId xmlns:a16="http://schemas.microsoft.com/office/drawing/2014/main" xmlns="" id="{00000000-0008-0000-0900-000052000000}"/>
            </a:ext>
          </a:extLst>
        </xdr:cNvPr>
        <xdr:cNvSpPr/>
      </xdr:nvSpPr>
      <xdr:spPr>
        <a:xfrm>
          <a:off x="9563100" y="13335000"/>
          <a:ext cx="996284" cy="9912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Sclock FD Prescaler</a:t>
          </a:r>
        </a:p>
        <a:p>
          <a:pPr algn="ctr"/>
          <a:r>
            <a:rPr lang="en-US" sz="900" baseline="0"/>
            <a:t>/(1+(0...1023))</a:t>
          </a:r>
        </a:p>
        <a:p>
          <a:pPr algn="ctr"/>
          <a:r>
            <a:rPr lang="en-US" sz="900" baseline="0"/>
            <a:t>CAN0_FDCBT[FPRESDIV]</a:t>
          </a:r>
          <a:endParaRPr lang="en-US" sz="900"/>
        </a:p>
      </xdr:txBody>
    </xdr:sp>
    <xdr:clientData/>
  </xdr:twoCellAnchor>
  <xdr:twoCellAnchor>
    <xdr:from>
      <xdr:col>17</xdr:col>
      <xdr:colOff>209550</xdr:colOff>
      <xdr:row>70</xdr:row>
      <xdr:rowOff>28575</xdr:rowOff>
    </xdr:from>
    <xdr:to>
      <xdr:col>19</xdr:col>
      <xdr:colOff>366920</xdr:colOff>
      <xdr:row>70</xdr:row>
      <xdr:rowOff>28575</xdr:rowOff>
    </xdr:to>
    <xdr:cxnSp macro="">
      <xdr:nvCxnSpPr>
        <xdr:cNvPr id="83" name="Straight Arrow Connector 82">
          <a:extLst>
            <a:ext uri="{FF2B5EF4-FFF2-40B4-BE49-F238E27FC236}">
              <a16:creationId xmlns:a16="http://schemas.microsoft.com/office/drawing/2014/main" xmlns="" id="{00000000-0008-0000-0900-000053000000}"/>
            </a:ext>
          </a:extLst>
        </xdr:cNvPr>
        <xdr:cNvCxnSpPr/>
      </xdr:nvCxnSpPr>
      <xdr:spPr>
        <a:xfrm>
          <a:off x="10572750" y="13792200"/>
          <a:ext cx="13765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247650</xdr:colOff>
      <xdr:row>67</xdr:row>
      <xdr:rowOff>104775</xdr:rowOff>
    </xdr:from>
    <xdr:ext cx="1416327" cy="319709"/>
    <xdr:sp macro="" textlink="">
      <xdr:nvSpPr>
        <xdr:cNvPr id="84" name="TextBox 83">
          <a:extLst>
            <a:ext uri="{FF2B5EF4-FFF2-40B4-BE49-F238E27FC236}">
              <a16:creationId xmlns:a16="http://schemas.microsoft.com/office/drawing/2014/main" xmlns="" id="{00000000-0008-0000-0900-000054000000}"/>
            </a:ext>
          </a:extLst>
        </xdr:cNvPr>
        <xdr:cNvSpPr txBox="1"/>
      </xdr:nvSpPr>
      <xdr:spPr>
        <a:xfrm>
          <a:off x="10610850" y="13268325"/>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Sclock_FD</a:t>
          </a:r>
        </a:p>
      </xdr:txBody>
    </xdr:sp>
    <xdr:clientData/>
  </xdr:oneCellAnchor>
  <xdr:twoCellAnchor>
    <xdr:from>
      <xdr:col>19</xdr:col>
      <xdr:colOff>400050</xdr:colOff>
      <xdr:row>68</xdr:row>
      <xdr:rowOff>9525</xdr:rowOff>
    </xdr:from>
    <xdr:to>
      <xdr:col>21</xdr:col>
      <xdr:colOff>177134</xdr:colOff>
      <xdr:row>72</xdr:row>
      <xdr:rowOff>151005</xdr:rowOff>
    </xdr:to>
    <xdr:sp macro="" textlink="">
      <xdr:nvSpPr>
        <xdr:cNvPr id="85" name="Rectangle 84">
          <a:extLst>
            <a:ext uri="{FF2B5EF4-FFF2-40B4-BE49-F238E27FC236}">
              <a16:creationId xmlns:a16="http://schemas.microsoft.com/office/drawing/2014/main" xmlns="" id="{00000000-0008-0000-0900-000055000000}"/>
            </a:ext>
          </a:extLst>
        </xdr:cNvPr>
        <xdr:cNvSpPr/>
      </xdr:nvSpPr>
      <xdr:spPr>
        <a:xfrm>
          <a:off x="11982450" y="13363575"/>
          <a:ext cx="996284" cy="9415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Jump Width</a:t>
          </a:r>
        </a:p>
        <a:p>
          <a:pPr algn="ctr"/>
          <a:r>
            <a:rPr lang="en-US" sz="900" baseline="0"/>
            <a:t>1+(0...7)</a:t>
          </a:r>
        </a:p>
        <a:p>
          <a:pPr algn="ctr"/>
          <a:r>
            <a:rPr lang="en-US" sz="900" baseline="0"/>
            <a:t>CAN0_FDCBT[FRJW]</a:t>
          </a:r>
          <a:endParaRPr lang="en-US" sz="900"/>
        </a:p>
      </xdr:txBody>
    </xdr:sp>
    <xdr:clientData/>
  </xdr:twoCellAnchor>
  <xdr:twoCellAnchor>
    <xdr:from>
      <xdr:col>21</xdr:col>
      <xdr:colOff>190500</xdr:colOff>
      <xdr:row>70</xdr:row>
      <xdr:rowOff>38100</xdr:rowOff>
    </xdr:from>
    <xdr:to>
      <xdr:col>25</xdr:col>
      <xdr:colOff>364339</xdr:colOff>
      <xdr:row>70</xdr:row>
      <xdr:rowOff>38100</xdr:rowOff>
    </xdr:to>
    <xdr:cxnSp macro="">
      <xdr:nvCxnSpPr>
        <xdr:cNvPr id="86" name="Straight Arrow Connector 85">
          <a:extLst>
            <a:ext uri="{FF2B5EF4-FFF2-40B4-BE49-F238E27FC236}">
              <a16:creationId xmlns:a16="http://schemas.microsoft.com/office/drawing/2014/main" xmlns="" id="{00000000-0008-0000-0900-000056000000}"/>
            </a:ext>
          </a:extLst>
        </xdr:cNvPr>
        <xdr:cNvCxnSpPr/>
      </xdr:nvCxnSpPr>
      <xdr:spPr>
        <a:xfrm>
          <a:off x="12992100" y="13801725"/>
          <a:ext cx="26122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409575</xdr:colOff>
      <xdr:row>68</xdr:row>
      <xdr:rowOff>28575</xdr:rowOff>
    </xdr:from>
    <xdr:to>
      <xdr:col>27</xdr:col>
      <xdr:colOff>186658</xdr:colOff>
      <xdr:row>72</xdr:row>
      <xdr:rowOff>170055</xdr:rowOff>
    </xdr:to>
    <xdr:sp macro="" textlink="">
      <xdr:nvSpPr>
        <xdr:cNvPr id="87" name="Rectangle 86">
          <a:extLst>
            <a:ext uri="{FF2B5EF4-FFF2-40B4-BE49-F238E27FC236}">
              <a16:creationId xmlns:a16="http://schemas.microsoft.com/office/drawing/2014/main" xmlns="" id="{00000000-0008-0000-0900-000057000000}"/>
            </a:ext>
          </a:extLst>
        </xdr:cNvPr>
        <xdr:cNvSpPr/>
      </xdr:nvSpPr>
      <xdr:spPr>
        <a:xfrm>
          <a:off x="15649575" y="13382625"/>
          <a:ext cx="996283" cy="9415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Prop. Seg.</a:t>
          </a:r>
        </a:p>
        <a:p>
          <a:pPr algn="ctr"/>
          <a:r>
            <a:rPr lang="en-US" sz="900" baseline="0"/>
            <a:t>0...31</a:t>
          </a:r>
        </a:p>
        <a:p>
          <a:pPr algn="ctr"/>
          <a:r>
            <a:rPr lang="en-US" sz="900" baseline="0"/>
            <a:t>CAN0_FDCBT[FPROPSEG]</a:t>
          </a:r>
          <a:endParaRPr lang="en-US" sz="900"/>
        </a:p>
      </xdr:txBody>
    </xdr:sp>
    <xdr:clientData/>
  </xdr:twoCellAnchor>
  <xdr:twoCellAnchor>
    <xdr:from>
      <xdr:col>27</xdr:col>
      <xdr:colOff>190500</xdr:colOff>
      <xdr:row>70</xdr:row>
      <xdr:rowOff>47625</xdr:rowOff>
    </xdr:from>
    <xdr:to>
      <xdr:col>31</xdr:col>
      <xdr:colOff>476250</xdr:colOff>
      <xdr:row>70</xdr:row>
      <xdr:rowOff>47625</xdr:rowOff>
    </xdr:to>
    <xdr:cxnSp macro="">
      <xdr:nvCxnSpPr>
        <xdr:cNvPr id="88" name="Straight Arrow Connector 87">
          <a:extLst>
            <a:ext uri="{FF2B5EF4-FFF2-40B4-BE49-F238E27FC236}">
              <a16:creationId xmlns:a16="http://schemas.microsoft.com/office/drawing/2014/main" xmlns="" id="{00000000-0008-0000-0900-000058000000}"/>
            </a:ext>
          </a:extLst>
        </xdr:cNvPr>
        <xdr:cNvCxnSpPr/>
      </xdr:nvCxnSpPr>
      <xdr:spPr>
        <a:xfrm>
          <a:off x="16649700" y="13811250"/>
          <a:ext cx="27241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361950</xdr:colOff>
      <xdr:row>70</xdr:row>
      <xdr:rowOff>28575</xdr:rowOff>
    </xdr:from>
    <xdr:to>
      <xdr:col>23</xdr:col>
      <xdr:colOff>361950</xdr:colOff>
      <xdr:row>85</xdr:row>
      <xdr:rowOff>102290</xdr:rowOff>
    </xdr:to>
    <xdr:cxnSp macro="">
      <xdr:nvCxnSpPr>
        <xdr:cNvPr id="89" name="Straight Arrow Connector 88">
          <a:extLst>
            <a:ext uri="{FF2B5EF4-FFF2-40B4-BE49-F238E27FC236}">
              <a16:creationId xmlns:a16="http://schemas.microsoft.com/office/drawing/2014/main" xmlns="" id="{00000000-0008-0000-0900-000059000000}"/>
            </a:ext>
          </a:extLst>
        </xdr:cNvPr>
        <xdr:cNvCxnSpPr/>
      </xdr:nvCxnSpPr>
      <xdr:spPr>
        <a:xfrm flipV="1">
          <a:off x="14382750" y="13792200"/>
          <a:ext cx="0" cy="297884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409578</xdr:colOff>
      <xdr:row>76</xdr:row>
      <xdr:rowOff>5958</xdr:rowOff>
    </xdr:from>
    <xdr:to>
      <xdr:col>27</xdr:col>
      <xdr:colOff>186661</xdr:colOff>
      <xdr:row>80</xdr:row>
      <xdr:rowOff>161519</xdr:rowOff>
    </xdr:to>
    <xdr:sp macro="" textlink="">
      <xdr:nvSpPr>
        <xdr:cNvPr id="90" name="Rectangle 89">
          <a:extLst>
            <a:ext uri="{FF2B5EF4-FFF2-40B4-BE49-F238E27FC236}">
              <a16:creationId xmlns:a16="http://schemas.microsoft.com/office/drawing/2014/main" xmlns="" id="{00000000-0008-0000-0900-00005A000000}"/>
            </a:ext>
          </a:extLst>
        </xdr:cNvPr>
        <xdr:cNvSpPr/>
      </xdr:nvSpPr>
      <xdr:spPr>
        <a:xfrm>
          <a:off x="15649578" y="14960208"/>
          <a:ext cx="996283"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Phase Seg. 1</a:t>
          </a:r>
        </a:p>
        <a:p>
          <a:pPr algn="ctr"/>
          <a:r>
            <a:rPr lang="en-US" sz="900" baseline="0"/>
            <a:t>1+(0...7)</a:t>
          </a:r>
        </a:p>
        <a:p>
          <a:pPr algn="ctr"/>
          <a:r>
            <a:rPr lang="en-US" sz="900" baseline="0"/>
            <a:t>CAN0_CBT[FPSEG1]</a:t>
          </a:r>
          <a:endParaRPr lang="en-US" sz="900"/>
        </a:p>
      </xdr:txBody>
    </xdr:sp>
    <xdr:clientData/>
  </xdr:twoCellAnchor>
  <xdr:twoCellAnchor>
    <xdr:from>
      <xdr:col>23</xdr:col>
      <xdr:colOff>361726</xdr:colOff>
      <xdr:row>78</xdr:row>
      <xdr:rowOff>91683</xdr:rowOff>
    </xdr:from>
    <xdr:to>
      <xdr:col>25</xdr:col>
      <xdr:colOff>400050</xdr:colOff>
      <xdr:row>78</xdr:row>
      <xdr:rowOff>91683</xdr:rowOff>
    </xdr:to>
    <xdr:cxnSp macro="">
      <xdr:nvCxnSpPr>
        <xdr:cNvPr id="91" name="Straight Arrow Connector 90">
          <a:extLst>
            <a:ext uri="{FF2B5EF4-FFF2-40B4-BE49-F238E27FC236}">
              <a16:creationId xmlns:a16="http://schemas.microsoft.com/office/drawing/2014/main" xmlns="" id="{00000000-0008-0000-0900-00005B000000}"/>
            </a:ext>
          </a:extLst>
        </xdr:cNvPr>
        <xdr:cNvCxnSpPr/>
      </xdr:nvCxnSpPr>
      <xdr:spPr>
        <a:xfrm>
          <a:off x="14382526" y="15426933"/>
          <a:ext cx="12575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209553</xdr:colOff>
      <xdr:row>78</xdr:row>
      <xdr:rowOff>82158</xdr:rowOff>
    </xdr:from>
    <xdr:to>
      <xdr:col>31</xdr:col>
      <xdr:colOff>485775</xdr:colOff>
      <xdr:row>78</xdr:row>
      <xdr:rowOff>82158</xdr:rowOff>
    </xdr:to>
    <xdr:cxnSp macro="">
      <xdr:nvCxnSpPr>
        <xdr:cNvPr id="93" name="Straight Arrow Connector 92">
          <a:extLst>
            <a:ext uri="{FF2B5EF4-FFF2-40B4-BE49-F238E27FC236}">
              <a16:creationId xmlns:a16="http://schemas.microsoft.com/office/drawing/2014/main" xmlns="" id="{00000000-0008-0000-0900-00005D000000}"/>
            </a:ext>
          </a:extLst>
        </xdr:cNvPr>
        <xdr:cNvCxnSpPr/>
      </xdr:nvCxnSpPr>
      <xdr:spPr>
        <a:xfrm>
          <a:off x="16668753" y="15417408"/>
          <a:ext cx="27146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419100</xdr:colOff>
      <xdr:row>83</xdr:row>
      <xdr:rowOff>0</xdr:rowOff>
    </xdr:from>
    <xdr:to>
      <xdr:col>27</xdr:col>
      <xdr:colOff>196183</xdr:colOff>
      <xdr:row>87</xdr:row>
      <xdr:rowOff>163843</xdr:rowOff>
    </xdr:to>
    <xdr:sp macro="" textlink="">
      <xdr:nvSpPr>
        <xdr:cNvPr id="95" name="Rectangle 94">
          <a:extLst>
            <a:ext uri="{FF2B5EF4-FFF2-40B4-BE49-F238E27FC236}">
              <a16:creationId xmlns:a16="http://schemas.microsoft.com/office/drawing/2014/main" xmlns="" id="{00000000-0008-0000-0900-00005F000000}"/>
            </a:ext>
          </a:extLst>
        </xdr:cNvPr>
        <xdr:cNvSpPr/>
      </xdr:nvSpPr>
      <xdr:spPr>
        <a:xfrm>
          <a:off x="15659100" y="16325850"/>
          <a:ext cx="996283" cy="9258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Phase Seg. 2 </a:t>
          </a:r>
        </a:p>
        <a:p>
          <a:pPr algn="ctr"/>
          <a:r>
            <a:rPr lang="en-US" sz="900" baseline="0"/>
            <a:t>1+(0...7)</a:t>
          </a:r>
        </a:p>
        <a:p>
          <a:pPr algn="ctr"/>
          <a:r>
            <a:rPr lang="en-US" sz="900" baseline="0"/>
            <a:t>CAN0_CBT[FPSEG2]</a:t>
          </a:r>
          <a:endParaRPr lang="en-US" sz="900"/>
        </a:p>
      </xdr:txBody>
    </xdr:sp>
    <xdr:clientData/>
  </xdr:twoCellAnchor>
  <xdr:twoCellAnchor>
    <xdr:from>
      <xdr:col>23</xdr:col>
      <xdr:colOff>361953</xdr:colOff>
      <xdr:row>85</xdr:row>
      <xdr:rowOff>101208</xdr:rowOff>
    </xdr:from>
    <xdr:to>
      <xdr:col>25</xdr:col>
      <xdr:colOff>400050</xdr:colOff>
      <xdr:row>85</xdr:row>
      <xdr:rowOff>101208</xdr:rowOff>
    </xdr:to>
    <xdr:cxnSp macro="">
      <xdr:nvCxnSpPr>
        <xdr:cNvPr id="96" name="Straight Arrow Connector 95">
          <a:extLst>
            <a:ext uri="{FF2B5EF4-FFF2-40B4-BE49-F238E27FC236}">
              <a16:creationId xmlns:a16="http://schemas.microsoft.com/office/drawing/2014/main" xmlns="" id="{00000000-0008-0000-0900-000060000000}"/>
            </a:ext>
          </a:extLst>
        </xdr:cNvPr>
        <xdr:cNvCxnSpPr/>
      </xdr:nvCxnSpPr>
      <xdr:spPr>
        <a:xfrm>
          <a:off x="14382753" y="16808058"/>
          <a:ext cx="125729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209553</xdr:colOff>
      <xdr:row>85</xdr:row>
      <xdr:rowOff>82158</xdr:rowOff>
    </xdr:from>
    <xdr:to>
      <xdr:col>31</xdr:col>
      <xdr:colOff>485775</xdr:colOff>
      <xdr:row>85</xdr:row>
      <xdr:rowOff>82158</xdr:rowOff>
    </xdr:to>
    <xdr:cxnSp macro="">
      <xdr:nvCxnSpPr>
        <xdr:cNvPr id="98" name="Straight Arrow Connector 97">
          <a:extLst>
            <a:ext uri="{FF2B5EF4-FFF2-40B4-BE49-F238E27FC236}">
              <a16:creationId xmlns:a16="http://schemas.microsoft.com/office/drawing/2014/main" xmlns="" id="{00000000-0008-0000-0900-000062000000}"/>
            </a:ext>
          </a:extLst>
        </xdr:cNvPr>
        <xdr:cNvCxnSpPr/>
      </xdr:nvCxnSpPr>
      <xdr:spPr>
        <a:xfrm>
          <a:off x="16668753" y="16789008"/>
          <a:ext cx="27146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429193</xdr:colOff>
      <xdr:row>5</xdr:row>
      <xdr:rowOff>104218</xdr:rowOff>
    </xdr:from>
    <xdr:ext cx="3496234" cy="953058"/>
    <xdr:sp macro="" textlink="">
      <xdr:nvSpPr>
        <xdr:cNvPr id="100" name="TextBox 99">
          <a:extLst>
            <a:ext uri="{FF2B5EF4-FFF2-40B4-BE49-F238E27FC236}">
              <a16:creationId xmlns:a16="http://schemas.microsoft.com/office/drawing/2014/main" xmlns="" id="{00000000-0008-0000-0900-000064000000}"/>
            </a:ext>
          </a:extLst>
        </xdr:cNvPr>
        <xdr:cNvSpPr txBox="1"/>
      </xdr:nvSpPr>
      <xdr:spPr>
        <a:xfrm>
          <a:off x="21765193" y="1056718"/>
          <a:ext cx="3496234" cy="953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CAN0 Arbitration</a:t>
          </a:r>
          <a:r>
            <a:rPr lang="en-US" sz="1800" b="1" baseline="0"/>
            <a:t> Phase</a:t>
          </a:r>
          <a:r>
            <a:rPr lang="en-US" sz="1800" b="1"/>
            <a:t> Bit Time Segments (in ns)</a:t>
          </a:r>
        </a:p>
      </xdr:txBody>
    </xdr:sp>
    <xdr:clientData/>
  </xdr:oneCellAnchor>
  <xdr:oneCellAnchor>
    <xdr:from>
      <xdr:col>38</xdr:col>
      <xdr:colOff>582708</xdr:colOff>
      <xdr:row>12</xdr:row>
      <xdr:rowOff>22413</xdr:rowOff>
    </xdr:from>
    <xdr:ext cx="419101" cy="1221442"/>
    <xdr:sp macro="" textlink="">
      <xdr:nvSpPr>
        <xdr:cNvPr id="101" name="TextBox 100">
          <a:extLst>
            <a:ext uri="{FF2B5EF4-FFF2-40B4-BE49-F238E27FC236}">
              <a16:creationId xmlns:a16="http://schemas.microsoft.com/office/drawing/2014/main" xmlns="" id="{00000000-0008-0000-0900-000065000000}"/>
            </a:ext>
          </a:extLst>
        </xdr:cNvPr>
        <xdr:cNvSpPr txBox="1"/>
      </xdr:nvSpPr>
      <xdr:spPr>
        <a:xfrm rot="5400000">
          <a:off x="23176009" y="2754407"/>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39</xdr:col>
      <xdr:colOff>22415</xdr:colOff>
      <xdr:row>28</xdr:row>
      <xdr:rowOff>78441</xdr:rowOff>
    </xdr:from>
    <xdr:ext cx="419101" cy="2353237"/>
    <xdr:sp macro="" textlink="">
      <xdr:nvSpPr>
        <xdr:cNvPr id="102" name="TextBox 101">
          <a:extLst>
            <a:ext uri="{FF2B5EF4-FFF2-40B4-BE49-F238E27FC236}">
              <a16:creationId xmlns:a16="http://schemas.microsoft.com/office/drawing/2014/main" xmlns="" id="{00000000-0008-0000-0900-000066000000}"/>
            </a:ext>
          </a:extLst>
        </xdr:cNvPr>
        <xdr:cNvSpPr txBox="1"/>
      </xdr:nvSpPr>
      <xdr:spPr>
        <a:xfrm rot="5400000">
          <a:off x="22654935" y="6592421"/>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39</xdr:col>
      <xdr:colOff>78441</xdr:colOff>
      <xdr:row>52</xdr:row>
      <xdr:rowOff>112059</xdr:rowOff>
    </xdr:from>
    <xdr:ext cx="419101" cy="2353237"/>
    <xdr:sp macro="" textlink="">
      <xdr:nvSpPr>
        <xdr:cNvPr id="103" name="TextBox 102">
          <a:extLst>
            <a:ext uri="{FF2B5EF4-FFF2-40B4-BE49-F238E27FC236}">
              <a16:creationId xmlns:a16="http://schemas.microsoft.com/office/drawing/2014/main" xmlns="" id="{00000000-0008-0000-0900-000067000000}"/>
            </a:ext>
          </a:extLst>
        </xdr:cNvPr>
        <xdr:cNvSpPr txBox="1"/>
      </xdr:nvSpPr>
      <xdr:spPr>
        <a:xfrm rot="5400000">
          <a:off x="22710961" y="11399745"/>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twoCellAnchor>
    <xdr:from>
      <xdr:col>36</xdr:col>
      <xdr:colOff>509068</xdr:colOff>
      <xdr:row>20</xdr:row>
      <xdr:rowOff>11207</xdr:rowOff>
    </xdr:from>
    <xdr:to>
      <xdr:col>37</xdr:col>
      <xdr:colOff>529878</xdr:colOff>
      <xdr:row>68</xdr:row>
      <xdr:rowOff>132870</xdr:rowOff>
    </xdr:to>
    <xdr:sp macro="" textlink="">
      <xdr:nvSpPr>
        <xdr:cNvPr id="104" name="Left Brace 103">
          <a:extLst>
            <a:ext uri="{FF2B5EF4-FFF2-40B4-BE49-F238E27FC236}">
              <a16:creationId xmlns:a16="http://schemas.microsoft.com/office/drawing/2014/main" xmlns="" id="{00000000-0008-0000-0900-000068000000}"/>
            </a:ext>
          </a:extLst>
        </xdr:cNvPr>
        <xdr:cNvSpPr/>
      </xdr:nvSpPr>
      <xdr:spPr>
        <a:xfrm>
          <a:off x="22293303" y="3978089"/>
          <a:ext cx="625928" cy="9579428"/>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515470</xdr:colOff>
      <xdr:row>36</xdr:row>
      <xdr:rowOff>64833</xdr:rowOff>
    </xdr:from>
    <xdr:ext cx="595995" cy="3006379"/>
    <xdr:sp macro="" textlink="">
      <xdr:nvSpPr>
        <xdr:cNvPr id="105" name="TextBox 104">
          <a:extLst>
            <a:ext uri="{FF2B5EF4-FFF2-40B4-BE49-F238E27FC236}">
              <a16:creationId xmlns:a16="http://schemas.microsoft.com/office/drawing/2014/main" xmlns="" id="{00000000-0008-0000-0900-000069000000}"/>
            </a:ext>
          </a:extLst>
        </xdr:cNvPr>
        <xdr:cNvSpPr txBox="1"/>
      </xdr:nvSpPr>
      <xdr:spPr>
        <a:xfrm rot="16200000">
          <a:off x="20489396" y="8408172"/>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oneCellAnchor>
    <xdr:from>
      <xdr:col>39</xdr:col>
      <xdr:colOff>44824</xdr:colOff>
      <xdr:row>72</xdr:row>
      <xdr:rowOff>100853</xdr:rowOff>
    </xdr:from>
    <xdr:ext cx="419101" cy="2353237"/>
    <xdr:sp macro="" textlink="">
      <xdr:nvSpPr>
        <xdr:cNvPr id="106" name="TextBox 105">
          <a:extLst>
            <a:ext uri="{FF2B5EF4-FFF2-40B4-BE49-F238E27FC236}">
              <a16:creationId xmlns:a16="http://schemas.microsoft.com/office/drawing/2014/main" xmlns="" id="{00000000-0008-0000-0900-00006A000000}"/>
            </a:ext>
          </a:extLst>
        </xdr:cNvPr>
        <xdr:cNvSpPr txBox="1"/>
      </xdr:nvSpPr>
      <xdr:spPr>
        <a:xfrm rot="5400000">
          <a:off x="22677344" y="15299392"/>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36</xdr:col>
      <xdr:colOff>579560</xdr:colOff>
      <xdr:row>69</xdr:row>
      <xdr:rowOff>22412</xdr:rowOff>
    </xdr:from>
    <xdr:to>
      <xdr:col>37</xdr:col>
      <xdr:colOff>531397</xdr:colOff>
      <xdr:row>87</xdr:row>
      <xdr:rowOff>156882</xdr:rowOff>
    </xdr:to>
    <xdr:sp macro="" textlink="">
      <xdr:nvSpPr>
        <xdr:cNvPr id="107" name="Left Brace 106">
          <a:extLst>
            <a:ext uri="{FF2B5EF4-FFF2-40B4-BE49-F238E27FC236}">
              <a16:creationId xmlns:a16="http://schemas.microsoft.com/office/drawing/2014/main" xmlns="" id="{00000000-0008-0000-0900-00006B000000}"/>
            </a:ext>
          </a:extLst>
        </xdr:cNvPr>
        <xdr:cNvSpPr/>
      </xdr:nvSpPr>
      <xdr:spPr>
        <a:xfrm>
          <a:off x="22363795" y="13648765"/>
          <a:ext cx="556955" cy="3686735"/>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493059</xdr:colOff>
      <xdr:row>69</xdr:row>
      <xdr:rowOff>212911</xdr:rowOff>
    </xdr:from>
    <xdr:ext cx="595995" cy="3006379"/>
    <xdr:sp macro="" textlink="">
      <xdr:nvSpPr>
        <xdr:cNvPr id="108" name="TextBox 107">
          <a:extLst>
            <a:ext uri="{FF2B5EF4-FFF2-40B4-BE49-F238E27FC236}">
              <a16:creationId xmlns:a16="http://schemas.microsoft.com/office/drawing/2014/main" xmlns="" id="{00000000-0008-0000-0900-00006C000000}"/>
            </a:ext>
          </a:extLst>
        </xdr:cNvPr>
        <xdr:cNvSpPr txBox="1"/>
      </xdr:nvSpPr>
      <xdr:spPr>
        <a:xfrm rot="16200000">
          <a:off x="20466985" y="15044456"/>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oneCellAnchor>
    <xdr:from>
      <xdr:col>0</xdr:col>
      <xdr:colOff>549088</xdr:colOff>
      <xdr:row>101</xdr:row>
      <xdr:rowOff>22411</xdr:rowOff>
    </xdr:from>
    <xdr:ext cx="1933575" cy="428625"/>
    <xdr:sp macro="" textlink="">
      <xdr:nvSpPr>
        <xdr:cNvPr id="109" name="TextBox 108">
          <a:extLst>
            <a:ext uri="{FF2B5EF4-FFF2-40B4-BE49-F238E27FC236}">
              <a16:creationId xmlns:a16="http://schemas.microsoft.com/office/drawing/2014/main" xmlns="" id="{00000000-0008-0000-0900-00006D000000}"/>
            </a:ext>
          </a:extLst>
        </xdr:cNvPr>
        <xdr:cNvSpPr txBox="1"/>
      </xdr:nvSpPr>
      <xdr:spPr>
        <a:xfrm>
          <a:off x="549088" y="19912852"/>
          <a:ext cx="1933575" cy="42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FlexCAN1</a:t>
          </a:r>
        </a:p>
      </xdr:txBody>
    </xdr:sp>
    <xdr:clientData/>
  </xdr:oneCellAnchor>
  <xdr:oneCellAnchor>
    <xdr:from>
      <xdr:col>1</xdr:col>
      <xdr:colOff>59391</xdr:colOff>
      <xdr:row>104</xdr:row>
      <xdr:rowOff>179294</xdr:rowOff>
    </xdr:from>
    <xdr:ext cx="1195551" cy="266700"/>
    <xdr:sp macro="" textlink="">
      <xdr:nvSpPr>
        <xdr:cNvPr id="110" name="TextBox 109">
          <a:hlinkClick xmlns:r="http://schemas.openxmlformats.org/officeDocument/2006/relationships" r:id="rId4"/>
          <a:extLst>
            <a:ext uri="{FF2B5EF4-FFF2-40B4-BE49-F238E27FC236}">
              <a16:creationId xmlns:a16="http://schemas.microsoft.com/office/drawing/2014/main" xmlns="" id="{00000000-0008-0000-0900-00006E000000}"/>
            </a:ext>
          </a:extLst>
        </xdr:cNvPr>
        <xdr:cNvSpPr txBox="1"/>
      </xdr:nvSpPr>
      <xdr:spPr>
        <a:xfrm>
          <a:off x="668991" y="20543744"/>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CAN1 BIU Clock</a:t>
          </a:r>
        </a:p>
      </xdr:txBody>
    </xdr:sp>
    <xdr:clientData/>
  </xdr:oneCellAnchor>
  <xdr:oneCellAnchor>
    <xdr:from>
      <xdr:col>1</xdr:col>
      <xdr:colOff>59391</xdr:colOff>
      <xdr:row>108</xdr:row>
      <xdr:rowOff>173341</xdr:rowOff>
    </xdr:from>
    <xdr:ext cx="1195551" cy="266700"/>
    <xdr:sp macro="" textlink="">
      <xdr:nvSpPr>
        <xdr:cNvPr id="111" name="TextBox 110">
          <a:hlinkClick xmlns:r="http://schemas.openxmlformats.org/officeDocument/2006/relationships" r:id="rId2"/>
          <a:extLst>
            <a:ext uri="{FF2B5EF4-FFF2-40B4-BE49-F238E27FC236}">
              <a16:creationId xmlns:a16="http://schemas.microsoft.com/office/drawing/2014/main" xmlns="" id="{00000000-0008-0000-0900-00006F000000}"/>
            </a:ext>
          </a:extLst>
        </xdr:cNvPr>
        <xdr:cNvSpPr txBox="1"/>
      </xdr:nvSpPr>
      <xdr:spPr>
        <a:xfrm>
          <a:off x="668991" y="21337891"/>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CAN1 CHI Clock</a:t>
          </a:r>
        </a:p>
      </xdr:txBody>
    </xdr:sp>
    <xdr:clientData/>
  </xdr:oneCellAnchor>
  <xdr:oneCellAnchor>
    <xdr:from>
      <xdr:col>1</xdr:col>
      <xdr:colOff>70107</xdr:colOff>
      <xdr:row>112</xdr:row>
      <xdr:rowOff>184333</xdr:rowOff>
    </xdr:from>
    <xdr:ext cx="1195551" cy="266700"/>
    <xdr:sp macro="" textlink="">
      <xdr:nvSpPr>
        <xdr:cNvPr id="112" name="TextBox 111">
          <a:hlinkClick xmlns:r="http://schemas.openxmlformats.org/officeDocument/2006/relationships" r:id="rId5"/>
          <a:extLst>
            <a:ext uri="{FF2B5EF4-FFF2-40B4-BE49-F238E27FC236}">
              <a16:creationId xmlns:a16="http://schemas.microsoft.com/office/drawing/2014/main" xmlns="" id="{00000000-0008-0000-0900-000070000000}"/>
            </a:ext>
          </a:extLst>
        </xdr:cNvPr>
        <xdr:cNvSpPr txBox="1"/>
      </xdr:nvSpPr>
      <xdr:spPr>
        <a:xfrm>
          <a:off x="679707" y="22148983"/>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CAN1 PE Clock</a:t>
          </a:r>
        </a:p>
      </xdr:txBody>
    </xdr:sp>
    <xdr:clientData/>
  </xdr:oneCellAnchor>
  <xdr:twoCellAnchor>
    <xdr:from>
      <xdr:col>31</xdr:col>
      <xdr:colOff>489857</xdr:colOff>
      <xdr:row>104</xdr:row>
      <xdr:rowOff>176892</xdr:rowOff>
    </xdr:from>
    <xdr:to>
      <xdr:col>34</xdr:col>
      <xdr:colOff>329591</xdr:colOff>
      <xdr:row>184</xdr:row>
      <xdr:rowOff>169573</xdr:rowOff>
    </xdr:to>
    <xdr:grpSp>
      <xdr:nvGrpSpPr>
        <xdr:cNvPr id="113" name="Group 112">
          <a:extLst>
            <a:ext uri="{FF2B5EF4-FFF2-40B4-BE49-F238E27FC236}">
              <a16:creationId xmlns:a16="http://schemas.microsoft.com/office/drawing/2014/main" xmlns="" id="{00000000-0008-0000-0900-000071000000}"/>
            </a:ext>
          </a:extLst>
        </xdr:cNvPr>
        <xdr:cNvGrpSpPr/>
      </xdr:nvGrpSpPr>
      <xdr:grpSpPr>
        <a:xfrm>
          <a:off x="19387457" y="20541342"/>
          <a:ext cx="1668534" cy="15737506"/>
          <a:chOff x="19335751" y="1881204"/>
          <a:chExt cx="1668534" cy="14870553"/>
        </a:xfrm>
      </xdr:grpSpPr>
      <xdr:grpSp>
        <xdr:nvGrpSpPr>
          <xdr:cNvPr id="114" name="Group 113">
            <a:extLst>
              <a:ext uri="{FF2B5EF4-FFF2-40B4-BE49-F238E27FC236}">
                <a16:creationId xmlns:a16="http://schemas.microsoft.com/office/drawing/2014/main" xmlns="" id="{00000000-0008-0000-0900-000072000000}"/>
              </a:ext>
            </a:extLst>
          </xdr:cNvPr>
          <xdr:cNvGrpSpPr/>
        </xdr:nvGrpSpPr>
        <xdr:grpSpPr>
          <a:xfrm>
            <a:off x="19335751" y="1881204"/>
            <a:ext cx="1668534" cy="14870553"/>
            <a:chOff x="19469104" y="1894174"/>
            <a:chExt cx="1681681" cy="14775522"/>
          </a:xfrm>
        </xdr:grpSpPr>
        <xdr:grpSp>
          <xdr:nvGrpSpPr>
            <xdr:cNvPr id="116" name="Group 115">
              <a:extLst>
                <a:ext uri="{FF2B5EF4-FFF2-40B4-BE49-F238E27FC236}">
                  <a16:creationId xmlns:a16="http://schemas.microsoft.com/office/drawing/2014/main" xmlns="" id="{00000000-0008-0000-0900-000074000000}"/>
                </a:ext>
              </a:extLst>
            </xdr:cNvPr>
            <xdr:cNvGrpSpPr/>
          </xdr:nvGrpSpPr>
          <xdr:grpSpPr>
            <a:xfrm>
              <a:off x="19469104" y="1894174"/>
              <a:ext cx="1674861" cy="14775522"/>
              <a:chOff x="14411327" y="1884977"/>
              <a:chExt cx="1684577" cy="14571391"/>
            </a:xfrm>
          </xdr:grpSpPr>
          <xdr:grpSp>
            <xdr:nvGrpSpPr>
              <xdr:cNvPr id="119" name="Group 118">
                <a:extLst>
                  <a:ext uri="{FF2B5EF4-FFF2-40B4-BE49-F238E27FC236}">
                    <a16:creationId xmlns:a16="http://schemas.microsoft.com/office/drawing/2014/main" xmlns="" id="{00000000-0008-0000-0900-000077000000}"/>
                  </a:ext>
                </a:extLst>
              </xdr:cNvPr>
              <xdr:cNvGrpSpPr/>
            </xdr:nvGrpSpPr>
            <xdr:grpSpPr>
              <a:xfrm>
                <a:off x="14411327" y="1884977"/>
                <a:ext cx="1684577" cy="14571391"/>
                <a:chOff x="7880982" y="1559023"/>
                <a:chExt cx="1671698" cy="14221330"/>
              </a:xfrm>
            </xdr:grpSpPr>
            <xdr:grpSp>
              <xdr:nvGrpSpPr>
                <xdr:cNvPr id="121" name="Group 120">
                  <a:extLst>
                    <a:ext uri="{FF2B5EF4-FFF2-40B4-BE49-F238E27FC236}">
                      <a16:creationId xmlns:a16="http://schemas.microsoft.com/office/drawing/2014/main" xmlns="" id="{00000000-0008-0000-0900-000079000000}"/>
                    </a:ext>
                  </a:extLst>
                </xdr:cNvPr>
                <xdr:cNvGrpSpPr/>
              </xdr:nvGrpSpPr>
              <xdr:grpSpPr>
                <a:xfrm>
                  <a:off x="7883377" y="1559023"/>
                  <a:ext cx="1669303" cy="14221330"/>
                  <a:chOff x="7883377" y="1559023"/>
                  <a:chExt cx="1669303" cy="14221330"/>
                </a:xfrm>
              </xdr:grpSpPr>
              <xdr:grpSp>
                <xdr:nvGrpSpPr>
                  <xdr:cNvPr id="123" name="Group 122">
                    <a:extLst>
                      <a:ext uri="{FF2B5EF4-FFF2-40B4-BE49-F238E27FC236}">
                        <a16:creationId xmlns:a16="http://schemas.microsoft.com/office/drawing/2014/main" xmlns="" id="{00000000-0008-0000-0900-00007B000000}"/>
                      </a:ext>
                    </a:extLst>
                  </xdr:cNvPr>
                  <xdr:cNvGrpSpPr/>
                </xdr:nvGrpSpPr>
                <xdr:grpSpPr>
                  <a:xfrm>
                    <a:off x="7883377" y="1559023"/>
                    <a:ext cx="1669303" cy="14221330"/>
                    <a:chOff x="7916737" y="1550078"/>
                    <a:chExt cx="1677604" cy="14021043"/>
                  </a:xfrm>
                </xdr:grpSpPr>
                <xdr:grpSp>
                  <xdr:nvGrpSpPr>
                    <xdr:cNvPr id="125" name="Group 124">
                      <a:extLst>
                        <a:ext uri="{FF2B5EF4-FFF2-40B4-BE49-F238E27FC236}">
                          <a16:creationId xmlns:a16="http://schemas.microsoft.com/office/drawing/2014/main" xmlns="" id="{00000000-0008-0000-0900-00007D000000}"/>
                        </a:ext>
                      </a:extLst>
                    </xdr:cNvPr>
                    <xdr:cNvGrpSpPr/>
                  </xdr:nvGrpSpPr>
                  <xdr:grpSpPr>
                    <a:xfrm>
                      <a:off x="7921690" y="1550078"/>
                      <a:ext cx="1628568" cy="14021043"/>
                      <a:chOff x="7921690" y="1546782"/>
                      <a:chExt cx="1628568" cy="13947279"/>
                    </a:xfrm>
                  </xdr:grpSpPr>
                  <xdr:grpSp>
                    <xdr:nvGrpSpPr>
                      <xdr:cNvPr id="127" name="Group 126">
                        <a:extLst>
                          <a:ext uri="{FF2B5EF4-FFF2-40B4-BE49-F238E27FC236}">
                            <a16:creationId xmlns:a16="http://schemas.microsoft.com/office/drawing/2014/main" xmlns="" id="{00000000-0008-0000-0900-00007F000000}"/>
                          </a:ext>
                        </a:extLst>
                      </xdr:cNvPr>
                      <xdr:cNvGrpSpPr/>
                    </xdr:nvGrpSpPr>
                    <xdr:grpSpPr>
                      <a:xfrm>
                        <a:off x="7931762" y="1546782"/>
                        <a:ext cx="1618496" cy="13947279"/>
                        <a:chOff x="7931762" y="1542828"/>
                        <a:chExt cx="1618496" cy="13858770"/>
                      </a:xfrm>
                    </xdr:grpSpPr>
                    <xdr:grpSp>
                      <xdr:nvGrpSpPr>
                        <xdr:cNvPr id="130" name="Group 129">
                          <a:extLst>
                            <a:ext uri="{FF2B5EF4-FFF2-40B4-BE49-F238E27FC236}">
                              <a16:creationId xmlns:a16="http://schemas.microsoft.com/office/drawing/2014/main" xmlns="" id="{00000000-0008-0000-0900-000082000000}"/>
                            </a:ext>
                          </a:extLst>
                        </xdr:cNvPr>
                        <xdr:cNvGrpSpPr/>
                      </xdr:nvGrpSpPr>
                      <xdr:grpSpPr>
                        <a:xfrm>
                          <a:off x="7944548" y="1542828"/>
                          <a:ext cx="1605710" cy="13858770"/>
                          <a:chOff x="7737005" y="1498140"/>
                          <a:chExt cx="1602452" cy="13711250"/>
                        </a:xfrm>
                      </xdr:grpSpPr>
                      <xdr:sp macro="" textlink="">
                        <xdr:nvSpPr>
                          <xdr:cNvPr id="132" name="Rectangle 131">
                            <a:extLst>
                              <a:ext uri="{FF2B5EF4-FFF2-40B4-BE49-F238E27FC236}">
                                <a16:creationId xmlns:a16="http://schemas.microsoft.com/office/drawing/2014/main" xmlns="" id="{00000000-0008-0000-0900-000084000000}"/>
                              </a:ext>
                            </a:extLst>
                          </xdr:cNvPr>
                          <xdr:cNvSpPr/>
                        </xdr:nvSpPr>
                        <xdr:spPr>
                          <a:xfrm>
                            <a:off x="7761594" y="1532522"/>
                            <a:ext cx="1577863" cy="136768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3200" baseline="0"/>
                              <a:t>CAN1</a:t>
                            </a:r>
                          </a:p>
                        </xdr:txBody>
                      </xdr:sp>
                      <xdr:sp macro="" textlink="">
                        <xdr:nvSpPr>
                          <xdr:cNvPr id="133" name="TextBox 132">
                            <a:extLst>
                              <a:ext uri="{FF2B5EF4-FFF2-40B4-BE49-F238E27FC236}">
                                <a16:creationId xmlns:a16="http://schemas.microsoft.com/office/drawing/2014/main" xmlns="" id="{00000000-0008-0000-0900-000085000000}"/>
                              </a:ext>
                            </a:extLst>
                          </xdr:cNvPr>
                          <xdr:cNvSpPr txBox="1"/>
                        </xdr:nvSpPr>
                        <xdr:spPr>
                          <a:xfrm>
                            <a:off x="7737005" y="1498140"/>
                            <a:ext cx="844356" cy="245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Bus Interface Unit</a:t>
                            </a:r>
                          </a:p>
                        </xdr:txBody>
                      </xdr:sp>
                    </xdr:grpSp>
                    <xdr:sp macro="" textlink="">
                      <xdr:nvSpPr>
                        <xdr:cNvPr id="131" name="TextBox 130">
                          <a:extLst>
                            <a:ext uri="{FF2B5EF4-FFF2-40B4-BE49-F238E27FC236}">
                              <a16:creationId xmlns:a16="http://schemas.microsoft.com/office/drawing/2014/main" xmlns="" id="{00000000-0008-0000-0900-000083000000}"/>
                            </a:ext>
                          </a:extLst>
                        </xdr:cNvPr>
                        <xdr:cNvSpPr txBox="1"/>
                      </xdr:nvSpPr>
                      <xdr:spPr>
                        <a:xfrm>
                          <a:off x="7931762" y="2995204"/>
                          <a:ext cx="1479925" cy="196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Propagation Seggment_Nominal</a:t>
                          </a:r>
                        </a:p>
                      </xdr:txBody>
                    </xdr:sp>
                  </xdr:grpSp>
                  <xdr:sp macro="" textlink="">
                    <xdr:nvSpPr>
                      <xdr:cNvPr id="128" name="TextBox 127">
                        <a:extLst>
                          <a:ext uri="{FF2B5EF4-FFF2-40B4-BE49-F238E27FC236}">
                            <a16:creationId xmlns:a16="http://schemas.microsoft.com/office/drawing/2014/main" xmlns="" id="{00000000-0008-0000-0900-000080000000}"/>
                          </a:ext>
                        </a:extLst>
                      </xdr:cNvPr>
                      <xdr:cNvSpPr txBox="1"/>
                    </xdr:nvSpPr>
                    <xdr:spPr>
                      <a:xfrm>
                        <a:off x="7921690" y="4264800"/>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Phase Segment 1_Nominal</a:t>
                        </a:r>
                      </a:p>
                    </xdr:txBody>
                  </xdr:sp>
                  <xdr:sp macro="" textlink="">
                    <xdr:nvSpPr>
                      <xdr:cNvPr id="129" name="TextBox 128">
                        <a:extLst>
                          <a:ext uri="{FF2B5EF4-FFF2-40B4-BE49-F238E27FC236}">
                            <a16:creationId xmlns:a16="http://schemas.microsoft.com/office/drawing/2014/main" xmlns="" id="{00000000-0008-0000-0900-000081000000}"/>
                          </a:ext>
                        </a:extLst>
                      </xdr:cNvPr>
                      <xdr:cNvSpPr txBox="1"/>
                    </xdr:nvSpPr>
                    <xdr:spPr>
                      <a:xfrm>
                        <a:off x="7927214" y="5524477"/>
                        <a:ext cx="1362532"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Phase Segment</a:t>
                        </a:r>
                        <a:r>
                          <a:rPr lang="en-US" sz="600" baseline="0">
                            <a:solidFill>
                              <a:schemeClr val="bg1"/>
                            </a:solidFill>
                          </a:rPr>
                          <a:t> 2_Nominal</a:t>
                        </a:r>
                        <a:endParaRPr lang="en-US" sz="600">
                          <a:solidFill>
                            <a:schemeClr val="bg1"/>
                          </a:solidFill>
                        </a:endParaRPr>
                      </a:p>
                    </xdr:txBody>
                  </xdr:sp>
                </xdr:grpSp>
                <xdr:sp macro="" textlink="">
                  <xdr:nvSpPr>
                    <xdr:cNvPr id="126" name="TextBox 125">
                      <a:extLst>
                        <a:ext uri="{FF2B5EF4-FFF2-40B4-BE49-F238E27FC236}">
                          <a16:creationId xmlns:a16="http://schemas.microsoft.com/office/drawing/2014/main" xmlns="" id="{00000000-0008-0000-0900-00007E000000}"/>
                        </a:ext>
                      </a:extLst>
                    </xdr:cNvPr>
                    <xdr:cNvSpPr txBox="1"/>
                  </xdr:nvSpPr>
                  <xdr:spPr>
                    <a:xfrm>
                      <a:off x="7916737" y="9704899"/>
                      <a:ext cx="1677604" cy="23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Phase Segment 2_Extended</a:t>
                      </a:r>
                    </a:p>
                  </xdr:txBody>
                </xdr:sp>
              </xdr:grpSp>
              <xdr:sp macro="" textlink="">
                <xdr:nvSpPr>
                  <xdr:cNvPr id="124" name="TextBox 123">
                    <a:extLst>
                      <a:ext uri="{FF2B5EF4-FFF2-40B4-BE49-F238E27FC236}">
                        <a16:creationId xmlns:a16="http://schemas.microsoft.com/office/drawing/2014/main" xmlns="" id="{00000000-0008-0000-0900-00007C000000}"/>
                      </a:ext>
                    </a:extLst>
                  </xdr:cNvPr>
                  <xdr:cNvSpPr txBox="1"/>
                </xdr:nvSpPr>
                <xdr:spPr>
                  <a:xfrm>
                    <a:off x="7889201" y="8594775"/>
                    <a:ext cx="1504541"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Phase</a:t>
                    </a:r>
                    <a:r>
                      <a:rPr lang="en-US" sz="600" baseline="0">
                        <a:solidFill>
                          <a:schemeClr val="bg1"/>
                        </a:solidFill>
                      </a:rPr>
                      <a:t> Segment 1_Extended</a:t>
                    </a:r>
                    <a:endParaRPr lang="en-US" sz="600">
                      <a:solidFill>
                        <a:schemeClr val="bg1"/>
                      </a:solidFill>
                    </a:endParaRPr>
                  </a:p>
                </xdr:txBody>
              </xdr:sp>
            </xdr:grpSp>
            <xdr:sp macro="" textlink="">
              <xdr:nvSpPr>
                <xdr:cNvPr id="122" name="TextBox 121">
                  <a:extLst>
                    <a:ext uri="{FF2B5EF4-FFF2-40B4-BE49-F238E27FC236}">
                      <a16:creationId xmlns:a16="http://schemas.microsoft.com/office/drawing/2014/main" xmlns="" id="{00000000-0008-0000-0900-00007A000000}"/>
                    </a:ext>
                  </a:extLst>
                </xdr:cNvPr>
                <xdr:cNvSpPr txBox="1"/>
              </xdr:nvSpPr>
              <xdr:spPr>
                <a:xfrm>
                  <a:off x="7880982" y="7166398"/>
                  <a:ext cx="1405909"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Propagation Segment_Extended</a:t>
                  </a:r>
                </a:p>
              </xdr:txBody>
            </xdr:sp>
          </xdr:grpSp>
          <xdr:sp macro="" textlink="">
            <xdr:nvSpPr>
              <xdr:cNvPr id="120" name="TextBox 119">
                <a:extLst>
                  <a:ext uri="{FF2B5EF4-FFF2-40B4-BE49-F238E27FC236}">
                    <a16:creationId xmlns:a16="http://schemas.microsoft.com/office/drawing/2014/main" xmlns="" id="{00000000-0008-0000-0900-000078000000}"/>
                  </a:ext>
                </a:extLst>
              </xdr:cNvPr>
              <xdr:cNvSpPr txBox="1"/>
            </xdr:nvSpPr>
            <xdr:spPr>
              <a:xfrm>
                <a:off x="14424185" y="13005428"/>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Propagation Segment_FD</a:t>
                </a:r>
              </a:p>
            </xdr:txBody>
          </xdr:sp>
        </xdr:grpSp>
        <xdr:sp macro="" textlink="">
          <xdr:nvSpPr>
            <xdr:cNvPr id="117" name="TextBox 116">
              <a:extLst>
                <a:ext uri="{FF2B5EF4-FFF2-40B4-BE49-F238E27FC236}">
                  <a16:creationId xmlns:a16="http://schemas.microsoft.com/office/drawing/2014/main" xmlns="" id="{00000000-0008-0000-0900-000075000000}"/>
                </a:ext>
              </a:extLst>
            </xdr:cNvPr>
            <xdr:cNvSpPr txBox="1"/>
          </xdr:nvSpPr>
          <xdr:spPr>
            <a:xfrm>
              <a:off x="19478476" y="14706393"/>
              <a:ext cx="1408569" cy="24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Phase Segment 1_FD</a:t>
              </a:r>
            </a:p>
          </xdr:txBody>
        </xdr:sp>
        <xdr:sp macro="" textlink="">
          <xdr:nvSpPr>
            <xdr:cNvPr id="118" name="TextBox 117">
              <a:extLst>
                <a:ext uri="{FF2B5EF4-FFF2-40B4-BE49-F238E27FC236}">
                  <a16:creationId xmlns:a16="http://schemas.microsoft.com/office/drawing/2014/main" xmlns="" id="{00000000-0008-0000-0900-000076000000}"/>
                </a:ext>
              </a:extLst>
            </xdr:cNvPr>
            <xdr:cNvSpPr txBox="1"/>
          </xdr:nvSpPr>
          <xdr:spPr>
            <a:xfrm>
              <a:off x="19478326" y="16000290"/>
              <a:ext cx="167245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CAN1 Phase Segment 2_FD</a:t>
              </a:r>
            </a:p>
          </xdr:txBody>
        </xdr:sp>
      </xdr:grpSp>
      <xdr:sp macro="" textlink="">
        <xdr:nvSpPr>
          <xdr:cNvPr id="115" name="TextBox 114">
            <a:extLst>
              <a:ext uri="{FF2B5EF4-FFF2-40B4-BE49-F238E27FC236}">
                <a16:creationId xmlns:a16="http://schemas.microsoft.com/office/drawing/2014/main" xmlns="" id="{00000000-0008-0000-0900-000073000000}"/>
              </a:ext>
            </a:extLst>
          </xdr:cNvPr>
          <xdr:cNvSpPr txBox="1"/>
        </xdr:nvSpPr>
        <xdr:spPr>
          <a:xfrm>
            <a:off x="19354800" y="2629297"/>
            <a:ext cx="1269595" cy="22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Controlle</a:t>
            </a:r>
            <a:r>
              <a:rPr lang="en-US" sz="600" baseline="0">
                <a:solidFill>
                  <a:schemeClr val="bg1"/>
                </a:solidFill>
              </a:rPr>
              <a:t>r Host Interface</a:t>
            </a:r>
            <a:endParaRPr lang="en-US" sz="600">
              <a:solidFill>
                <a:schemeClr val="bg1"/>
              </a:solidFill>
            </a:endParaRPr>
          </a:p>
        </xdr:txBody>
      </xdr:sp>
    </xdr:grpSp>
    <xdr:clientData/>
  </xdr:twoCellAnchor>
  <xdr:twoCellAnchor>
    <xdr:from>
      <xdr:col>3</xdr:col>
      <xdr:colOff>604631</xdr:colOff>
      <xdr:row>105</xdr:row>
      <xdr:rowOff>114300</xdr:rowOff>
    </xdr:from>
    <xdr:to>
      <xdr:col>31</xdr:col>
      <xdr:colOff>463976</xdr:colOff>
      <xdr:row>105</xdr:row>
      <xdr:rowOff>114300</xdr:rowOff>
    </xdr:to>
    <xdr:cxnSp macro="">
      <xdr:nvCxnSpPr>
        <xdr:cNvPr id="134" name="Straight Arrow Connector 133">
          <a:extLst>
            <a:ext uri="{FF2B5EF4-FFF2-40B4-BE49-F238E27FC236}">
              <a16:creationId xmlns:a16="http://schemas.microsoft.com/office/drawing/2014/main" xmlns="" id="{00000000-0008-0000-0900-000086000000}"/>
            </a:ext>
          </a:extLst>
        </xdr:cNvPr>
        <xdr:cNvCxnSpPr/>
      </xdr:nvCxnSpPr>
      <xdr:spPr>
        <a:xfrm>
          <a:off x="2443370" y="20605474"/>
          <a:ext cx="1702091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109</xdr:row>
      <xdr:rowOff>92869</xdr:rowOff>
    </xdr:from>
    <xdr:to>
      <xdr:col>31</xdr:col>
      <xdr:colOff>483026</xdr:colOff>
      <xdr:row>109</xdr:row>
      <xdr:rowOff>92869</xdr:rowOff>
    </xdr:to>
    <xdr:cxnSp macro="">
      <xdr:nvCxnSpPr>
        <xdr:cNvPr id="135" name="Straight Arrow Connector 134">
          <a:extLst>
            <a:ext uri="{FF2B5EF4-FFF2-40B4-BE49-F238E27FC236}">
              <a16:creationId xmlns:a16="http://schemas.microsoft.com/office/drawing/2014/main" xmlns="" id="{00000000-0008-0000-0900-000087000000}"/>
            </a:ext>
          </a:extLst>
        </xdr:cNvPr>
        <xdr:cNvCxnSpPr/>
      </xdr:nvCxnSpPr>
      <xdr:spPr>
        <a:xfrm>
          <a:off x="2438400" y="21457444"/>
          <a:ext cx="169422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113</xdr:row>
      <xdr:rowOff>114301</xdr:rowOff>
    </xdr:from>
    <xdr:to>
      <xdr:col>7</xdr:col>
      <xdr:colOff>384222</xdr:colOff>
      <xdr:row>113</xdr:row>
      <xdr:rowOff>114301</xdr:rowOff>
    </xdr:to>
    <xdr:cxnSp macro="">
      <xdr:nvCxnSpPr>
        <xdr:cNvPr id="136" name="Straight Arrow Connector 135">
          <a:extLst>
            <a:ext uri="{FF2B5EF4-FFF2-40B4-BE49-F238E27FC236}">
              <a16:creationId xmlns:a16="http://schemas.microsoft.com/office/drawing/2014/main" xmlns="" id="{00000000-0008-0000-0900-000088000000}"/>
            </a:ext>
          </a:extLst>
        </xdr:cNvPr>
        <xdr:cNvCxnSpPr/>
      </xdr:nvCxnSpPr>
      <xdr:spPr>
        <a:xfrm>
          <a:off x="2438400" y="22278976"/>
          <a:ext cx="22130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400050</xdr:colOff>
      <xdr:row>111</xdr:row>
      <xdr:rowOff>19050</xdr:rowOff>
    </xdr:from>
    <xdr:to>
      <xdr:col>9</xdr:col>
      <xdr:colOff>172930</xdr:colOff>
      <xdr:row>115</xdr:row>
      <xdr:rowOff>169528</xdr:rowOff>
    </xdr:to>
    <xdr:sp macro="" textlink="">
      <xdr:nvSpPr>
        <xdr:cNvPr id="137" name="Rectangle 136">
          <a:extLst>
            <a:ext uri="{FF2B5EF4-FFF2-40B4-BE49-F238E27FC236}">
              <a16:creationId xmlns:a16="http://schemas.microsoft.com/office/drawing/2014/main" xmlns="" id="{00000000-0008-0000-0900-000089000000}"/>
            </a:ext>
          </a:extLst>
        </xdr:cNvPr>
        <xdr:cNvSpPr/>
      </xdr:nvSpPr>
      <xdr:spPr>
        <a:xfrm>
          <a:off x="4667250" y="21793200"/>
          <a:ext cx="992080" cy="9696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Sclock Prescaler</a:t>
          </a:r>
        </a:p>
        <a:p>
          <a:pPr algn="ctr"/>
          <a:r>
            <a:rPr lang="en-US" sz="900" baseline="0"/>
            <a:t>/(1+(0...255))</a:t>
          </a:r>
        </a:p>
        <a:p>
          <a:pPr algn="ctr"/>
          <a:r>
            <a:rPr lang="en-US" sz="900" baseline="0"/>
            <a:t>CAN1_CTRL1[PRESDIV]</a:t>
          </a:r>
          <a:endParaRPr lang="en-US" sz="900"/>
        </a:p>
      </xdr:txBody>
    </xdr:sp>
    <xdr:clientData/>
  </xdr:twoCellAnchor>
  <xdr:twoCellAnchor>
    <xdr:from>
      <xdr:col>9</xdr:col>
      <xdr:colOff>152400</xdr:colOff>
      <xdr:row>114</xdr:row>
      <xdr:rowOff>25004</xdr:rowOff>
    </xdr:from>
    <xdr:to>
      <xdr:col>11</xdr:col>
      <xdr:colOff>335239</xdr:colOff>
      <xdr:row>114</xdr:row>
      <xdr:rowOff>25004</xdr:rowOff>
    </xdr:to>
    <xdr:cxnSp macro="">
      <xdr:nvCxnSpPr>
        <xdr:cNvPr id="138" name="Straight Arrow Connector 137">
          <a:extLst>
            <a:ext uri="{FF2B5EF4-FFF2-40B4-BE49-F238E27FC236}">
              <a16:creationId xmlns:a16="http://schemas.microsoft.com/office/drawing/2014/main" xmlns="" id="{00000000-0008-0000-0900-00008A000000}"/>
            </a:ext>
          </a:extLst>
        </xdr:cNvPr>
        <xdr:cNvCxnSpPr/>
      </xdr:nvCxnSpPr>
      <xdr:spPr>
        <a:xfrm>
          <a:off x="5638800" y="22418279"/>
          <a:ext cx="14020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404812</xdr:colOff>
      <xdr:row>111</xdr:row>
      <xdr:rowOff>133350</xdr:rowOff>
    </xdr:from>
    <xdr:ext cx="1009650" cy="294086"/>
    <xdr:sp macro="" textlink="">
      <xdr:nvSpPr>
        <xdr:cNvPr id="139" name="TextBox 138">
          <a:extLst>
            <a:ext uri="{FF2B5EF4-FFF2-40B4-BE49-F238E27FC236}">
              <a16:creationId xmlns:a16="http://schemas.microsoft.com/office/drawing/2014/main" xmlns="" id="{00000000-0008-0000-0900-00008B000000}"/>
            </a:ext>
          </a:extLst>
        </xdr:cNvPr>
        <xdr:cNvSpPr txBox="1"/>
      </xdr:nvSpPr>
      <xdr:spPr>
        <a:xfrm>
          <a:off x="5891212" y="21907500"/>
          <a:ext cx="1009650" cy="294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CAN1 Sclock</a:t>
          </a:r>
        </a:p>
      </xdr:txBody>
    </xdr:sp>
    <xdr:clientData/>
  </xdr:oneCellAnchor>
  <xdr:twoCellAnchor>
    <xdr:from>
      <xdr:col>11</xdr:col>
      <xdr:colOff>381000</xdr:colOff>
      <xdr:row>111</xdr:row>
      <xdr:rowOff>57150</xdr:rowOff>
    </xdr:from>
    <xdr:to>
      <xdr:col>13</xdr:col>
      <xdr:colOff>169472</xdr:colOff>
      <xdr:row>115</xdr:row>
      <xdr:rowOff>172230</xdr:rowOff>
    </xdr:to>
    <xdr:sp macro="" textlink="">
      <xdr:nvSpPr>
        <xdr:cNvPr id="140" name="Rectangle 139">
          <a:extLst>
            <a:ext uri="{FF2B5EF4-FFF2-40B4-BE49-F238E27FC236}">
              <a16:creationId xmlns:a16="http://schemas.microsoft.com/office/drawing/2014/main" xmlns="" id="{00000000-0008-0000-0900-00008C000000}"/>
            </a:ext>
          </a:extLst>
        </xdr:cNvPr>
        <xdr:cNvSpPr/>
      </xdr:nvSpPr>
      <xdr:spPr>
        <a:xfrm>
          <a:off x="7086600" y="21831300"/>
          <a:ext cx="1007672" cy="9151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Jump Width</a:t>
          </a:r>
        </a:p>
        <a:p>
          <a:pPr algn="ctr"/>
          <a:r>
            <a:rPr lang="en-US" sz="900" baseline="0"/>
            <a:t>1+(0...3)</a:t>
          </a:r>
        </a:p>
        <a:p>
          <a:pPr algn="ctr"/>
          <a:r>
            <a:rPr lang="en-US" sz="900" baseline="0"/>
            <a:t>CAN1_CTRL1[RJW]</a:t>
          </a:r>
          <a:endParaRPr lang="en-US" sz="900"/>
        </a:p>
      </xdr:txBody>
    </xdr:sp>
    <xdr:clientData/>
  </xdr:twoCellAnchor>
  <xdr:twoCellAnchor>
    <xdr:from>
      <xdr:col>13</xdr:col>
      <xdr:colOff>190500</xdr:colOff>
      <xdr:row>113</xdr:row>
      <xdr:rowOff>133350</xdr:rowOff>
    </xdr:from>
    <xdr:to>
      <xdr:col>15</xdr:col>
      <xdr:colOff>404813</xdr:colOff>
      <xdr:row>113</xdr:row>
      <xdr:rowOff>133350</xdr:rowOff>
    </xdr:to>
    <xdr:cxnSp macro="">
      <xdr:nvCxnSpPr>
        <xdr:cNvPr id="141" name="Straight Arrow Connector 140">
          <a:extLst>
            <a:ext uri="{FF2B5EF4-FFF2-40B4-BE49-F238E27FC236}">
              <a16:creationId xmlns:a16="http://schemas.microsoft.com/office/drawing/2014/main" xmlns="" id="{00000000-0008-0000-0900-00008D000000}"/>
            </a:ext>
          </a:extLst>
        </xdr:cNvPr>
        <xdr:cNvCxnSpPr/>
      </xdr:nvCxnSpPr>
      <xdr:spPr>
        <a:xfrm>
          <a:off x="8115300" y="22298025"/>
          <a:ext cx="143351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303607</xdr:colOff>
      <xdr:row>113</xdr:row>
      <xdr:rowOff>145257</xdr:rowOff>
    </xdr:from>
    <xdr:to>
      <xdr:col>14</xdr:col>
      <xdr:colOff>303607</xdr:colOff>
      <xdr:row>127</xdr:row>
      <xdr:rowOff>147637</xdr:rowOff>
    </xdr:to>
    <xdr:cxnSp macro="">
      <xdr:nvCxnSpPr>
        <xdr:cNvPr id="142" name="Straight Arrow Connector 141">
          <a:extLst>
            <a:ext uri="{FF2B5EF4-FFF2-40B4-BE49-F238E27FC236}">
              <a16:creationId xmlns:a16="http://schemas.microsoft.com/office/drawing/2014/main" xmlns="" id="{00000000-0008-0000-0900-00008E000000}"/>
            </a:ext>
          </a:extLst>
        </xdr:cNvPr>
        <xdr:cNvCxnSpPr/>
      </xdr:nvCxnSpPr>
      <xdr:spPr>
        <a:xfrm flipV="1">
          <a:off x="8838007" y="22309932"/>
          <a:ext cx="0" cy="2736055"/>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309562</xdr:colOff>
      <xdr:row>120</xdr:row>
      <xdr:rowOff>103583</xdr:rowOff>
    </xdr:from>
    <xdr:to>
      <xdr:col>15</xdr:col>
      <xdr:colOff>398355</xdr:colOff>
      <xdr:row>120</xdr:row>
      <xdr:rowOff>103583</xdr:rowOff>
    </xdr:to>
    <xdr:cxnSp macro="">
      <xdr:nvCxnSpPr>
        <xdr:cNvPr id="143" name="Straight Arrow Connector 142">
          <a:extLst>
            <a:ext uri="{FF2B5EF4-FFF2-40B4-BE49-F238E27FC236}">
              <a16:creationId xmlns:a16="http://schemas.microsoft.com/office/drawing/2014/main" xmlns="" id="{00000000-0008-0000-0900-00008F000000}"/>
            </a:ext>
          </a:extLst>
        </xdr:cNvPr>
        <xdr:cNvCxnSpPr/>
      </xdr:nvCxnSpPr>
      <xdr:spPr>
        <a:xfrm>
          <a:off x="8843962" y="23668433"/>
          <a:ext cx="69839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301228</xdr:colOff>
      <xdr:row>127</xdr:row>
      <xdr:rowOff>145256</xdr:rowOff>
    </xdr:from>
    <xdr:to>
      <xdr:col>15</xdr:col>
      <xdr:colOff>390021</xdr:colOff>
      <xdr:row>127</xdr:row>
      <xdr:rowOff>145256</xdr:rowOff>
    </xdr:to>
    <xdr:cxnSp macro="">
      <xdr:nvCxnSpPr>
        <xdr:cNvPr id="144" name="Straight Arrow Connector 143">
          <a:extLst>
            <a:ext uri="{FF2B5EF4-FFF2-40B4-BE49-F238E27FC236}">
              <a16:creationId xmlns:a16="http://schemas.microsoft.com/office/drawing/2014/main" xmlns="" id="{00000000-0008-0000-0900-000090000000}"/>
            </a:ext>
          </a:extLst>
        </xdr:cNvPr>
        <xdr:cNvCxnSpPr/>
      </xdr:nvCxnSpPr>
      <xdr:spPr>
        <a:xfrm>
          <a:off x="8835628" y="25043606"/>
          <a:ext cx="69839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419100</xdr:colOff>
      <xdr:row>111</xdr:row>
      <xdr:rowOff>66675</xdr:rowOff>
    </xdr:from>
    <xdr:to>
      <xdr:col>17</xdr:col>
      <xdr:colOff>207571</xdr:colOff>
      <xdr:row>115</xdr:row>
      <xdr:rowOff>181755</xdr:rowOff>
    </xdr:to>
    <xdr:sp macro="" textlink="">
      <xdr:nvSpPr>
        <xdr:cNvPr id="145" name="Rectangle 144">
          <a:extLst>
            <a:ext uri="{FF2B5EF4-FFF2-40B4-BE49-F238E27FC236}">
              <a16:creationId xmlns:a16="http://schemas.microsoft.com/office/drawing/2014/main" xmlns="" id="{00000000-0008-0000-0900-000091000000}"/>
            </a:ext>
          </a:extLst>
        </xdr:cNvPr>
        <xdr:cNvSpPr/>
      </xdr:nvSpPr>
      <xdr:spPr>
        <a:xfrm>
          <a:off x="9563100" y="21840825"/>
          <a:ext cx="1007671" cy="9151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Prop. Seg.</a:t>
          </a:r>
        </a:p>
        <a:p>
          <a:pPr algn="ctr"/>
          <a:r>
            <a:rPr lang="en-US" sz="900" baseline="0"/>
            <a:t>1+(0...7)</a:t>
          </a:r>
        </a:p>
        <a:p>
          <a:pPr algn="ctr"/>
          <a:r>
            <a:rPr lang="en-US" sz="900" baseline="0"/>
            <a:t>CAN1_CTRL1[PROPSEG]</a:t>
          </a:r>
          <a:endParaRPr lang="en-US" sz="900"/>
        </a:p>
      </xdr:txBody>
    </xdr:sp>
    <xdr:clientData/>
  </xdr:twoCellAnchor>
  <xdr:twoCellAnchor>
    <xdr:from>
      <xdr:col>17</xdr:col>
      <xdr:colOff>219075</xdr:colOff>
      <xdr:row>113</xdr:row>
      <xdr:rowOff>95250</xdr:rowOff>
    </xdr:from>
    <xdr:to>
      <xdr:col>31</xdr:col>
      <xdr:colOff>498871</xdr:colOff>
      <xdr:row>113</xdr:row>
      <xdr:rowOff>95250</xdr:rowOff>
    </xdr:to>
    <xdr:cxnSp macro="">
      <xdr:nvCxnSpPr>
        <xdr:cNvPr id="146" name="Straight Arrow Connector 145">
          <a:extLst>
            <a:ext uri="{FF2B5EF4-FFF2-40B4-BE49-F238E27FC236}">
              <a16:creationId xmlns:a16="http://schemas.microsoft.com/office/drawing/2014/main" xmlns="" id="{00000000-0008-0000-0900-000092000000}"/>
            </a:ext>
          </a:extLst>
        </xdr:cNvPr>
        <xdr:cNvCxnSpPr/>
      </xdr:nvCxnSpPr>
      <xdr:spPr>
        <a:xfrm>
          <a:off x="10582275" y="22259925"/>
          <a:ext cx="8814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419100</xdr:colOff>
      <xdr:row>118</xdr:row>
      <xdr:rowOff>0</xdr:rowOff>
    </xdr:from>
    <xdr:to>
      <xdr:col>17</xdr:col>
      <xdr:colOff>207571</xdr:colOff>
      <xdr:row>122</xdr:row>
      <xdr:rowOff>161772</xdr:rowOff>
    </xdr:to>
    <xdr:sp macro="" textlink="">
      <xdr:nvSpPr>
        <xdr:cNvPr id="147" name="Rectangle 146">
          <a:extLst>
            <a:ext uri="{FF2B5EF4-FFF2-40B4-BE49-F238E27FC236}">
              <a16:creationId xmlns:a16="http://schemas.microsoft.com/office/drawing/2014/main" xmlns="" id="{00000000-0008-0000-0900-000093000000}"/>
            </a:ext>
          </a:extLst>
        </xdr:cNvPr>
        <xdr:cNvSpPr/>
      </xdr:nvSpPr>
      <xdr:spPr>
        <a:xfrm>
          <a:off x="9563100" y="23183850"/>
          <a:ext cx="1007671" cy="9237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Phase</a:t>
          </a:r>
          <a:r>
            <a:rPr lang="en-US" sz="1100" baseline="0"/>
            <a:t> </a:t>
          </a:r>
          <a:r>
            <a:rPr lang="en-US" sz="1100"/>
            <a:t> Seg.</a:t>
          </a:r>
          <a:r>
            <a:rPr lang="en-US" sz="1100" baseline="0"/>
            <a:t> 1</a:t>
          </a:r>
          <a:endParaRPr lang="en-US" sz="1100"/>
        </a:p>
        <a:p>
          <a:pPr algn="ctr"/>
          <a:r>
            <a:rPr lang="en-US" sz="900" baseline="0"/>
            <a:t>1+(0...7)</a:t>
          </a:r>
        </a:p>
        <a:p>
          <a:pPr algn="ctr"/>
          <a:r>
            <a:rPr lang="en-US" sz="900" baseline="0"/>
            <a:t>CAN1_CTRL1[PSEG1]</a:t>
          </a:r>
          <a:endParaRPr lang="en-US" sz="900"/>
        </a:p>
      </xdr:txBody>
    </xdr:sp>
    <xdr:clientData/>
  </xdr:twoCellAnchor>
  <xdr:twoCellAnchor>
    <xdr:from>
      <xdr:col>17</xdr:col>
      <xdr:colOff>219075</xdr:colOff>
      <xdr:row>120</xdr:row>
      <xdr:rowOff>104775</xdr:rowOff>
    </xdr:from>
    <xdr:to>
      <xdr:col>31</xdr:col>
      <xdr:colOff>498871</xdr:colOff>
      <xdr:row>120</xdr:row>
      <xdr:rowOff>104775</xdr:rowOff>
    </xdr:to>
    <xdr:cxnSp macro="">
      <xdr:nvCxnSpPr>
        <xdr:cNvPr id="148" name="Straight Arrow Connector 147">
          <a:extLst>
            <a:ext uri="{FF2B5EF4-FFF2-40B4-BE49-F238E27FC236}">
              <a16:creationId xmlns:a16="http://schemas.microsoft.com/office/drawing/2014/main" xmlns="" id="{00000000-0008-0000-0900-000094000000}"/>
            </a:ext>
          </a:extLst>
        </xdr:cNvPr>
        <xdr:cNvCxnSpPr/>
      </xdr:nvCxnSpPr>
      <xdr:spPr>
        <a:xfrm>
          <a:off x="10582275" y="23669625"/>
          <a:ext cx="8814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409575</xdr:colOff>
      <xdr:row>125</xdr:row>
      <xdr:rowOff>0</xdr:rowOff>
    </xdr:from>
    <xdr:to>
      <xdr:col>17</xdr:col>
      <xdr:colOff>198046</xdr:colOff>
      <xdr:row>129</xdr:row>
      <xdr:rowOff>160059</xdr:rowOff>
    </xdr:to>
    <xdr:sp macro="" textlink="">
      <xdr:nvSpPr>
        <xdr:cNvPr id="149" name="Rectangle 148">
          <a:extLst>
            <a:ext uri="{FF2B5EF4-FFF2-40B4-BE49-F238E27FC236}">
              <a16:creationId xmlns:a16="http://schemas.microsoft.com/office/drawing/2014/main" xmlns="" id="{00000000-0008-0000-0900-000095000000}"/>
            </a:ext>
          </a:extLst>
        </xdr:cNvPr>
        <xdr:cNvSpPr/>
      </xdr:nvSpPr>
      <xdr:spPr>
        <a:xfrm>
          <a:off x="9553575" y="24555450"/>
          <a:ext cx="1007671" cy="9220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Phase</a:t>
          </a:r>
          <a:r>
            <a:rPr lang="en-US" sz="1100" baseline="0"/>
            <a:t> </a:t>
          </a:r>
          <a:r>
            <a:rPr lang="en-US" sz="1100"/>
            <a:t> Seg. 2</a:t>
          </a:r>
        </a:p>
        <a:p>
          <a:pPr algn="ctr"/>
          <a:r>
            <a:rPr lang="en-US" sz="900" baseline="0"/>
            <a:t>1+(0...7)</a:t>
          </a:r>
        </a:p>
        <a:p>
          <a:pPr algn="ctr"/>
          <a:r>
            <a:rPr lang="en-US" sz="900" baseline="0"/>
            <a:t>CAN1_CTRL1[PSEG2]</a:t>
          </a:r>
          <a:endParaRPr lang="en-US" sz="900"/>
        </a:p>
      </xdr:txBody>
    </xdr:sp>
    <xdr:clientData/>
  </xdr:twoCellAnchor>
  <xdr:twoCellAnchor>
    <xdr:from>
      <xdr:col>17</xdr:col>
      <xdr:colOff>219075</xdr:colOff>
      <xdr:row>127</xdr:row>
      <xdr:rowOff>104775</xdr:rowOff>
    </xdr:from>
    <xdr:to>
      <xdr:col>31</xdr:col>
      <xdr:colOff>498871</xdr:colOff>
      <xdr:row>127</xdr:row>
      <xdr:rowOff>104775</xdr:rowOff>
    </xdr:to>
    <xdr:cxnSp macro="">
      <xdr:nvCxnSpPr>
        <xdr:cNvPr id="150" name="Straight Arrow Connector 149">
          <a:extLst>
            <a:ext uri="{FF2B5EF4-FFF2-40B4-BE49-F238E27FC236}">
              <a16:creationId xmlns:a16="http://schemas.microsoft.com/office/drawing/2014/main" xmlns="" id="{00000000-0008-0000-0900-000096000000}"/>
            </a:ext>
          </a:extLst>
        </xdr:cNvPr>
        <xdr:cNvCxnSpPr/>
      </xdr:nvCxnSpPr>
      <xdr:spPr>
        <a:xfrm>
          <a:off x="10582275" y="25041225"/>
          <a:ext cx="8814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304800</xdr:colOff>
      <xdr:row>113</xdr:row>
      <xdr:rowOff>123827</xdr:rowOff>
    </xdr:from>
    <xdr:to>
      <xdr:col>4</xdr:col>
      <xdr:colOff>304800</xdr:colOff>
      <xdr:row>165</xdr:row>
      <xdr:rowOff>153865</xdr:rowOff>
    </xdr:to>
    <xdr:cxnSp macro="">
      <xdr:nvCxnSpPr>
        <xdr:cNvPr id="152" name="Straight Arrow Connector 151">
          <a:extLst>
            <a:ext uri="{FF2B5EF4-FFF2-40B4-BE49-F238E27FC236}">
              <a16:creationId xmlns:a16="http://schemas.microsoft.com/office/drawing/2014/main" xmlns="" id="{00000000-0008-0000-0900-000098000000}"/>
            </a:ext>
          </a:extLst>
        </xdr:cNvPr>
        <xdr:cNvCxnSpPr/>
      </xdr:nvCxnSpPr>
      <xdr:spPr>
        <a:xfrm flipV="1">
          <a:off x="2737338" y="22265789"/>
          <a:ext cx="0" cy="10221788"/>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421486</xdr:colOff>
      <xdr:row>133</xdr:row>
      <xdr:rowOff>121445</xdr:rowOff>
    </xdr:from>
    <xdr:to>
      <xdr:col>7</xdr:col>
      <xdr:colOff>209958</xdr:colOff>
      <xdr:row>138</xdr:row>
      <xdr:rowOff>174302</xdr:rowOff>
    </xdr:to>
    <xdr:sp macro="" textlink="">
      <xdr:nvSpPr>
        <xdr:cNvPr id="153" name="Rectangle 152">
          <a:extLst>
            <a:ext uri="{FF2B5EF4-FFF2-40B4-BE49-F238E27FC236}">
              <a16:creationId xmlns:a16="http://schemas.microsoft.com/office/drawing/2014/main" xmlns="" id="{00000000-0008-0000-0900-000099000000}"/>
            </a:ext>
          </a:extLst>
        </xdr:cNvPr>
        <xdr:cNvSpPr/>
      </xdr:nvSpPr>
      <xdr:spPr>
        <a:xfrm>
          <a:off x="3469486" y="26238995"/>
          <a:ext cx="1007672" cy="10053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Ext. Format Enable</a:t>
          </a:r>
        </a:p>
        <a:p>
          <a:pPr algn="ctr"/>
          <a:r>
            <a:rPr lang="en-US" sz="900" baseline="0"/>
            <a:t>CAN1_CBT[BTF]</a:t>
          </a:r>
          <a:endParaRPr lang="en-US" sz="900"/>
        </a:p>
      </xdr:txBody>
    </xdr:sp>
    <xdr:clientData/>
  </xdr:twoCellAnchor>
  <xdr:oneCellAnchor>
    <xdr:from>
      <xdr:col>5</xdr:col>
      <xdr:colOff>540543</xdr:colOff>
      <xdr:row>139</xdr:row>
      <xdr:rowOff>184548</xdr:rowOff>
    </xdr:from>
    <xdr:ext cx="1476498" cy="354111"/>
    <xdr:sp macro="" textlink="">
      <xdr:nvSpPr>
        <xdr:cNvPr id="154" name="TextBox 153">
          <a:extLst>
            <a:ext uri="{FF2B5EF4-FFF2-40B4-BE49-F238E27FC236}">
              <a16:creationId xmlns:a16="http://schemas.microsoft.com/office/drawing/2014/main" xmlns="" id="{00000000-0008-0000-0900-00009A000000}"/>
            </a:ext>
          </a:extLst>
        </xdr:cNvPr>
        <xdr:cNvSpPr txBox="1"/>
      </xdr:nvSpPr>
      <xdr:spPr>
        <a:xfrm>
          <a:off x="3588543" y="27445098"/>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Extended Format Disabled</a:t>
          </a:r>
        </a:p>
        <a:p>
          <a:r>
            <a:rPr lang="en-US" sz="800"/>
            <a:t>1 - Extended</a:t>
          </a:r>
          <a:r>
            <a:rPr lang="en-US" sz="800" baseline="0"/>
            <a:t> Format Enabled</a:t>
          </a:r>
          <a:endParaRPr lang="en-US" sz="800"/>
        </a:p>
      </xdr:txBody>
    </xdr:sp>
    <xdr:clientData/>
  </xdr:oneCellAnchor>
  <xdr:twoCellAnchor>
    <xdr:from>
      <xdr:col>4</xdr:col>
      <xdr:colOff>314325</xdr:colOff>
      <xdr:row>136</xdr:row>
      <xdr:rowOff>94060</xdr:rowOff>
    </xdr:from>
    <xdr:to>
      <xdr:col>5</xdr:col>
      <xdr:colOff>403621</xdr:colOff>
      <xdr:row>136</xdr:row>
      <xdr:rowOff>94060</xdr:rowOff>
    </xdr:to>
    <xdr:cxnSp macro="">
      <xdr:nvCxnSpPr>
        <xdr:cNvPr id="155" name="Straight Arrow Connector 154">
          <a:extLst>
            <a:ext uri="{FF2B5EF4-FFF2-40B4-BE49-F238E27FC236}">
              <a16:creationId xmlns:a16="http://schemas.microsoft.com/office/drawing/2014/main" xmlns="" id="{00000000-0008-0000-0900-00009B000000}"/>
            </a:ext>
          </a:extLst>
        </xdr:cNvPr>
        <xdr:cNvCxnSpPr/>
      </xdr:nvCxnSpPr>
      <xdr:spPr>
        <a:xfrm>
          <a:off x="2752725" y="26783110"/>
          <a:ext cx="6988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207169</xdr:colOff>
      <xdr:row>136</xdr:row>
      <xdr:rowOff>29767</xdr:rowOff>
    </xdr:from>
    <xdr:to>
      <xdr:col>11</xdr:col>
      <xdr:colOff>391715</xdr:colOff>
      <xdr:row>136</xdr:row>
      <xdr:rowOff>29767</xdr:rowOff>
    </xdr:to>
    <xdr:cxnSp macro="">
      <xdr:nvCxnSpPr>
        <xdr:cNvPr id="156" name="Straight Arrow Connector 155">
          <a:extLst>
            <a:ext uri="{FF2B5EF4-FFF2-40B4-BE49-F238E27FC236}">
              <a16:creationId xmlns:a16="http://schemas.microsoft.com/office/drawing/2014/main" xmlns="" id="{00000000-0008-0000-0900-00009C000000}"/>
            </a:ext>
          </a:extLst>
        </xdr:cNvPr>
        <xdr:cNvCxnSpPr/>
      </xdr:nvCxnSpPr>
      <xdr:spPr>
        <a:xfrm>
          <a:off x="4474369" y="26718817"/>
          <a:ext cx="262294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397669</xdr:colOff>
      <xdr:row>133</xdr:row>
      <xdr:rowOff>172641</xdr:rowOff>
    </xdr:from>
    <xdr:to>
      <xdr:col>13</xdr:col>
      <xdr:colOff>186141</xdr:colOff>
      <xdr:row>138</xdr:row>
      <xdr:rowOff>183826</xdr:rowOff>
    </xdr:to>
    <xdr:sp macro="" textlink="">
      <xdr:nvSpPr>
        <xdr:cNvPr id="157" name="Rectangle 156">
          <a:extLst>
            <a:ext uri="{FF2B5EF4-FFF2-40B4-BE49-F238E27FC236}">
              <a16:creationId xmlns:a16="http://schemas.microsoft.com/office/drawing/2014/main" xmlns="" id="{00000000-0008-0000-0900-00009D000000}"/>
            </a:ext>
          </a:extLst>
        </xdr:cNvPr>
        <xdr:cNvSpPr/>
      </xdr:nvSpPr>
      <xdr:spPr>
        <a:xfrm>
          <a:off x="7103269" y="26290191"/>
          <a:ext cx="1007672" cy="96368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Sclock Ext. Prescaler</a:t>
          </a:r>
        </a:p>
        <a:p>
          <a:pPr algn="ctr"/>
          <a:r>
            <a:rPr lang="en-US" sz="900" baseline="0"/>
            <a:t>/(1+(0...1023))</a:t>
          </a:r>
        </a:p>
        <a:p>
          <a:pPr algn="ctr"/>
          <a:r>
            <a:rPr lang="en-US" sz="900" baseline="0"/>
            <a:t>CAN1_CBT[EPRESDIV]</a:t>
          </a:r>
          <a:endParaRPr lang="en-US" sz="900"/>
        </a:p>
      </xdr:txBody>
    </xdr:sp>
    <xdr:clientData/>
  </xdr:twoCellAnchor>
  <xdr:twoCellAnchor>
    <xdr:from>
      <xdr:col>13</xdr:col>
      <xdr:colOff>183355</xdr:colOff>
      <xdr:row>136</xdr:row>
      <xdr:rowOff>35720</xdr:rowOff>
    </xdr:from>
    <xdr:to>
      <xdr:col>18</xdr:col>
      <xdr:colOff>391715</xdr:colOff>
      <xdr:row>136</xdr:row>
      <xdr:rowOff>35720</xdr:rowOff>
    </xdr:to>
    <xdr:cxnSp macro="">
      <xdr:nvCxnSpPr>
        <xdr:cNvPr id="158" name="Straight Arrow Connector 157">
          <a:extLst>
            <a:ext uri="{FF2B5EF4-FFF2-40B4-BE49-F238E27FC236}">
              <a16:creationId xmlns:a16="http://schemas.microsoft.com/office/drawing/2014/main" xmlns="" id="{00000000-0008-0000-0900-00009E000000}"/>
            </a:ext>
          </a:extLst>
        </xdr:cNvPr>
        <xdr:cNvCxnSpPr/>
      </xdr:nvCxnSpPr>
      <xdr:spPr>
        <a:xfrm>
          <a:off x="8108155" y="26753345"/>
          <a:ext cx="32563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415527</xdr:colOff>
      <xdr:row>134</xdr:row>
      <xdr:rowOff>5954</xdr:rowOff>
    </xdr:from>
    <xdr:to>
      <xdr:col>20</xdr:col>
      <xdr:colOff>204000</xdr:colOff>
      <xdr:row>138</xdr:row>
      <xdr:rowOff>173266</xdr:rowOff>
    </xdr:to>
    <xdr:sp macro="" textlink="">
      <xdr:nvSpPr>
        <xdr:cNvPr id="159" name="Rectangle 158">
          <a:extLst>
            <a:ext uri="{FF2B5EF4-FFF2-40B4-BE49-F238E27FC236}">
              <a16:creationId xmlns:a16="http://schemas.microsoft.com/office/drawing/2014/main" xmlns="" id="{00000000-0008-0000-0900-00009F000000}"/>
            </a:ext>
          </a:extLst>
        </xdr:cNvPr>
        <xdr:cNvSpPr/>
      </xdr:nvSpPr>
      <xdr:spPr>
        <a:xfrm>
          <a:off x="11388327" y="26314004"/>
          <a:ext cx="1007673" cy="9293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Ext. Jump Width</a:t>
          </a:r>
        </a:p>
        <a:p>
          <a:pPr algn="ctr"/>
          <a:r>
            <a:rPr lang="en-US" sz="900" baseline="0"/>
            <a:t>1+(0...31)</a:t>
          </a:r>
        </a:p>
        <a:p>
          <a:pPr algn="ctr"/>
          <a:r>
            <a:rPr lang="en-US" sz="900" baseline="0"/>
            <a:t>CAN1_CBT[ERJW]</a:t>
          </a:r>
          <a:endParaRPr lang="en-US" sz="900"/>
        </a:p>
      </xdr:txBody>
    </xdr:sp>
    <xdr:clientData/>
  </xdr:twoCellAnchor>
  <xdr:oneCellAnchor>
    <xdr:from>
      <xdr:col>14</xdr:col>
      <xdr:colOff>242887</xdr:colOff>
      <xdr:row>133</xdr:row>
      <xdr:rowOff>95250</xdr:rowOff>
    </xdr:from>
    <xdr:ext cx="1416327" cy="319709"/>
    <xdr:sp macro="" textlink="">
      <xdr:nvSpPr>
        <xdr:cNvPr id="160" name="TextBox 159">
          <a:extLst>
            <a:ext uri="{FF2B5EF4-FFF2-40B4-BE49-F238E27FC236}">
              <a16:creationId xmlns:a16="http://schemas.microsoft.com/office/drawing/2014/main" xmlns="" id="{00000000-0008-0000-0900-0000A0000000}"/>
            </a:ext>
          </a:extLst>
        </xdr:cNvPr>
        <xdr:cNvSpPr txBox="1"/>
      </xdr:nvSpPr>
      <xdr:spPr>
        <a:xfrm>
          <a:off x="8777287" y="26212800"/>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CAN1 Sclock_Extended</a:t>
          </a:r>
        </a:p>
      </xdr:txBody>
    </xdr:sp>
    <xdr:clientData/>
  </xdr:oneCellAnchor>
  <xdr:twoCellAnchor>
    <xdr:from>
      <xdr:col>20</xdr:col>
      <xdr:colOff>207169</xdr:colOff>
      <xdr:row>136</xdr:row>
      <xdr:rowOff>94061</xdr:rowOff>
    </xdr:from>
    <xdr:to>
      <xdr:col>25</xdr:col>
      <xdr:colOff>432741</xdr:colOff>
      <xdr:row>136</xdr:row>
      <xdr:rowOff>94061</xdr:rowOff>
    </xdr:to>
    <xdr:cxnSp macro="">
      <xdr:nvCxnSpPr>
        <xdr:cNvPr id="161" name="Straight Arrow Connector 160">
          <a:extLst>
            <a:ext uri="{FF2B5EF4-FFF2-40B4-BE49-F238E27FC236}">
              <a16:creationId xmlns:a16="http://schemas.microsoft.com/office/drawing/2014/main" xmlns="" id="{00000000-0008-0000-0900-0000A1000000}"/>
            </a:ext>
          </a:extLst>
        </xdr:cNvPr>
        <xdr:cNvCxnSpPr/>
      </xdr:nvCxnSpPr>
      <xdr:spPr>
        <a:xfrm>
          <a:off x="12399169" y="26783111"/>
          <a:ext cx="327357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439340</xdr:colOff>
      <xdr:row>134</xdr:row>
      <xdr:rowOff>5954</xdr:rowOff>
    </xdr:from>
    <xdr:to>
      <xdr:col>27</xdr:col>
      <xdr:colOff>227812</xdr:colOff>
      <xdr:row>138</xdr:row>
      <xdr:rowOff>174508</xdr:rowOff>
    </xdr:to>
    <xdr:sp macro="" textlink="">
      <xdr:nvSpPr>
        <xdr:cNvPr id="162" name="Rectangle 161">
          <a:extLst>
            <a:ext uri="{FF2B5EF4-FFF2-40B4-BE49-F238E27FC236}">
              <a16:creationId xmlns:a16="http://schemas.microsoft.com/office/drawing/2014/main" xmlns="" id="{00000000-0008-0000-0900-0000A2000000}"/>
            </a:ext>
          </a:extLst>
        </xdr:cNvPr>
        <xdr:cNvSpPr/>
      </xdr:nvSpPr>
      <xdr:spPr>
        <a:xfrm>
          <a:off x="15679340" y="26314004"/>
          <a:ext cx="1007672" cy="9305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Prop. Seg. Ext.</a:t>
          </a:r>
        </a:p>
        <a:p>
          <a:pPr algn="ctr"/>
          <a:r>
            <a:rPr lang="en-US" sz="900" baseline="0"/>
            <a:t>1+(0...63)</a:t>
          </a:r>
        </a:p>
        <a:p>
          <a:pPr algn="ctr"/>
          <a:r>
            <a:rPr lang="en-US" sz="900" baseline="0"/>
            <a:t>CAN1_CBT[EPROPSEG]</a:t>
          </a:r>
          <a:endParaRPr lang="en-US" sz="900"/>
        </a:p>
      </xdr:txBody>
    </xdr:sp>
    <xdr:clientData/>
  </xdr:twoCellAnchor>
  <xdr:twoCellAnchor>
    <xdr:from>
      <xdr:col>27</xdr:col>
      <xdr:colOff>219075</xdr:colOff>
      <xdr:row>136</xdr:row>
      <xdr:rowOff>94061</xdr:rowOff>
    </xdr:from>
    <xdr:to>
      <xdr:col>31</xdr:col>
      <xdr:colOff>481012</xdr:colOff>
      <xdr:row>136</xdr:row>
      <xdr:rowOff>94061</xdr:rowOff>
    </xdr:to>
    <xdr:cxnSp macro="">
      <xdr:nvCxnSpPr>
        <xdr:cNvPr id="163" name="Straight Arrow Connector 162">
          <a:extLst>
            <a:ext uri="{FF2B5EF4-FFF2-40B4-BE49-F238E27FC236}">
              <a16:creationId xmlns:a16="http://schemas.microsoft.com/office/drawing/2014/main" xmlns="" id="{00000000-0008-0000-0900-0000A3000000}"/>
            </a:ext>
          </a:extLst>
        </xdr:cNvPr>
        <xdr:cNvCxnSpPr/>
      </xdr:nvCxnSpPr>
      <xdr:spPr>
        <a:xfrm>
          <a:off x="16678275" y="26783111"/>
          <a:ext cx="27003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352425</xdr:colOff>
      <xdr:row>136</xdr:row>
      <xdr:rowOff>95250</xdr:rowOff>
    </xdr:from>
    <xdr:to>
      <xdr:col>23</xdr:col>
      <xdr:colOff>352425</xdr:colOff>
      <xdr:row>151</xdr:row>
      <xdr:rowOff>118722</xdr:rowOff>
    </xdr:to>
    <xdr:cxnSp macro="">
      <xdr:nvCxnSpPr>
        <xdr:cNvPr id="164" name="Straight Arrow Connector 163">
          <a:extLst>
            <a:ext uri="{FF2B5EF4-FFF2-40B4-BE49-F238E27FC236}">
              <a16:creationId xmlns:a16="http://schemas.microsoft.com/office/drawing/2014/main" xmlns="" id="{00000000-0008-0000-0900-0000A4000000}"/>
            </a:ext>
          </a:extLst>
        </xdr:cNvPr>
        <xdr:cNvCxnSpPr/>
      </xdr:nvCxnSpPr>
      <xdr:spPr>
        <a:xfrm flipV="1">
          <a:off x="14373225" y="26812875"/>
          <a:ext cx="0" cy="2928597"/>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364332</xdr:colOff>
      <xdr:row>144</xdr:row>
      <xdr:rowOff>83344</xdr:rowOff>
    </xdr:from>
    <xdr:to>
      <xdr:col>25</xdr:col>
      <xdr:colOff>350874</xdr:colOff>
      <xdr:row>144</xdr:row>
      <xdr:rowOff>83344</xdr:rowOff>
    </xdr:to>
    <xdr:cxnSp macro="">
      <xdr:nvCxnSpPr>
        <xdr:cNvPr id="165" name="Straight Arrow Connector 164">
          <a:extLst>
            <a:ext uri="{FF2B5EF4-FFF2-40B4-BE49-F238E27FC236}">
              <a16:creationId xmlns:a16="http://schemas.microsoft.com/office/drawing/2014/main" xmlns="" id="{00000000-0008-0000-0900-0000A5000000}"/>
            </a:ext>
          </a:extLst>
        </xdr:cNvPr>
        <xdr:cNvCxnSpPr/>
      </xdr:nvCxnSpPr>
      <xdr:spPr>
        <a:xfrm>
          <a:off x="14385132" y="28372594"/>
          <a:ext cx="12057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353445</xdr:colOff>
      <xdr:row>151</xdr:row>
      <xdr:rowOff>118720</xdr:rowOff>
    </xdr:from>
    <xdr:to>
      <xdr:col>25</xdr:col>
      <xdr:colOff>335225</xdr:colOff>
      <xdr:row>151</xdr:row>
      <xdr:rowOff>118720</xdr:rowOff>
    </xdr:to>
    <xdr:cxnSp macro="">
      <xdr:nvCxnSpPr>
        <xdr:cNvPr id="166" name="Straight Arrow Connector 165">
          <a:extLst>
            <a:ext uri="{FF2B5EF4-FFF2-40B4-BE49-F238E27FC236}">
              <a16:creationId xmlns:a16="http://schemas.microsoft.com/office/drawing/2014/main" xmlns="" id="{00000000-0008-0000-0900-0000A6000000}"/>
            </a:ext>
          </a:extLst>
        </xdr:cNvPr>
        <xdr:cNvCxnSpPr/>
      </xdr:nvCxnSpPr>
      <xdr:spPr>
        <a:xfrm>
          <a:off x="14374245" y="29741470"/>
          <a:ext cx="12009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400050</xdr:colOff>
      <xdr:row>142</xdr:row>
      <xdr:rowOff>9525</xdr:rowOff>
    </xdr:from>
    <xdr:to>
      <xdr:col>27</xdr:col>
      <xdr:colOff>188522</xdr:colOff>
      <xdr:row>146</xdr:row>
      <xdr:rowOff>165086</xdr:rowOff>
    </xdr:to>
    <xdr:sp macro="" textlink="">
      <xdr:nvSpPr>
        <xdr:cNvPr id="167" name="Rectangle 166">
          <a:extLst>
            <a:ext uri="{FF2B5EF4-FFF2-40B4-BE49-F238E27FC236}">
              <a16:creationId xmlns:a16="http://schemas.microsoft.com/office/drawing/2014/main" xmlns="" id="{00000000-0008-0000-0900-0000A7000000}"/>
            </a:ext>
          </a:extLst>
        </xdr:cNvPr>
        <xdr:cNvSpPr/>
      </xdr:nvSpPr>
      <xdr:spPr>
        <a:xfrm>
          <a:off x="15640050" y="27917775"/>
          <a:ext cx="1007672"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Phase Seg. 1 Ext.</a:t>
          </a:r>
        </a:p>
        <a:p>
          <a:pPr algn="ctr"/>
          <a:r>
            <a:rPr lang="en-US" sz="900" baseline="0"/>
            <a:t>1+(0...31)</a:t>
          </a:r>
        </a:p>
        <a:p>
          <a:pPr algn="ctr"/>
          <a:r>
            <a:rPr lang="en-US" sz="900" baseline="0"/>
            <a:t>CAN1_CBT[EPSEG1]</a:t>
          </a:r>
          <a:endParaRPr lang="en-US" sz="900"/>
        </a:p>
      </xdr:txBody>
    </xdr:sp>
    <xdr:clientData/>
  </xdr:twoCellAnchor>
  <xdr:twoCellAnchor>
    <xdr:from>
      <xdr:col>27</xdr:col>
      <xdr:colOff>209550</xdr:colOff>
      <xdr:row>144</xdr:row>
      <xdr:rowOff>76200</xdr:rowOff>
    </xdr:from>
    <xdr:to>
      <xdr:col>31</xdr:col>
      <xdr:colOff>495299</xdr:colOff>
      <xdr:row>144</xdr:row>
      <xdr:rowOff>76200</xdr:rowOff>
    </xdr:to>
    <xdr:cxnSp macro="">
      <xdr:nvCxnSpPr>
        <xdr:cNvPr id="168" name="Straight Arrow Connector 167">
          <a:extLst>
            <a:ext uri="{FF2B5EF4-FFF2-40B4-BE49-F238E27FC236}">
              <a16:creationId xmlns:a16="http://schemas.microsoft.com/office/drawing/2014/main" xmlns="" id="{00000000-0008-0000-0900-0000A8000000}"/>
            </a:ext>
          </a:extLst>
        </xdr:cNvPr>
        <xdr:cNvCxnSpPr/>
      </xdr:nvCxnSpPr>
      <xdr:spPr>
        <a:xfrm>
          <a:off x="16668750" y="28365450"/>
          <a:ext cx="272414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400050</xdr:colOff>
      <xdr:row>149</xdr:row>
      <xdr:rowOff>9525</xdr:rowOff>
    </xdr:from>
    <xdr:to>
      <xdr:col>27</xdr:col>
      <xdr:colOff>188521</xdr:colOff>
      <xdr:row>153</xdr:row>
      <xdr:rowOff>161515</xdr:rowOff>
    </xdr:to>
    <xdr:sp macro="" textlink="">
      <xdr:nvSpPr>
        <xdr:cNvPr id="169" name="Rectangle 168">
          <a:extLst>
            <a:ext uri="{FF2B5EF4-FFF2-40B4-BE49-F238E27FC236}">
              <a16:creationId xmlns:a16="http://schemas.microsoft.com/office/drawing/2014/main" xmlns="" id="{00000000-0008-0000-0900-0000A9000000}"/>
            </a:ext>
          </a:extLst>
        </xdr:cNvPr>
        <xdr:cNvSpPr/>
      </xdr:nvSpPr>
      <xdr:spPr>
        <a:xfrm>
          <a:off x="15640050" y="29289375"/>
          <a:ext cx="1007671" cy="9139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Phase Seg. 2 Ext.</a:t>
          </a:r>
        </a:p>
        <a:p>
          <a:pPr algn="ctr"/>
          <a:r>
            <a:rPr lang="en-US" sz="900" baseline="0"/>
            <a:t>1+(0...31)</a:t>
          </a:r>
        </a:p>
        <a:p>
          <a:pPr algn="ctr"/>
          <a:r>
            <a:rPr lang="en-US" sz="900" baseline="0"/>
            <a:t>CAN1_CBT[EPSEG2]</a:t>
          </a:r>
          <a:endParaRPr lang="en-US" sz="900"/>
        </a:p>
      </xdr:txBody>
    </xdr:sp>
    <xdr:clientData/>
  </xdr:twoCellAnchor>
  <xdr:twoCellAnchor>
    <xdr:from>
      <xdr:col>27</xdr:col>
      <xdr:colOff>193222</xdr:colOff>
      <xdr:row>151</xdr:row>
      <xdr:rowOff>90653</xdr:rowOff>
    </xdr:from>
    <xdr:to>
      <xdr:col>31</xdr:col>
      <xdr:colOff>470808</xdr:colOff>
      <xdr:row>151</xdr:row>
      <xdr:rowOff>90653</xdr:rowOff>
    </xdr:to>
    <xdr:cxnSp macro="">
      <xdr:nvCxnSpPr>
        <xdr:cNvPr id="170" name="Straight Arrow Connector 169">
          <a:extLst>
            <a:ext uri="{FF2B5EF4-FFF2-40B4-BE49-F238E27FC236}">
              <a16:creationId xmlns:a16="http://schemas.microsoft.com/office/drawing/2014/main" xmlns="" id="{00000000-0008-0000-0900-0000AA000000}"/>
            </a:ext>
          </a:extLst>
        </xdr:cNvPr>
        <xdr:cNvCxnSpPr/>
      </xdr:nvCxnSpPr>
      <xdr:spPr>
        <a:xfrm>
          <a:off x="16652422" y="29751503"/>
          <a:ext cx="271598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400050</xdr:colOff>
      <xdr:row>163</xdr:row>
      <xdr:rowOff>66675</xdr:rowOff>
    </xdr:from>
    <xdr:to>
      <xdr:col>7</xdr:col>
      <xdr:colOff>177133</xdr:colOff>
      <xdr:row>168</xdr:row>
      <xdr:rowOff>160117</xdr:rowOff>
    </xdr:to>
    <xdr:sp macro="" textlink="">
      <xdr:nvSpPr>
        <xdr:cNvPr id="171" name="Rectangle 170">
          <a:extLst>
            <a:ext uri="{FF2B5EF4-FFF2-40B4-BE49-F238E27FC236}">
              <a16:creationId xmlns:a16="http://schemas.microsoft.com/office/drawing/2014/main" xmlns="" id="{00000000-0008-0000-0900-0000AB000000}"/>
            </a:ext>
          </a:extLst>
        </xdr:cNvPr>
        <xdr:cNvSpPr/>
      </xdr:nvSpPr>
      <xdr:spPr>
        <a:xfrm>
          <a:off x="3448050" y="32051625"/>
          <a:ext cx="996283" cy="10459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CAN1FD Enable </a:t>
          </a:r>
          <a:r>
            <a:rPr lang="en-US" sz="900" baseline="0"/>
            <a:t>CAN1_MCR[FDEN]</a:t>
          </a:r>
          <a:endParaRPr lang="en-US" sz="900"/>
        </a:p>
      </xdr:txBody>
    </xdr:sp>
    <xdr:clientData/>
  </xdr:twoCellAnchor>
  <xdr:twoCellAnchor>
    <xdr:from>
      <xdr:col>4</xdr:col>
      <xdr:colOff>314325</xdr:colOff>
      <xdr:row>165</xdr:row>
      <xdr:rowOff>145257</xdr:rowOff>
    </xdr:from>
    <xdr:to>
      <xdr:col>5</xdr:col>
      <xdr:colOff>386290</xdr:colOff>
      <xdr:row>165</xdr:row>
      <xdr:rowOff>145257</xdr:rowOff>
    </xdr:to>
    <xdr:cxnSp macro="">
      <xdr:nvCxnSpPr>
        <xdr:cNvPr id="172" name="Straight Arrow Connector 171">
          <a:extLst>
            <a:ext uri="{FF2B5EF4-FFF2-40B4-BE49-F238E27FC236}">
              <a16:creationId xmlns:a16="http://schemas.microsoft.com/office/drawing/2014/main" xmlns="" id="{00000000-0008-0000-0900-0000AC000000}"/>
            </a:ext>
          </a:extLst>
        </xdr:cNvPr>
        <xdr:cNvCxnSpPr/>
      </xdr:nvCxnSpPr>
      <xdr:spPr>
        <a:xfrm>
          <a:off x="2752725" y="32511207"/>
          <a:ext cx="6815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571500</xdr:colOff>
      <xdr:row>170</xdr:row>
      <xdr:rowOff>19050</xdr:rowOff>
    </xdr:from>
    <xdr:ext cx="1476498" cy="354111"/>
    <xdr:sp macro="" textlink="">
      <xdr:nvSpPr>
        <xdr:cNvPr id="173" name="TextBox 172">
          <a:extLst>
            <a:ext uri="{FF2B5EF4-FFF2-40B4-BE49-F238E27FC236}">
              <a16:creationId xmlns:a16="http://schemas.microsoft.com/office/drawing/2014/main" xmlns="" id="{00000000-0008-0000-0900-0000AD000000}"/>
            </a:ext>
          </a:extLst>
        </xdr:cNvPr>
        <xdr:cNvSpPr txBox="1"/>
      </xdr:nvSpPr>
      <xdr:spPr>
        <a:xfrm>
          <a:off x="3619500" y="33337500"/>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Disabled</a:t>
          </a:r>
          <a:endParaRPr lang="en-US" sz="800"/>
        </a:p>
        <a:p>
          <a:r>
            <a:rPr lang="en-US" sz="800"/>
            <a:t>1 - CANFD</a:t>
          </a:r>
          <a:r>
            <a:rPr lang="en-US" sz="800" baseline="0"/>
            <a:t> Enabled</a:t>
          </a:r>
          <a:endParaRPr lang="en-US" sz="800"/>
        </a:p>
      </xdr:txBody>
    </xdr:sp>
    <xdr:clientData/>
  </xdr:oneCellAnchor>
  <xdr:twoCellAnchor>
    <xdr:from>
      <xdr:col>7</xdr:col>
      <xdr:colOff>180975</xdr:colOff>
      <xdr:row>166</xdr:row>
      <xdr:rowOff>38100</xdr:rowOff>
    </xdr:from>
    <xdr:to>
      <xdr:col>9</xdr:col>
      <xdr:colOff>400050</xdr:colOff>
      <xdr:row>166</xdr:row>
      <xdr:rowOff>38100</xdr:rowOff>
    </xdr:to>
    <xdr:cxnSp macro="">
      <xdr:nvCxnSpPr>
        <xdr:cNvPr id="174" name="Straight Arrow Connector 173">
          <a:extLst>
            <a:ext uri="{FF2B5EF4-FFF2-40B4-BE49-F238E27FC236}">
              <a16:creationId xmlns:a16="http://schemas.microsoft.com/office/drawing/2014/main" xmlns="" id="{00000000-0008-0000-0900-0000AE000000}"/>
            </a:ext>
          </a:extLst>
        </xdr:cNvPr>
        <xdr:cNvCxnSpPr/>
      </xdr:nvCxnSpPr>
      <xdr:spPr>
        <a:xfrm>
          <a:off x="4448175" y="32594550"/>
          <a:ext cx="14382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400050</xdr:colOff>
      <xdr:row>163</xdr:row>
      <xdr:rowOff>133350</xdr:rowOff>
    </xdr:from>
    <xdr:to>
      <xdr:col>11</xdr:col>
      <xdr:colOff>177133</xdr:colOff>
      <xdr:row>168</xdr:row>
      <xdr:rowOff>155561</xdr:rowOff>
    </xdr:to>
    <xdr:sp macro="" textlink="">
      <xdr:nvSpPr>
        <xdr:cNvPr id="175" name="Rectangle 174">
          <a:extLst>
            <a:ext uri="{FF2B5EF4-FFF2-40B4-BE49-F238E27FC236}">
              <a16:creationId xmlns:a16="http://schemas.microsoft.com/office/drawing/2014/main" xmlns="" id="{00000000-0008-0000-0900-0000AF000000}"/>
            </a:ext>
          </a:extLst>
        </xdr:cNvPr>
        <xdr:cNvSpPr/>
      </xdr:nvSpPr>
      <xdr:spPr>
        <a:xfrm>
          <a:off x="5886450" y="32118300"/>
          <a:ext cx="996283" cy="9747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Bit Rate Switch</a:t>
          </a:r>
        </a:p>
        <a:p>
          <a:pPr algn="ctr"/>
          <a:r>
            <a:rPr lang="en-US" sz="900" baseline="0"/>
            <a:t>CAN1_FDCTRL[FDRATE]</a:t>
          </a:r>
          <a:endParaRPr lang="en-US" sz="900"/>
        </a:p>
      </xdr:txBody>
    </xdr:sp>
    <xdr:clientData/>
  </xdr:twoCellAnchor>
  <xdr:oneCellAnchor>
    <xdr:from>
      <xdr:col>9</xdr:col>
      <xdr:colOff>561975</xdr:colOff>
      <xdr:row>170</xdr:row>
      <xdr:rowOff>9525</xdr:rowOff>
    </xdr:from>
    <xdr:ext cx="1476498" cy="354111"/>
    <xdr:sp macro="" textlink="">
      <xdr:nvSpPr>
        <xdr:cNvPr id="176" name="TextBox 175">
          <a:extLst>
            <a:ext uri="{FF2B5EF4-FFF2-40B4-BE49-F238E27FC236}">
              <a16:creationId xmlns:a16="http://schemas.microsoft.com/office/drawing/2014/main" xmlns="" id="{00000000-0008-0000-0900-0000B0000000}"/>
            </a:ext>
          </a:extLst>
        </xdr:cNvPr>
        <xdr:cNvSpPr txBox="1"/>
      </xdr:nvSpPr>
      <xdr:spPr>
        <a:xfrm>
          <a:off x="6048375" y="33327975"/>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12</xdr:col>
      <xdr:colOff>400050</xdr:colOff>
      <xdr:row>163</xdr:row>
      <xdr:rowOff>152400</xdr:rowOff>
    </xdr:from>
    <xdr:to>
      <xdr:col>14</xdr:col>
      <xdr:colOff>177133</xdr:colOff>
      <xdr:row>168</xdr:row>
      <xdr:rowOff>174611</xdr:rowOff>
    </xdr:to>
    <xdr:sp macro="" textlink="">
      <xdr:nvSpPr>
        <xdr:cNvPr id="177" name="Rectangle 176">
          <a:extLst>
            <a:ext uri="{FF2B5EF4-FFF2-40B4-BE49-F238E27FC236}">
              <a16:creationId xmlns:a16="http://schemas.microsoft.com/office/drawing/2014/main" xmlns="" id="{00000000-0008-0000-0900-0000B1000000}"/>
            </a:ext>
          </a:extLst>
        </xdr:cNvPr>
        <xdr:cNvSpPr/>
      </xdr:nvSpPr>
      <xdr:spPr>
        <a:xfrm>
          <a:off x="7715250" y="32137350"/>
          <a:ext cx="996283" cy="9747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a:t>
          </a:r>
          <a:r>
            <a:rPr lang="en-US" sz="1100" baseline="0"/>
            <a:t> BRS</a:t>
          </a:r>
          <a:endParaRPr lang="en-US" sz="900"/>
        </a:p>
      </xdr:txBody>
    </xdr:sp>
    <xdr:clientData/>
  </xdr:twoCellAnchor>
  <xdr:twoCellAnchor>
    <xdr:from>
      <xdr:col>11</xdr:col>
      <xdr:colOff>200025</xdr:colOff>
      <xdr:row>166</xdr:row>
      <xdr:rowOff>85725</xdr:rowOff>
    </xdr:from>
    <xdr:to>
      <xdr:col>12</xdr:col>
      <xdr:colOff>381000</xdr:colOff>
      <xdr:row>166</xdr:row>
      <xdr:rowOff>85725</xdr:rowOff>
    </xdr:to>
    <xdr:cxnSp macro="">
      <xdr:nvCxnSpPr>
        <xdr:cNvPr id="178" name="Straight Arrow Connector 177">
          <a:extLst>
            <a:ext uri="{FF2B5EF4-FFF2-40B4-BE49-F238E27FC236}">
              <a16:creationId xmlns:a16="http://schemas.microsoft.com/office/drawing/2014/main" xmlns="" id="{00000000-0008-0000-0900-0000B2000000}"/>
            </a:ext>
          </a:extLst>
        </xdr:cNvPr>
        <xdr:cNvCxnSpPr/>
      </xdr:nvCxnSpPr>
      <xdr:spPr>
        <a:xfrm>
          <a:off x="6905625" y="32642175"/>
          <a:ext cx="7905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581024</xdr:colOff>
      <xdr:row>170</xdr:row>
      <xdr:rowOff>19050</xdr:rowOff>
    </xdr:from>
    <xdr:ext cx="1952625" cy="354111"/>
    <xdr:sp macro="" textlink="">
      <xdr:nvSpPr>
        <xdr:cNvPr id="179" name="TextBox 178">
          <a:extLst>
            <a:ext uri="{FF2B5EF4-FFF2-40B4-BE49-F238E27FC236}">
              <a16:creationId xmlns:a16="http://schemas.microsoft.com/office/drawing/2014/main" xmlns="" id="{00000000-0008-0000-0900-0000B3000000}"/>
            </a:ext>
          </a:extLst>
        </xdr:cNvPr>
        <xdr:cNvSpPr txBox="1"/>
      </xdr:nvSpPr>
      <xdr:spPr>
        <a:xfrm>
          <a:off x="7896224" y="33404175"/>
          <a:ext cx="1952625"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data phase use nominal settings</a:t>
          </a:r>
        </a:p>
        <a:p>
          <a:r>
            <a:rPr lang="en-US" sz="800"/>
            <a:t>1 - CANFD</a:t>
          </a:r>
          <a:r>
            <a:rPr lang="en-US" sz="800" baseline="0"/>
            <a:t> data phase use CANFD settings</a:t>
          </a:r>
          <a:endParaRPr lang="en-US" sz="800"/>
        </a:p>
      </xdr:txBody>
    </xdr:sp>
    <xdr:clientData/>
  </xdr:oneCellAnchor>
  <xdr:twoCellAnchor>
    <xdr:from>
      <xdr:col>14</xdr:col>
      <xdr:colOff>180975</xdr:colOff>
      <xdr:row>166</xdr:row>
      <xdr:rowOff>66675</xdr:rowOff>
    </xdr:from>
    <xdr:to>
      <xdr:col>15</xdr:col>
      <xdr:colOff>428625</xdr:colOff>
      <xdr:row>166</xdr:row>
      <xdr:rowOff>66675</xdr:rowOff>
    </xdr:to>
    <xdr:cxnSp macro="">
      <xdr:nvCxnSpPr>
        <xdr:cNvPr id="180" name="Straight Arrow Connector 179">
          <a:extLst>
            <a:ext uri="{FF2B5EF4-FFF2-40B4-BE49-F238E27FC236}">
              <a16:creationId xmlns:a16="http://schemas.microsoft.com/office/drawing/2014/main" xmlns="" id="{00000000-0008-0000-0900-0000B4000000}"/>
            </a:ext>
          </a:extLst>
        </xdr:cNvPr>
        <xdr:cNvCxnSpPr/>
      </xdr:nvCxnSpPr>
      <xdr:spPr>
        <a:xfrm>
          <a:off x="8715375" y="32623125"/>
          <a:ext cx="8572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428625</xdr:colOff>
      <xdr:row>163</xdr:row>
      <xdr:rowOff>123825</xdr:rowOff>
    </xdr:from>
    <xdr:to>
      <xdr:col>17</xdr:col>
      <xdr:colOff>205709</xdr:colOff>
      <xdr:row>168</xdr:row>
      <xdr:rowOff>162601</xdr:rowOff>
    </xdr:to>
    <xdr:sp macro="" textlink="">
      <xdr:nvSpPr>
        <xdr:cNvPr id="181" name="Rectangle 180">
          <a:extLst>
            <a:ext uri="{FF2B5EF4-FFF2-40B4-BE49-F238E27FC236}">
              <a16:creationId xmlns:a16="http://schemas.microsoft.com/office/drawing/2014/main" xmlns="" id="{00000000-0008-0000-0900-0000B5000000}"/>
            </a:ext>
          </a:extLst>
        </xdr:cNvPr>
        <xdr:cNvSpPr/>
      </xdr:nvSpPr>
      <xdr:spPr>
        <a:xfrm>
          <a:off x="9572625" y="32108775"/>
          <a:ext cx="996284" cy="9912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Sclock FD Prescaler</a:t>
          </a:r>
        </a:p>
        <a:p>
          <a:pPr algn="ctr"/>
          <a:r>
            <a:rPr lang="en-US" sz="900" baseline="0"/>
            <a:t>/(1+(0...1023))</a:t>
          </a:r>
        </a:p>
        <a:p>
          <a:pPr algn="ctr"/>
          <a:r>
            <a:rPr lang="en-US" sz="900" baseline="0"/>
            <a:t>CAN1_FDCBT[FPRESDIV]</a:t>
          </a:r>
          <a:endParaRPr lang="en-US" sz="900"/>
        </a:p>
      </xdr:txBody>
    </xdr:sp>
    <xdr:clientData/>
  </xdr:twoCellAnchor>
  <xdr:twoCellAnchor>
    <xdr:from>
      <xdr:col>17</xdr:col>
      <xdr:colOff>219075</xdr:colOff>
      <xdr:row>166</xdr:row>
      <xdr:rowOff>9525</xdr:rowOff>
    </xdr:from>
    <xdr:to>
      <xdr:col>19</xdr:col>
      <xdr:colOff>376445</xdr:colOff>
      <xdr:row>166</xdr:row>
      <xdr:rowOff>9525</xdr:rowOff>
    </xdr:to>
    <xdr:cxnSp macro="">
      <xdr:nvCxnSpPr>
        <xdr:cNvPr id="182" name="Straight Arrow Connector 181">
          <a:extLst>
            <a:ext uri="{FF2B5EF4-FFF2-40B4-BE49-F238E27FC236}">
              <a16:creationId xmlns:a16="http://schemas.microsoft.com/office/drawing/2014/main" xmlns="" id="{00000000-0008-0000-0900-0000B6000000}"/>
            </a:ext>
          </a:extLst>
        </xdr:cNvPr>
        <xdr:cNvCxnSpPr/>
      </xdr:nvCxnSpPr>
      <xdr:spPr>
        <a:xfrm>
          <a:off x="10582275" y="32565975"/>
          <a:ext cx="13765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257175</xdr:colOff>
      <xdr:row>163</xdr:row>
      <xdr:rowOff>57150</xdr:rowOff>
    </xdr:from>
    <xdr:ext cx="1416327" cy="319709"/>
    <xdr:sp macro="" textlink="">
      <xdr:nvSpPr>
        <xdr:cNvPr id="183" name="TextBox 182">
          <a:extLst>
            <a:ext uri="{FF2B5EF4-FFF2-40B4-BE49-F238E27FC236}">
              <a16:creationId xmlns:a16="http://schemas.microsoft.com/office/drawing/2014/main" xmlns="" id="{00000000-0008-0000-0900-0000B7000000}"/>
            </a:ext>
          </a:extLst>
        </xdr:cNvPr>
        <xdr:cNvSpPr txBox="1"/>
      </xdr:nvSpPr>
      <xdr:spPr>
        <a:xfrm>
          <a:off x="10620375" y="32042100"/>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CAN1 Sclock_FD</a:t>
          </a:r>
        </a:p>
      </xdr:txBody>
    </xdr:sp>
    <xdr:clientData/>
  </xdr:oneCellAnchor>
  <xdr:twoCellAnchor>
    <xdr:from>
      <xdr:col>19</xdr:col>
      <xdr:colOff>409575</xdr:colOff>
      <xdr:row>163</xdr:row>
      <xdr:rowOff>171450</xdr:rowOff>
    </xdr:from>
    <xdr:to>
      <xdr:col>21</xdr:col>
      <xdr:colOff>186659</xdr:colOff>
      <xdr:row>168</xdr:row>
      <xdr:rowOff>160530</xdr:rowOff>
    </xdr:to>
    <xdr:sp macro="" textlink="">
      <xdr:nvSpPr>
        <xdr:cNvPr id="184" name="Rectangle 183">
          <a:extLst>
            <a:ext uri="{FF2B5EF4-FFF2-40B4-BE49-F238E27FC236}">
              <a16:creationId xmlns:a16="http://schemas.microsoft.com/office/drawing/2014/main" xmlns="" id="{00000000-0008-0000-0900-0000B8000000}"/>
            </a:ext>
          </a:extLst>
        </xdr:cNvPr>
        <xdr:cNvSpPr/>
      </xdr:nvSpPr>
      <xdr:spPr>
        <a:xfrm>
          <a:off x="11991975" y="32156400"/>
          <a:ext cx="996284" cy="979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FD Jump Width</a:t>
          </a:r>
        </a:p>
        <a:p>
          <a:pPr algn="ctr"/>
          <a:r>
            <a:rPr lang="en-US" sz="900" baseline="0"/>
            <a:t>1+(0...7)</a:t>
          </a:r>
        </a:p>
        <a:p>
          <a:pPr algn="ctr"/>
          <a:r>
            <a:rPr lang="en-US" sz="900" baseline="0"/>
            <a:t>CAN1_FDCBT[FRJW]</a:t>
          </a:r>
          <a:endParaRPr lang="en-US" sz="900"/>
        </a:p>
      </xdr:txBody>
    </xdr:sp>
    <xdr:clientData/>
  </xdr:twoCellAnchor>
  <xdr:twoCellAnchor>
    <xdr:from>
      <xdr:col>21</xdr:col>
      <xdr:colOff>200025</xdr:colOff>
      <xdr:row>166</xdr:row>
      <xdr:rowOff>19050</xdr:rowOff>
    </xdr:from>
    <xdr:to>
      <xdr:col>25</xdr:col>
      <xdr:colOff>373864</xdr:colOff>
      <xdr:row>166</xdr:row>
      <xdr:rowOff>19050</xdr:rowOff>
    </xdr:to>
    <xdr:cxnSp macro="">
      <xdr:nvCxnSpPr>
        <xdr:cNvPr id="185" name="Straight Arrow Connector 184">
          <a:extLst>
            <a:ext uri="{FF2B5EF4-FFF2-40B4-BE49-F238E27FC236}">
              <a16:creationId xmlns:a16="http://schemas.microsoft.com/office/drawing/2014/main" xmlns="" id="{00000000-0008-0000-0900-0000B9000000}"/>
            </a:ext>
          </a:extLst>
        </xdr:cNvPr>
        <xdr:cNvCxnSpPr/>
      </xdr:nvCxnSpPr>
      <xdr:spPr>
        <a:xfrm>
          <a:off x="13001625" y="32575500"/>
          <a:ext cx="26122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419100</xdr:colOff>
      <xdr:row>163</xdr:row>
      <xdr:rowOff>171450</xdr:rowOff>
    </xdr:from>
    <xdr:to>
      <xdr:col>27</xdr:col>
      <xdr:colOff>196183</xdr:colOff>
      <xdr:row>168</xdr:row>
      <xdr:rowOff>160530</xdr:rowOff>
    </xdr:to>
    <xdr:sp macro="" textlink="">
      <xdr:nvSpPr>
        <xdr:cNvPr id="186" name="Rectangle 185">
          <a:extLst>
            <a:ext uri="{FF2B5EF4-FFF2-40B4-BE49-F238E27FC236}">
              <a16:creationId xmlns:a16="http://schemas.microsoft.com/office/drawing/2014/main" xmlns="" id="{00000000-0008-0000-0900-0000BA000000}"/>
            </a:ext>
          </a:extLst>
        </xdr:cNvPr>
        <xdr:cNvSpPr/>
      </xdr:nvSpPr>
      <xdr:spPr>
        <a:xfrm>
          <a:off x="15659100" y="32156400"/>
          <a:ext cx="996283" cy="9415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FD Prop. Seg.</a:t>
          </a:r>
        </a:p>
        <a:p>
          <a:pPr algn="ctr"/>
          <a:r>
            <a:rPr lang="en-US" sz="900" baseline="0"/>
            <a:t>0...31</a:t>
          </a:r>
        </a:p>
        <a:p>
          <a:pPr algn="ctr"/>
          <a:r>
            <a:rPr lang="en-US" sz="900" baseline="0"/>
            <a:t>CAN1_FDCBT[FPROPSEG]</a:t>
          </a:r>
          <a:endParaRPr lang="en-US" sz="900"/>
        </a:p>
      </xdr:txBody>
    </xdr:sp>
    <xdr:clientData/>
  </xdr:twoCellAnchor>
  <xdr:twoCellAnchor>
    <xdr:from>
      <xdr:col>27</xdr:col>
      <xdr:colOff>200025</xdr:colOff>
      <xdr:row>166</xdr:row>
      <xdr:rowOff>28575</xdr:rowOff>
    </xdr:from>
    <xdr:to>
      <xdr:col>31</xdr:col>
      <xdr:colOff>485775</xdr:colOff>
      <xdr:row>166</xdr:row>
      <xdr:rowOff>28575</xdr:rowOff>
    </xdr:to>
    <xdr:cxnSp macro="">
      <xdr:nvCxnSpPr>
        <xdr:cNvPr id="187" name="Straight Arrow Connector 186">
          <a:extLst>
            <a:ext uri="{FF2B5EF4-FFF2-40B4-BE49-F238E27FC236}">
              <a16:creationId xmlns:a16="http://schemas.microsoft.com/office/drawing/2014/main" xmlns="" id="{00000000-0008-0000-0900-0000BB000000}"/>
            </a:ext>
          </a:extLst>
        </xdr:cNvPr>
        <xdr:cNvCxnSpPr/>
      </xdr:nvCxnSpPr>
      <xdr:spPr>
        <a:xfrm>
          <a:off x="16659225" y="32585025"/>
          <a:ext cx="27241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371475</xdr:colOff>
      <xdr:row>166</xdr:row>
      <xdr:rowOff>9525</xdr:rowOff>
    </xdr:from>
    <xdr:to>
      <xdr:col>23</xdr:col>
      <xdr:colOff>371475</xdr:colOff>
      <xdr:row>181</xdr:row>
      <xdr:rowOff>168965</xdr:rowOff>
    </xdr:to>
    <xdr:cxnSp macro="">
      <xdr:nvCxnSpPr>
        <xdr:cNvPr id="188" name="Straight Arrow Connector 187">
          <a:extLst>
            <a:ext uri="{FF2B5EF4-FFF2-40B4-BE49-F238E27FC236}">
              <a16:creationId xmlns:a16="http://schemas.microsoft.com/office/drawing/2014/main" xmlns="" id="{00000000-0008-0000-0900-0000BC000000}"/>
            </a:ext>
          </a:extLst>
        </xdr:cNvPr>
        <xdr:cNvCxnSpPr/>
      </xdr:nvCxnSpPr>
      <xdr:spPr>
        <a:xfrm flipV="1">
          <a:off x="14392275" y="32565975"/>
          <a:ext cx="0" cy="301694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419103</xdr:colOff>
      <xdr:row>172</xdr:row>
      <xdr:rowOff>15483</xdr:rowOff>
    </xdr:from>
    <xdr:to>
      <xdr:col>27</xdr:col>
      <xdr:colOff>196186</xdr:colOff>
      <xdr:row>176</xdr:row>
      <xdr:rowOff>171044</xdr:rowOff>
    </xdr:to>
    <xdr:sp macro="" textlink="">
      <xdr:nvSpPr>
        <xdr:cNvPr id="189" name="Rectangle 188">
          <a:extLst>
            <a:ext uri="{FF2B5EF4-FFF2-40B4-BE49-F238E27FC236}">
              <a16:creationId xmlns:a16="http://schemas.microsoft.com/office/drawing/2014/main" xmlns="" id="{00000000-0008-0000-0900-0000BD000000}"/>
            </a:ext>
          </a:extLst>
        </xdr:cNvPr>
        <xdr:cNvSpPr/>
      </xdr:nvSpPr>
      <xdr:spPr>
        <a:xfrm>
          <a:off x="15659103" y="33791133"/>
          <a:ext cx="996283"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FD Phase Seg. 1</a:t>
          </a:r>
        </a:p>
        <a:p>
          <a:pPr algn="ctr"/>
          <a:r>
            <a:rPr lang="en-US" sz="900" baseline="0"/>
            <a:t>1+(0...7)</a:t>
          </a:r>
        </a:p>
        <a:p>
          <a:pPr algn="ctr"/>
          <a:r>
            <a:rPr lang="en-US" sz="900" baseline="0"/>
            <a:t>CAN1_CBT[FPSEG1]</a:t>
          </a:r>
          <a:endParaRPr lang="en-US" sz="900"/>
        </a:p>
      </xdr:txBody>
    </xdr:sp>
    <xdr:clientData/>
  </xdr:twoCellAnchor>
  <xdr:twoCellAnchor>
    <xdr:from>
      <xdr:col>23</xdr:col>
      <xdr:colOff>371251</xdr:colOff>
      <xdr:row>174</xdr:row>
      <xdr:rowOff>120258</xdr:rowOff>
    </xdr:from>
    <xdr:to>
      <xdr:col>25</xdr:col>
      <xdr:colOff>409575</xdr:colOff>
      <xdr:row>174</xdr:row>
      <xdr:rowOff>120258</xdr:rowOff>
    </xdr:to>
    <xdr:cxnSp macro="">
      <xdr:nvCxnSpPr>
        <xdr:cNvPr id="190" name="Straight Arrow Connector 189">
          <a:extLst>
            <a:ext uri="{FF2B5EF4-FFF2-40B4-BE49-F238E27FC236}">
              <a16:creationId xmlns:a16="http://schemas.microsoft.com/office/drawing/2014/main" xmlns="" id="{00000000-0008-0000-0900-0000BE000000}"/>
            </a:ext>
          </a:extLst>
        </xdr:cNvPr>
        <xdr:cNvCxnSpPr/>
      </xdr:nvCxnSpPr>
      <xdr:spPr>
        <a:xfrm>
          <a:off x="14392051" y="34200708"/>
          <a:ext cx="12575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219078</xdr:colOff>
      <xdr:row>174</xdr:row>
      <xdr:rowOff>110733</xdr:rowOff>
    </xdr:from>
    <xdr:to>
      <xdr:col>31</xdr:col>
      <xdr:colOff>495300</xdr:colOff>
      <xdr:row>174</xdr:row>
      <xdr:rowOff>110733</xdr:rowOff>
    </xdr:to>
    <xdr:cxnSp macro="">
      <xdr:nvCxnSpPr>
        <xdr:cNvPr id="191" name="Straight Arrow Connector 190">
          <a:extLst>
            <a:ext uri="{FF2B5EF4-FFF2-40B4-BE49-F238E27FC236}">
              <a16:creationId xmlns:a16="http://schemas.microsoft.com/office/drawing/2014/main" xmlns="" id="{00000000-0008-0000-0900-0000BF000000}"/>
            </a:ext>
          </a:extLst>
        </xdr:cNvPr>
        <xdr:cNvCxnSpPr/>
      </xdr:nvCxnSpPr>
      <xdr:spPr>
        <a:xfrm>
          <a:off x="16678278" y="34191183"/>
          <a:ext cx="27146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428625</xdr:colOff>
      <xdr:row>179</xdr:row>
      <xdr:rowOff>0</xdr:rowOff>
    </xdr:from>
    <xdr:to>
      <xdr:col>27</xdr:col>
      <xdr:colOff>205708</xdr:colOff>
      <xdr:row>183</xdr:row>
      <xdr:rowOff>173368</xdr:rowOff>
    </xdr:to>
    <xdr:sp macro="" textlink="">
      <xdr:nvSpPr>
        <xdr:cNvPr id="192" name="Rectangle 191">
          <a:extLst>
            <a:ext uri="{FF2B5EF4-FFF2-40B4-BE49-F238E27FC236}">
              <a16:creationId xmlns:a16="http://schemas.microsoft.com/office/drawing/2014/main" xmlns="" id="{00000000-0008-0000-0900-0000C0000000}"/>
            </a:ext>
          </a:extLst>
        </xdr:cNvPr>
        <xdr:cNvSpPr/>
      </xdr:nvSpPr>
      <xdr:spPr>
        <a:xfrm>
          <a:off x="15668625" y="35147250"/>
          <a:ext cx="996283" cy="9353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CAN1 FD Phase Seg. 2 </a:t>
          </a:r>
        </a:p>
        <a:p>
          <a:pPr algn="ctr"/>
          <a:r>
            <a:rPr lang="en-US" sz="900" baseline="0"/>
            <a:t>1+(0...7)</a:t>
          </a:r>
        </a:p>
        <a:p>
          <a:pPr algn="ctr"/>
          <a:r>
            <a:rPr lang="en-US" sz="900" baseline="0"/>
            <a:t>CAN1_CBT[FPSEG2]</a:t>
          </a:r>
          <a:endParaRPr lang="en-US" sz="900"/>
        </a:p>
      </xdr:txBody>
    </xdr:sp>
    <xdr:clientData/>
  </xdr:twoCellAnchor>
  <xdr:twoCellAnchor>
    <xdr:from>
      <xdr:col>23</xdr:col>
      <xdr:colOff>371478</xdr:colOff>
      <xdr:row>181</xdr:row>
      <xdr:rowOff>167883</xdr:rowOff>
    </xdr:from>
    <xdr:to>
      <xdr:col>25</xdr:col>
      <xdr:colOff>409575</xdr:colOff>
      <xdr:row>181</xdr:row>
      <xdr:rowOff>167883</xdr:rowOff>
    </xdr:to>
    <xdr:cxnSp macro="">
      <xdr:nvCxnSpPr>
        <xdr:cNvPr id="193" name="Straight Arrow Connector 192">
          <a:extLst>
            <a:ext uri="{FF2B5EF4-FFF2-40B4-BE49-F238E27FC236}">
              <a16:creationId xmlns:a16="http://schemas.microsoft.com/office/drawing/2014/main" xmlns="" id="{00000000-0008-0000-0900-0000C1000000}"/>
            </a:ext>
          </a:extLst>
        </xdr:cNvPr>
        <xdr:cNvCxnSpPr/>
      </xdr:nvCxnSpPr>
      <xdr:spPr>
        <a:xfrm>
          <a:off x="14392278" y="35581833"/>
          <a:ext cx="125729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219078</xdr:colOff>
      <xdr:row>181</xdr:row>
      <xdr:rowOff>148833</xdr:rowOff>
    </xdr:from>
    <xdr:to>
      <xdr:col>31</xdr:col>
      <xdr:colOff>495300</xdr:colOff>
      <xdr:row>181</xdr:row>
      <xdr:rowOff>148833</xdr:rowOff>
    </xdr:to>
    <xdr:cxnSp macro="">
      <xdr:nvCxnSpPr>
        <xdr:cNvPr id="194" name="Straight Arrow Connector 193">
          <a:extLst>
            <a:ext uri="{FF2B5EF4-FFF2-40B4-BE49-F238E27FC236}">
              <a16:creationId xmlns:a16="http://schemas.microsoft.com/office/drawing/2014/main" xmlns="" id="{00000000-0008-0000-0900-0000C2000000}"/>
            </a:ext>
          </a:extLst>
        </xdr:cNvPr>
        <xdr:cNvCxnSpPr/>
      </xdr:nvCxnSpPr>
      <xdr:spPr>
        <a:xfrm>
          <a:off x="16678278" y="35562783"/>
          <a:ext cx="27146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582708</xdr:colOff>
      <xdr:row>107</xdr:row>
      <xdr:rowOff>22413</xdr:rowOff>
    </xdr:from>
    <xdr:ext cx="419101" cy="1221442"/>
    <xdr:sp macro="" textlink="">
      <xdr:nvSpPr>
        <xdr:cNvPr id="197" name="TextBox 196">
          <a:extLst>
            <a:ext uri="{FF2B5EF4-FFF2-40B4-BE49-F238E27FC236}">
              <a16:creationId xmlns:a16="http://schemas.microsoft.com/office/drawing/2014/main" xmlns="" id="{00000000-0008-0000-0900-0000C5000000}"/>
            </a:ext>
          </a:extLst>
        </xdr:cNvPr>
        <xdr:cNvSpPr txBox="1"/>
      </xdr:nvSpPr>
      <xdr:spPr>
        <a:xfrm rot="5400000">
          <a:off x="23346338" y="2747683"/>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39</xdr:col>
      <xdr:colOff>62756</xdr:colOff>
      <xdr:row>123</xdr:row>
      <xdr:rowOff>76759</xdr:rowOff>
    </xdr:from>
    <xdr:ext cx="419101" cy="2353237"/>
    <xdr:sp macro="" textlink="">
      <xdr:nvSpPr>
        <xdr:cNvPr id="198" name="TextBox 197">
          <a:extLst>
            <a:ext uri="{FF2B5EF4-FFF2-40B4-BE49-F238E27FC236}">
              <a16:creationId xmlns:a16="http://schemas.microsoft.com/office/drawing/2014/main" xmlns="" id="{00000000-0008-0000-0900-0000C6000000}"/>
            </a:ext>
          </a:extLst>
        </xdr:cNvPr>
        <xdr:cNvSpPr txBox="1"/>
      </xdr:nvSpPr>
      <xdr:spPr>
        <a:xfrm rot="5400000">
          <a:off x="22870088" y="25189702"/>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39</xdr:col>
      <xdr:colOff>118782</xdr:colOff>
      <xdr:row>147</xdr:row>
      <xdr:rowOff>129427</xdr:rowOff>
    </xdr:from>
    <xdr:ext cx="419101" cy="2353237"/>
    <xdr:sp macro="" textlink="">
      <xdr:nvSpPr>
        <xdr:cNvPr id="199" name="TextBox 198">
          <a:extLst>
            <a:ext uri="{FF2B5EF4-FFF2-40B4-BE49-F238E27FC236}">
              <a16:creationId xmlns:a16="http://schemas.microsoft.com/office/drawing/2014/main" xmlns="" id="{00000000-0008-0000-0900-0000C7000000}"/>
            </a:ext>
          </a:extLst>
        </xdr:cNvPr>
        <xdr:cNvSpPr txBox="1"/>
      </xdr:nvSpPr>
      <xdr:spPr>
        <a:xfrm rot="5400000">
          <a:off x="22926114" y="29966770"/>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twoCellAnchor>
    <xdr:from>
      <xdr:col>36</xdr:col>
      <xdr:colOff>549409</xdr:colOff>
      <xdr:row>115</xdr:row>
      <xdr:rowOff>9525</xdr:rowOff>
    </xdr:from>
    <xdr:to>
      <xdr:col>37</xdr:col>
      <xdr:colOff>570219</xdr:colOff>
      <xdr:row>163</xdr:row>
      <xdr:rowOff>131188</xdr:rowOff>
    </xdr:to>
    <xdr:sp macro="" textlink="">
      <xdr:nvSpPr>
        <xdr:cNvPr id="200" name="Left Brace 199">
          <a:extLst>
            <a:ext uri="{FF2B5EF4-FFF2-40B4-BE49-F238E27FC236}">
              <a16:creationId xmlns:a16="http://schemas.microsoft.com/office/drawing/2014/main" xmlns="" id="{00000000-0008-0000-0900-0000C8000000}"/>
            </a:ext>
          </a:extLst>
        </xdr:cNvPr>
        <xdr:cNvSpPr/>
      </xdr:nvSpPr>
      <xdr:spPr>
        <a:xfrm>
          <a:off x="22495009" y="22583775"/>
          <a:ext cx="630410" cy="9532363"/>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555811</xdr:colOff>
      <xdr:row>131</xdr:row>
      <xdr:rowOff>63151</xdr:rowOff>
    </xdr:from>
    <xdr:ext cx="595995" cy="3006379"/>
    <xdr:sp macro="" textlink="">
      <xdr:nvSpPr>
        <xdr:cNvPr id="201" name="TextBox 200">
          <a:extLst>
            <a:ext uri="{FF2B5EF4-FFF2-40B4-BE49-F238E27FC236}">
              <a16:creationId xmlns:a16="http://schemas.microsoft.com/office/drawing/2014/main" xmlns="" id="{00000000-0008-0000-0900-0000C9000000}"/>
            </a:ext>
          </a:extLst>
        </xdr:cNvPr>
        <xdr:cNvSpPr txBox="1"/>
      </xdr:nvSpPr>
      <xdr:spPr>
        <a:xfrm rot="16200000">
          <a:off x="20686619" y="26995368"/>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oneCellAnchor>
    <xdr:from>
      <xdr:col>39</xdr:col>
      <xdr:colOff>85165</xdr:colOff>
      <xdr:row>167</xdr:row>
      <xdr:rowOff>99171</xdr:rowOff>
    </xdr:from>
    <xdr:ext cx="419101" cy="2353237"/>
    <xdr:sp macro="" textlink="">
      <xdr:nvSpPr>
        <xdr:cNvPr id="202" name="TextBox 201">
          <a:extLst>
            <a:ext uri="{FF2B5EF4-FFF2-40B4-BE49-F238E27FC236}">
              <a16:creationId xmlns:a16="http://schemas.microsoft.com/office/drawing/2014/main" xmlns="" id="{00000000-0008-0000-0900-0000CA000000}"/>
            </a:ext>
          </a:extLst>
        </xdr:cNvPr>
        <xdr:cNvSpPr txBox="1"/>
      </xdr:nvSpPr>
      <xdr:spPr>
        <a:xfrm rot="5400000">
          <a:off x="22892497" y="33851289"/>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37</xdr:col>
      <xdr:colOff>10301</xdr:colOff>
      <xdr:row>164</xdr:row>
      <xdr:rowOff>30255</xdr:rowOff>
    </xdr:from>
    <xdr:to>
      <xdr:col>37</xdr:col>
      <xdr:colOff>571738</xdr:colOff>
      <xdr:row>182</xdr:row>
      <xdr:rowOff>155200</xdr:rowOff>
    </xdr:to>
    <xdr:sp macro="" textlink="">
      <xdr:nvSpPr>
        <xdr:cNvPr id="203" name="Left Brace 202">
          <a:extLst>
            <a:ext uri="{FF2B5EF4-FFF2-40B4-BE49-F238E27FC236}">
              <a16:creationId xmlns:a16="http://schemas.microsoft.com/office/drawing/2014/main" xmlns="" id="{00000000-0008-0000-0900-0000CB000000}"/>
            </a:ext>
          </a:extLst>
        </xdr:cNvPr>
        <xdr:cNvSpPr/>
      </xdr:nvSpPr>
      <xdr:spPr>
        <a:xfrm>
          <a:off x="22565501" y="32205705"/>
          <a:ext cx="561437" cy="3668245"/>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533400</xdr:colOff>
      <xdr:row>165</xdr:row>
      <xdr:rowOff>20729</xdr:rowOff>
    </xdr:from>
    <xdr:ext cx="595995" cy="3006379"/>
    <xdr:sp macro="" textlink="">
      <xdr:nvSpPr>
        <xdr:cNvPr id="204" name="TextBox 203">
          <a:extLst>
            <a:ext uri="{FF2B5EF4-FFF2-40B4-BE49-F238E27FC236}">
              <a16:creationId xmlns:a16="http://schemas.microsoft.com/office/drawing/2014/main" xmlns="" id="{00000000-0008-0000-0900-0000CC000000}"/>
            </a:ext>
          </a:extLst>
        </xdr:cNvPr>
        <xdr:cNvSpPr txBox="1"/>
      </xdr:nvSpPr>
      <xdr:spPr>
        <a:xfrm rot="16200000">
          <a:off x="20664208" y="33601396"/>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oneCellAnchor>
    <xdr:from>
      <xdr:col>1</xdr:col>
      <xdr:colOff>57978</xdr:colOff>
      <xdr:row>194</xdr:row>
      <xdr:rowOff>140804</xdr:rowOff>
    </xdr:from>
    <xdr:ext cx="1195551" cy="266700"/>
    <xdr:sp macro="" textlink="">
      <xdr:nvSpPr>
        <xdr:cNvPr id="206" name="TextBox 205">
          <a:hlinkClick xmlns:r="http://schemas.openxmlformats.org/officeDocument/2006/relationships" r:id="rId6"/>
          <a:extLst>
            <a:ext uri="{FF2B5EF4-FFF2-40B4-BE49-F238E27FC236}">
              <a16:creationId xmlns:a16="http://schemas.microsoft.com/office/drawing/2014/main" xmlns="" id="{00000000-0008-0000-0900-0000CE000000}"/>
            </a:ext>
          </a:extLst>
        </xdr:cNvPr>
        <xdr:cNvSpPr txBox="1"/>
      </xdr:nvSpPr>
      <xdr:spPr>
        <a:xfrm>
          <a:off x="670891" y="38042021"/>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CAN2 BIU Clock</a:t>
          </a:r>
        </a:p>
      </xdr:txBody>
    </xdr:sp>
    <xdr:clientData/>
  </xdr:oneCellAnchor>
  <xdr:oneCellAnchor>
    <xdr:from>
      <xdr:col>1</xdr:col>
      <xdr:colOff>57978</xdr:colOff>
      <xdr:row>198</xdr:row>
      <xdr:rowOff>175673</xdr:rowOff>
    </xdr:from>
    <xdr:ext cx="1195551" cy="266700"/>
    <xdr:sp macro="" textlink="">
      <xdr:nvSpPr>
        <xdr:cNvPr id="207" name="TextBox 206">
          <a:hlinkClick xmlns:r="http://schemas.openxmlformats.org/officeDocument/2006/relationships" r:id="rId2"/>
          <a:extLst>
            <a:ext uri="{FF2B5EF4-FFF2-40B4-BE49-F238E27FC236}">
              <a16:creationId xmlns:a16="http://schemas.microsoft.com/office/drawing/2014/main" xmlns="" id="{00000000-0008-0000-0900-0000CF000000}"/>
            </a:ext>
          </a:extLst>
        </xdr:cNvPr>
        <xdr:cNvSpPr txBox="1"/>
      </xdr:nvSpPr>
      <xdr:spPr>
        <a:xfrm>
          <a:off x="670891" y="38838890"/>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CAN2 CHI Clock</a:t>
          </a:r>
        </a:p>
      </xdr:txBody>
    </xdr:sp>
    <xdr:clientData/>
  </xdr:oneCellAnchor>
  <xdr:oneCellAnchor>
    <xdr:from>
      <xdr:col>1</xdr:col>
      <xdr:colOff>68694</xdr:colOff>
      <xdr:row>202</xdr:row>
      <xdr:rowOff>177788</xdr:rowOff>
    </xdr:from>
    <xdr:ext cx="1195551" cy="266700"/>
    <xdr:sp macro="" textlink="">
      <xdr:nvSpPr>
        <xdr:cNvPr id="208" name="TextBox 207">
          <a:hlinkClick xmlns:r="http://schemas.openxmlformats.org/officeDocument/2006/relationships" r:id="rId7"/>
          <a:extLst>
            <a:ext uri="{FF2B5EF4-FFF2-40B4-BE49-F238E27FC236}">
              <a16:creationId xmlns:a16="http://schemas.microsoft.com/office/drawing/2014/main" xmlns="" id="{00000000-0008-0000-0900-0000D0000000}"/>
            </a:ext>
          </a:extLst>
        </xdr:cNvPr>
        <xdr:cNvSpPr txBox="1"/>
      </xdr:nvSpPr>
      <xdr:spPr>
        <a:xfrm>
          <a:off x="681607" y="39669266"/>
          <a:ext cx="1195551"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CAN2 PE Clock</a:t>
          </a:r>
        </a:p>
      </xdr:txBody>
    </xdr:sp>
    <xdr:clientData/>
  </xdr:oneCellAnchor>
  <xdr:oneCellAnchor>
    <xdr:from>
      <xdr:col>0</xdr:col>
      <xdr:colOff>585107</xdr:colOff>
      <xdr:row>191</xdr:row>
      <xdr:rowOff>54428</xdr:rowOff>
    </xdr:from>
    <xdr:ext cx="1933575" cy="428625"/>
    <xdr:sp macro="" textlink="">
      <xdr:nvSpPr>
        <xdr:cNvPr id="209" name="TextBox 208">
          <a:extLst>
            <a:ext uri="{FF2B5EF4-FFF2-40B4-BE49-F238E27FC236}">
              <a16:creationId xmlns:a16="http://schemas.microsoft.com/office/drawing/2014/main" xmlns="" id="{00000000-0008-0000-0900-0000D1000000}"/>
            </a:ext>
          </a:extLst>
        </xdr:cNvPr>
        <xdr:cNvSpPr txBox="1"/>
      </xdr:nvSpPr>
      <xdr:spPr>
        <a:xfrm>
          <a:off x="585107" y="37596535"/>
          <a:ext cx="1933575" cy="42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FlexCAN2</a:t>
          </a:r>
        </a:p>
      </xdr:txBody>
    </xdr:sp>
    <xdr:clientData/>
  </xdr:oneCellAnchor>
  <xdr:twoCellAnchor>
    <xdr:from>
      <xdr:col>4</xdr:col>
      <xdr:colOff>0</xdr:colOff>
      <xdr:row>195</xdr:row>
      <xdr:rowOff>99389</xdr:rowOff>
    </xdr:from>
    <xdr:to>
      <xdr:col>31</xdr:col>
      <xdr:colOff>472258</xdr:colOff>
      <xdr:row>195</xdr:row>
      <xdr:rowOff>99389</xdr:rowOff>
    </xdr:to>
    <xdr:cxnSp macro="">
      <xdr:nvCxnSpPr>
        <xdr:cNvPr id="211" name="Straight Arrow Connector 210">
          <a:extLst>
            <a:ext uri="{FF2B5EF4-FFF2-40B4-BE49-F238E27FC236}">
              <a16:creationId xmlns:a16="http://schemas.microsoft.com/office/drawing/2014/main" xmlns="" id="{00000000-0008-0000-0900-0000D3000000}"/>
            </a:ext>
          </a:extLst>
        </xdr:cNvPr>
        <xdr:cNvCxnSpPr/>
      </xdr:nvCxnSpPr>
      <xdr:spPr>
        <a:xfrm>
          <a:off x="2451652" y="38199389"/>
          <a:ext cx="1702091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8282</xdr:colOff>
      <xdr:row>199</xdr:row>
      <xdr:rowOff>77958</xdr:rowOff>
    </xdr:from>
    <xdr:to>
      <xdr:col>31</xdr:col>
      <xdr:colOff>491308</xdr:colOff>
      <xdr:row>199</xdr:row>
      <xdr:rowOff>77958</xdr:rowOff>
    </xdr:to>
    <xdr:cxnSp macro="">
      <xdr:nvCxnSpPr>
        <xdr:cNvPr id="212" name="Straight Arrow Connector 211">
          <a:extLst>
            <a:ext uri="{FF2B5EF4-FFF2-40B4-BE49-F238E27FC236}">
              <a16:creationId xmlns:a16="http://schemas.microsoft.com/office/drawing/2014/main" xmlns="" id="{00000000-0008-0000-0900-0000D4000000}"/>
            </a:ext>
          </a:extLst>
        </xdr:cNvPr>
        <xdr:cNvCxnSpPr/>
      </xdr:nvCxnSpPr>
      <xdr:spPr>
        <a:xfrm>
          <a:off x="2459934" y="38973088"/>
          <a:ext cx="170316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8282</xdr:colOff>
      <xdr:row>203</xdr:row>
      <xdr:rowOff>99390</xdr:rowOff>
    </xdr:from>
    <xdr:to>
      <xdr:col>7</xdr:col>
      <xdr:colOff>392504</xdr:colOff>
      <xdr:row>203</xdr:row>
      <xdr:rowOff>99390</xdr:rowOff>
    </xdr:to>
    <xdr:cxnSp macro="">
      <xdr:nvCxnSpPr>
        <xdr:cNvPr id="213" name="Straight Arrow Connector 212">
          <a:extLst>
            <a:ext uri="{FF2B5EF4-FFF2-40B4-BE49-F238E27FC236}">
              <a16:creationId xmlns:a16="http://schemas.microsoft.com/office/drawing/2014/main" xmlns="" id="{00000000-0008-0000-0900-0000D5000000}"/>
            </a:ext>
          </a:extLst>
        </xdr:cNvPr>
        <xdr:cNvCxnSpPr/>
      </xdr:nvCxnSpPr>
      <xdr:spPr>
        <a:xfrm>
          <a:off x="2459934" y="39789651"/>
          <a:ext cx="22229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430696</xdr:colOff>
      <xdr:row>194</xdr:row>
      <xdr:rowOff>149087</xdr:rowOff>
    </xdr:from>
    <xdr:to>
      <xdr:col>34</xdr:col>
      <xdr:colOff>270430</xdr:colOff>
      <xdr:row>276</xdr:row>
      <xdr:rowOff>100355</xdr:rowOff>
    </xdr:to>
    <xdr:grpSp>
      <xdr:nvGrpSpPr>
        <xdr:cNvPr id="214" name="Group 213">
          <a:extLst>
            <a:ext uri="{FF2B5EF4-FFF2-40B4-BE49-F238E27FC236}">
              <a16:creationId xmlns:a16="http://schemas.microsoft.com/office/drawing/2014/main" xmlns="" id="{00000000-0008-0000-0900-0000D6000000}"/>
            </a:ext>
          </a:extLst>
        </xdr:cNvPr>
        <xdr:cNvGrpSpPr/>
      </xdr:nvGrpSpPr>
      <xdr:grpSpPr>
        <a:xfrm>
          <a:off x="19328296" y="38191937"/>
          <a:ext cx="1668534" cy="16096143"/>
          <a:chOff x="19335751" y="1881204"/>
          <a:chExt cx="1668534" cy="14870553"/>
        </a:xfrm>
      </xdr:grpSpPr>
      <xdr:grpSp>
        <xdr:nvGrpSpPr>
          <xdr:cNvPr id="215" name="Group 214">
            <a:extLst>
              <a:ext uri="{FF2B5EF4-FFF2-40B4-BE49-F238E27FC236}">
                <a16:creationId xmlns:a16="http://schemas.microsoft.com/office/drawing/2014/main" xmlns="" id="{00000000-0008-0000-0900-0000D7000000}"/>
              </a:ext>
            </a:extLst>
          </xdr:cNvPr>
          <xdr:cNvGrpSpPr/>
        </xdr:nvGrpSpPr>
        <xdr:grpSpPr>
          <a:xfrm>
            <a:off x="19335751" y="1881204"/>
            <a:ext cx="1668534" cy="14870553"/>
            <a:chOff x="19469104" y="1894174"/>
            <a:chExt cx="1681681" cy="14775522"/>
          </a:xfrm>
        </xdr:grpSpPr>
        <xdr:grpSp>
          <xdr:nvGrpSpPr>
            <xdr:cNvPr id="217" name="Group 216">
              <a:extLst>
                <a:ext uri="{FF2B5EF4-FFF2-40B4-BE49-F238E27FC236}">
                  <a16:creationId xmlns:a16="http://schemas.microsoft.com/office/drawing/2014/main" xmlns="" id="{00000000-0008-0000-0900-0000D9000000}"/>
                </a:ext>
              </a:extLst>
            </xdr:cNvPr>
            <xdr:cNvGrpSpPr/>
          </xdr:nvGrpSpPr>
          <xdr:grpSpPr>
            <a:xfrm>
              <a:off x="19469104" y="1894174"/>
              <a:ext cx="1674861" cy="14775522"/>
              <a:chOff x="14411327" y="1884977"/>
              <a:chExt cx="1684577" cy="14571391"/>
            </a:xfrm>
          </xdr:grpSpPr>
          <xdr:grpSp>
            <xdr:nvGrpSpPr>
              <xdr:cNvPr id="220" name="Group 219">
                <a:extLst>
                  <a:ext uri="{FF2B5EF4-FFF2-40B4-BE49-F238E27FC236}">
                    <a16:creationId xmlns:a16="http://schemas.microsoft.com/office/drawing/2014/main" xmlns="" id="{00000000-0008-0000-0900-0000DC000000}"/>
                  </a:ext>
                </a:extLst>
              </xdr:cNvPr>
              <xdr:cNvGrpSpPr/>
            </xdr:nvGrpSpPr>
            <xdr:grpSpPr>
              <a:xfrm>
                <a:off x="14411327" y="1884977"/>
                <a:ext cx="1684577" cy="14571391"/>
                <a:chOff x="7880982" y="1559023"/>
                <a:chExt cx="1671698" cy="14221330"/>
              </a:xfrm>
            </xdr:grpSpPr>
            <xdr:grpSp>
              <xdr:nvGrpSpPr>
                <xdr:cNvPr id="222" name="Group 221">
                  <a:extLst>
                    <a:ext uri="{FF2B5EF4-FFF2-40B4-BE49-F238E27FC236}">
                      <a16:creationId xmlns:a16="http://schemas.microsoft.com/office/drawing/2014/main" xmlns="" id="{00000000-0008-0000-0900-0000DE000000}"/>
                    </a:ext>
                  </a:extLst>
                </xdr:cNvPr>
                <xdr:cNvGrpSpPr/>
              </xdr:nvGrpSpPr>
              <xdr:grpSpPr>
                <a:xfrm>
                  <a:off x="7883377" y="1559023"/>
                  <a:ext cx="1669303" cy="14221330"/>
                  <a:chOff x="7883377" y="1559023"/>
                  <a:chExt cx="1669303" cy="14221330"/>
                </a:xfrm>
              </xdr:grpSpPr>
              <xdr:grpSp>
                <xdr:nvGrpSpPr>
                  <xdr:cNvPr id="224" name="Group 223">
                    <a:extLst>
                      <a:ext uri="{FF2B5EF4-FFF2-40B4-BE49-F238E27FC236}">
                        <a16:creationId xmlns:a16="http://schemas.microsoft.com/office/drawing/2014/main" xmlns="" id="{00000000-0008-0000-0900-0000E0000000}"/>
                      </a:ext>
                    </a:extLst>
                  </xdr:cNvPr>
                  <xdr:cNvGrpSpPr/>
                </xdr:nvGrpSpPr>
                <xdr:grpSpPr>
                  <a:xfrm>
                    <a:off x="7883377" y="1559023"/>
                    <a:ext cx="1669303" cy="14221330"/>
                    <a:chOff x="7916737" y="1550078"/>
                    <a:chExt cx="1677604" cy="14021043"/>
                  </a:xfrm>
                </xdr:grpSpPr>
                <xdr:grpSp>
                  <xdr:nvGrpSpPr>
                    <xdr:cNvPr id="226" name="Group 225">
                      <a:extLst>
                        <a:ext uri="{FF2B5EF4-FFF2-40B4-BE49-F238E27FC236}">
                          <a16:creationId xmlns:a16="http://schemas.microsoft.com/office/drawing/2014/main" xmlns="" id="{00000000-0008-0000-0900-0000E2000000}"/>
                        </a:ext>
                      </a:extLst>
                    </xdr:cNvPr>
                    <xdr:cNvGrpSpPr/>
                  </xdr:nvGrpSpPr>
                  <xdr:grpSpPr>
                    <a:xfrm>
                      <a:off x="7921690" y="1550078"/>
                      <a:ext cx="1628568" cy="14021043"/>
                      <a:chOff x="7921690" y="1546782"/>
                      <a:chExt cx="1628568" cy="13947279"/>
                    </a:xfrm>
                  </xdr:grpSpPr>
                  <xdr:grpSp>
                    <xdr:nvGrpSpPr>
                      <xdr:cNvPr id="228" name="Group 227">
                        <a:extLst>
                          <a:ext uri="{FF2B5EF4-FFF2-40B4-BE49-F238E27FC236}">
                            <a16:creationId xmlns:a16="http://schemas.microsoft.com/office/drawing/2014/main" xmlns="" id="{00000000-0008-0000-0900-0000E4000000}"/>
                          </a:ext>
                        </a:extLst>
                      </xdr:cNvPr>
                      <xdr:cNvGrpSpPr/>
                    </xdr:nvGrpSpPr>
                    <xdr:grpSpPr>
                      <a:xfrm>
                        <a:off x="7931762" y="1546782"/>
                        <a:ext cx="1618496" cy="13947279"/>
                        <a:chOff x="7931762" y="1542828"/>
                        <a:chExt cx="1618496" cy="13858770"/>
                      </a:xfrm>
                    </xdr:grpSpPr>
                    <xdr:grpSp>
                      <xdr:nvGrpSpPr>
                        <xdr:cNvPr id="231" name="Group 230">
                          <a:extLst>
                            <a:ext uri="{FF2B5EF4-FFF2-40B4-BE49-F238E27FC236}">
                              <a16:creationId xmlns:a16="http://schemas.microsoft.com/office/drawing/2014/main" xmlns="" id="{00000000-0008-0000-0900-0000E7000000}"/>
                            </a:ext>
                          </a:extLst>
                        </xdr:cNvPr>
                        <xdr:cNvGrpSpPr/>
                      </xdr:nvGrpSpPr>
                      <xdr:grpSpPr>
                        <a:xfrm>
                          <a:off x="7944548" y="1542828"/>
                          <a:ext cx="1605710" cy="13858770"/>
                          <a:chOff x="7737005" y="1498140"/>
                          <a:chExt cx="1602452" cy="13711250"/>
                        </a:xfrm>
                      </xdr:grpSpPr>
                      <xdr:sp macro="" textlink="">
                        <xdr:nvSpPr>
                          <xdr:cNvPr id="233" name="Rectangle 232">
                            <a:extLst>
                              <a:ext uri="{FF2B5EF4-FFF2-40B4-BE49-F238E27FC236}">
                                <a16:creationId xmlns:a16="http://schemas.microsoft.com/office/drawing/2014/main" xmlns="" id="{00000000-0008-0000-0900-0000E9000000}"/>
                              </a:ext>
                            </a:extLst>
                          </xdr:cNvPr>
                          <xdr:cNvSpPr/>
                        </xdr:nvSpPr>
                        <xdr:spPr>
                          <a:xfrm>
                            <a:off x="7761594" y="1532522"/>
                            <a:ext cx="1577863" cy="136768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3200" baseline="0"/>
                              <a:t>CAN2</a:t>
                            </a:r>
                          </a:p>
                        </xdr:txBody>
                      </xdr:sp>
                      <xdr:sp macro="" textlink="">
                        <xdr:nvSpPr>
                          <xdr:cNvPr id="234" name="TextBox 233">
                            <a:extLst>
                              <a:ext uri="{FF2B5EF4-FFF2-40B4-BE49-F238E27FC236}">
                                <a16:creationId xmlns:a16="http://schemas.microsoft.com/office/drawing/2014/main" xmlns="" id="{00000000-0008-0000-0900-0000EA000000}"/>
                              </a:ext>
                            </a:extLst>
                          </xdr:cNvPr>
                          <xdr:cNvSpPr txBox="1"/>
                        </xdr:nvSpPr>
                        <xdr:spPr>
                          <a:xfrm>
                            <a:off x="7737005" y="1498140"/>
                            <a:ext cx="844356" cy="245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Bus Interface Unit</a:t>
                            </a:r>
                          </a:p>
                        </xdr:txBody>
                      </xdr:sp>
                    </xdr:grpSp>
                    <xdr:sp macro="" textlink="">
                      <xdr:nvSpPr>
                        <xdr:cNvPr id="232" name="TextBox 231">
                          <a:extLst>
                            <a:ext uri="{FF2B5EF4-FFF2-40B4-BE49-F238E27FC236}">
                              <a16:creationId xmlns:a16="http://schemas.microsoft.com/office/drawing/2014/main" xmlns="" id="{00000000-0008-0000-0900-0000E8000000}"/>
                            </a:ext>
                          </a:extLst>
                        </xdr:cNvPr>
                        <xdr:cNvSpPr txBox="1"/>
                      </xdr:nvSpPr>
                      <xdr:spPr>
                        <a:xfrm>
                          <a:off x="7931762" y="2995204"/>
                          <a:ext cx="1479925" cy="196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Propagation Seggment_Nominal</a:t>
                          </a:r>
                        </a:p>
                      </xdr:txBody>
                    </xdr:sp>
                  </xdr:grpSp>
                  <xdr:sp macro="" textlink="">
                    <xdr:nvSpPr>
                      <xdr:cNvPr id="229" name="TextBox 228">
                        <a:extLst>
                          <a:ext uri="{FF2B5EF4-FFF2-40B4-BE49-F238E27FC236}">
                            <a16:creationId xmlns:a16="http://schemas.microsoft.com/office/drawing/2014/main" xmlns="" id="{00000000-0008-0000-0900-0000E5000000}"/>
                          </a:ext>
                        </a:extLst>
                      </xdr:cNvPr>
                      <xdr:cNvSpPr txBox="1"/>
                    </xdr:nvSpPr>
                    <xdr:spPr>
                      <a:xfrm>
                        <a:off x="7921690" y="4250088"/>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Phase Segment 1_Nominal</a:t>
                        </a:r>
                      </a:p>
                    </xdr:txBody>
                  </xdr:sp>
                  <xdr:sp macro="" textlink="">
                    <xdr:nvSpPr>
                      <xdr:cNvPr id="230" name="TextBox 229">
                        <a:extLst>
                          <a:ext uri="{FF2B5EF4-FFF2-40B4-BE49-F238E27FC236}">
                            <a16:creationId xmlns:a16="http://schemas.microsoft.com/office/drawing/2014/main" xmlns="" id="{00000000-0008-0000-0900-0000E6000000}"/>
                          </a:ext>
                        </a:extLst>
                      </xdr:cNvPr>
                      <xdr:cNvSpPr txBox="1"/>
                    </xdr:nvSpPr>
                    <xdr:spPr>
                      <a:xfrm>
                        <a:off x="7927214" y="5421711"/>
                        <a:ext cx="1362532"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Phase Segment</a:t>
                        </a:r>
                        <a:r>
                          <a:rPr lang="en-US" sz="600" baseline="0">
                            <a:solidFill>
                              <a:schemeClr val="bg1"/>
                            </a:solidFill>
                          </a:rPr>
                          <a:t> 2_Nominal</a:t>
                        </a:r>
                        <a:endParaRPr lang="en-US" sz="600">
                          <a:solidFill>
                            <a:schemeClr val="bg1"/>
                          </a:solidFill>
                        </a:endParaRPr>
                      </a:p>
                    </xdr:txBody>
                  </xdr:sp>
                </xdr:grpSp>
                <xdr:sp macro="" textlink="">
                  <xdr:nvSpPr>
                    <xdr:cNvPr id="227" name="TextBox 226">
                      <a:extLst>
                        <a:ext uri="{FF2B5EF4-FFF2-40B4-BE49-F238E27FC236}">
                          <a16:creationId xmlns:a16="http://schemas.microsoft.com/office/drawing/2014/main" xmlns="" id="{00000000-0008-0000-0900-0000E3000000}"/>
                        </a:ext>
                      </a:extLst>
                    </xdr:cNvPr>
                    <xdr:cNvSpPr txBox="1"/>
                  </xdr:nvSpPr>
                  <xdr:spPr>
                    <a:xfrm>
                      <a:off x="7916737" y="9551001"/>
                      <a:ext cx="1677604" cy="23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Phase Segment 2_Extended</a:t>
                      </a:r>
                    </a:p>
                  </xdr:txBody>
                </xdr:sp>
              </xdr:grpSp>
              <xdr:sp macro="" textlink="">
                <xdr:nvSpPr>
                  <xdr:cNvPr id="225" name="TextBox 224">
                    <a:extLst>
                      <a:ext uri="{FF2B5EF4-FFF2-40B4-BE49-F238E27FC236}">
                        <a16:creationId xmlns:a16="http://schemas.microsoft.com/office/drawing/2014/main" xmlns="" id="{00000000-0008-0000-0900-0000E1000000}"/>
                      </a:ext>
                    </a:extLst>
                  </xdr:cNvPr>
                  <xdr:cNvSpPr txBox="1"/>
                </xdr:nvSpPr>
                <xdr:spPr>
                  <a:xfrm>
                    <a:off x="7889201" y="8423802"/>
                    <a:ext cx="1504541"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Phase</a:t>
                    </a:r>
                    <a:r>
                      <a:rPr lang="en-US" sz="600" baseline="0">
                        <a:solidFill>
                          <a:schemeClr val="bg1"/>
                        </a:solidFill>
                      </a:rPr>
                      <a:t> Segment 1_Extended</a:t>
                    </a:r>
                    <a:endParaRPr lang="en-US" sz="600">
                      <a:solidFill>
                        <a:schemeClr val="bg1"/>
                      </a:solidFill>
                    </a:endParaRPr>
                  </a:p>
                </xdr:txBody>
              </xdr:sp>
            </xdr:grpSp>
            <xdr:sp macro="" textlink="">
              <xdr:nvSpPr>
                <xdr:cNvPr id="223" name="TextBox 222">
                  <a:extLst>
                    <a:ext uri="{FF2B5EF4-FFF2-40B4-BE49-F238E27FC236}">
                      <a16:creationId xmlns:a16="http://schemas.microsoft.com/office/drawing/2014/main" xmlns="" id="{00000000-0008-0000-0900-0000DF000000}"/>
                    </a:ext>
                  </a:extLst>
                </xdr:cNvPr>
                <xdr:cNvSpPr txBox="1"/>
              </xdr:nvSpPr>
              <xdr:spPr>
                <a:xfrm>
                  <a:off x="7880982" y="7025238"/>
                  <a:ext cx="1405909"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a:t>
                  </a:r>
                  <a:r>
                    <a:rPr lang="en-US" sz="600" baseline="0">
                      <a:solidFill>
                        <a:schemeClr val="bg1"/>
                      </a:solidFill>
                    </a:rPr>
                    <a:t> </a:t>
                  </a:r>
                  <a:r>
                    <a:rPr lang="en-US" sz="600">
                      <a:solidFill>
                        <a:schemeClr val="bg1"/>
                      </a:solidFill>
                    </a:rPr>
                    <a:t>Propagation Segment_Extended</a:t>
                  </a:r>
                </a:p>
              </xdr:txBody>
            </xdr:sp>
          </xdr:grpSp>
          <xdr:sp macro="" textlink="">
            <xdr:nvSpPr>
              <xdr:cNvPr id="221" name="TextBox 220">
                <a:extLst>
                  <a:ext uri="{FF2B5EF4-FFF2-40B4-BE49-F238E27FC236}">
                    <a16:creationId xmlns:a16="http://schemas.microsoft.com/office/drawing/2014/main" xmlns="" id="{00000000-0008-0000-0900-0000DD000000}"/>
                  </a:ext>
                </a:extLst>
              </xdr:cNvPr>
              <xdr:cNvSpPr txBox="1"/>
            </xdr:nvSpPr>
            <xdr:spPr>
              <a:xfrm>
                <a:off x="14424185" y="12960082"/>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Propagation Segment_FD</a:t>
                </a:r>
              </a:p>
            </xdr:txBody>
          </xdr:sp>
        </xdr:grpSp>
        <xdr:sp macro="" textlink="">
          <xdr:nvSpPr>
            <xdr:cNvPr id="218" name="TextBox 217">
              <a:extLst>
                <a:ext uri="{FF2B5EF4-FFF2-40B4-BE49-F238E27FC236}">
                  <a16:creationId xmlns:a16="http://schemas.microsoft.com/office/drawing/2014/main" xmlns="" id="{00000000-0008-0000-0900-0000DA000000}"/>
                </a:ext>
              </a:extLst>
            </xdr:cNvPr>
            <xdr:cNvSpPr txBox="1"/>
          </xdr:nvSpPr>
          <xdr:spPr>
            <a:xfrm>
              <a:off x="19478476" y="14637420"/>
              <a:ext cx="1408569" cy="24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a:t>
              </a:r>
              <a:r>
                <a:rPr lang="en-US" sz="600" baseline="0">
                  <a:solidFill>
                    <a:schemeClr val="bg1"/>
                  </a:solidFill>
                </a:rPr>
                <a:t> </a:t>
              </a:r>
              <a:r>
                <a:rPr lang="en-US" sz="600">
                  <a:solidFill>
                    <a:schemeClr val="bg1"/>
                  </a:solidFill>
                </a:rPr>
                <a:t>Phase Segment 1_FD</a:t>
              </a:r>
            </a:p>
          </xdr:txBody>
        </xdr:sp>
        <xdr:sp macro="" textlink="">
          <xdr:nvSpPr>
            <xdr:cNvPr id="219" name="TextBox 218">
              <a:extLst>
                <a:ext uri="{FF2B5EF4-FFF2-40B4-BE49-F238E27FC236}">
                  <a16:creationId xmlns:a16="http://schemas.microsoft.com/office/drawing/2014/main" xmlns="" id="{00000000-0008-0000-0900-0000DB000000}"/>
                </a:ext>
              </a:extLst>
            </xdr:cNvPr>
            <xdr:cNvSpPr txBox="1"/>
          </xdr:nvSpPr>
          <xdr:spPr>
            <a:xfrm>
              <a:off x="19478326" y="15946645"/>
              <a:ext cx="167245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CAN2 Phase Segment 2_FD</a:t>
              </a:r>
            </a:p>
          </xdr:txBody>
        </xdr:sp>
      </xdr:grpSp>
      <xdr:sp macro="" textlink="">
        <xdr:nvSpPr>
          <xdr:cNvPr id="216" name="TextBox 215">
            <a:extLst>
              <a:ext uri="{FF2B5EF4-FFF2-40B4-BE49-F238E27FC236}">
                <a16:creationId xmlns:a16="http://schemas.microsoft.com/office/drawing/2014/main" xmlns="" id="{00000000-0008-0000-0900-0000D8000000}"/>
              </a:ext>
            </a:extLst>
          </xdr:cNvPr>
          <xdr:cNvSpPr txBox="1"/>
        </xdr:nvSpPr>
        <xdr:spPr>
          <a:xfrm>
            <a:off x="19354800" y="2629297"/>
            <a:ext cx="1269595" cy="22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Controlle</a:t>
            </a:r>
            <a:r>
              <a:rPr lang="en-US" sz="600" baseline="0">
                <a:solidFill>
                  <a:schemeClr val="bg1"/>
                </a:solidFill>
              </a:rPr>
              <a:t>r Host Interface</a:t>
            </a:r>
            <a:endParaRPr lang="en-US" sz="600">
              <a:solidFill>
                <a:schemeClr val="bg1"/>
              </a:solidFill>
            </a:endParaRPr>
          </a:p>
        </xdr:txBody>
      </xdr:sp>
    </xdr:grpSp>
    <xdr:clientData/>
  </xdr:twoCellAnchor>
  <xdr:twoCellAnchor>
    <xdr:from>
      <xdr:col>7</xdr:col>
      <xdr:colOff>405848</xdr:colOff>
      <xdr:row>201</xdr:row>
      <xdr:rowOff>16566</xdr:rowOff>
    </xdr:from>
    <xdr:to>
      <xdr:col>9</xdr:col>
      <xdr:colOff>178728</xdr:colOff>
      <xdr:row>205</xdr:row>
      <xdr:rowOff>167044</xdr:rowOff>
    </xdr:to>
    <xdr:sp macro="" textlink="">
      <xdr:nvSpPr>
        <xdr:cNvPr id="235" name="Rectangle 234">
          <a:extLst>
            <a:ext uri="{FF2B5EF4-FFF2-40B4-BE49-F238E27FC236}">
              <a16:creationId xmlns:a16="http://schemas.microsoft.com/office/drawing/2014/main" xmlns="" id="{00000000-0008-0000-0900-0000EB000000}"/>
            </a:ext>
          </a:extLst>
        </xdr:cNvPr>
        <xdr:cNvSpPr/>
      </xdr:nvSpPr>
      <xdr:spPr>
        <a:xfrm>
          <a:off x="4696239" y="39317544"/>
          <a:ext cx="998706" cy="9456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Sclock Prescaler</a:t>
          </a:r>
        </a:p>
        <a:p>
          <a:pPr algn="ctr"/>
          <a:r>
            <a:rPr lang="en-US" sz="900" baseline="0"/>
            <a:t>/(1+(0...255))</a:t>
          </a:r>
        </a:p>
        <a:p>
          <a:pPr algn="ctr"/>
          <a:r>
            <a:rPr lang="en-US" sz="900" baseline="0"/>
            <a:t>CAN2_CTRL1[PRESDIV]</a:t>
          </a:r>
          <a:endParaRPr lang="en-US" sz="900"/>
        </a:p>
      </xdr:txBody>
    </xdr:sp>
    <xdr:clientData/>
  </xdr:twoCellAnchor>
  <xdr:twoCellAnchor>
    <xdr:from>
      <xdr:col>9</xdr:col>
      <xdr:colOff>198783</xdr:colOff>
      <xdr:row>204</xdr:row>
      <xdr:rowOff>14237</xdr:rowOff>
    </xdr:from>
    <xdr:to>
      <xdr:col>11</xdr:col>
      <xdr:colOff>341037</xdr:colOff>
      <xdr:row>204</xdr:row>
      <xdr:rowOff>14237</xdr:rowOff>
    </xdr:to>
    <xdr:cxnSp macro="">
      <xdr:nvCxnSpPr>
        <xdr:cNvPr id="236" name="Straight Arrow Connector 235">
          <a:extLst>
            <a:ext uri="{FF2B5EF4-FFF2-40B4-BE49-F238E27FC236}">
              <a16:creationId xmlns:a16="http://schemas.microsoft.com/office/drawing/2014/main" xmlns="" id="{00000000-0008-0000-0900-0000EC000000}"/>
            </a:ext>
          </a:extLst>
        </xdr:cNvPr>
        <xdr:cNvCxnSpPr/>
      </xdr:nvCxnSpPr>
      <xdr:spPr>
        <a:xfrm>
          <a:off x="5715000" y="39911563"/>
          <a:ext cx="13680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410610</xdr:colOff>
      <xdr:row>201</xdr:row>
      <xdr:rowOff>114300</xdr:rowOff>
    </xdr:from>
    <xdr:ext cx="1009650" cy="294086"/>
    <xdr:sp macro="" textlink="">
      <xdr:nvSpPr>
        <xdr:cNvPr id="237" name="TextBox 236">
          <a:extLst>
            <a:ext uri="{FF2B5EF4-FFF2-40B4-BE49-F238E27FC236}">
              <a16:creationId xmlns:a16="http://schemas.microsoft.com/office/drawing/2014/main" xmlns="" id="{00000000-0008-0000-0900-0000ED000000}"/>
            </a:ext>
          </a:extLst>
        </xdr:cNvPr>
        <xdr:cNvSpPr txBox="1"/>
      </xdr:nvSpPr>
      <xdr:spPr>
        <a:xfrm>
          <a:off x="5926827" y="39415278"/>
          <a:ext cx="1009650" cy="294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CAN2 Sclock</a:t>
          </a:r>
        </a:p>
      </xdr:txBody>
    </xdr:sp>
    <xdr:clientData/>
  </xdr:oneCellAnchor>
  <xdr:twoCellAnchor>
    <xdr:from>
      <xdr:col>11</xdr:col>
      <xdr:colOff>386798</xdr:colOff>
      <xdr:row>201</xdr:row>
      <xdr:rowOff>54666</xdr:rowOff>
    </xdr:from>
    <xdr:to>
      <xdr:col>13</xdr:col>
      <xdr:colOff>175270</xdr:colOff>
      <xdr:row>205</xdr:row>
      <xdr:rowOff>169746</xdr:rowOff>
    </xdr:to>
    <xdr:sp macro="" textlink="">
      <xdr:nvSpPr>
        <xdr:cNvPr id="238" name="Rectangle 237">
          <a:extLst>
            <a:ext uri="{FF2B5EF4-FFF2-40B4-BE49-F238E27FC236}">
              <a16:creationId xmlns:a16="http://schemas.microsoft.com/office/drawing/2014/main" xmlns="" id="{00000000-0008-0000-0900-0000EE000000}"/>
            </a:ext>
          </a:extLst>
        </xdr:cNvPr>
        <xdr:cNvSpPr/>
      </xdr:nvSpPr>
      <xdr:spPr>
        <a:xfrm>
          <a:off x="7128841" y="39355644"/>
          <a:ext cx="1014299" cy="9102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Jump Width</a:t>
          </a:r>
        </a:p>
        <a:p>
          <a:pPr algn="ctr"/>
          <a:r>
            <a:rPr lang="en-US" sz="900" baseline="0"/>
            <a:t>1+(0...3)</a:t>
          </a:r>
        </a:p>
        <a:p>
          <a:pPr algn="ctr"/>
          <a:r>
            <a:rPr lang="en-US" sz="900" baseline="0"/>
            <a:t>CAN2_CTRL1[RJW]</a:t>
          </a:r>
          <a:endParaRPr lang="en-US" sz="900"/>
        </a:p>
      </xdr:txBody>
    </xdr:sp>
    <xdr:clientData/>
  </xdr:twoCellAnchor>
  <xdr:twoCellAnchor>
    <xdr:from>
      <xdr:col>13</xdr:col>
      <xdr:colOff>196298</xdr:colOff>
      <xdr:row>203</xdr:row>
      <xdr:rowOff>114300</xdr:rowOff>
    </xdr:from>
    <xdr:to>
      <xdr:col>15</xdr:col>
      <xdr:colOff>410611</xdr:colOff>
      <xdr:row>203</xdr:row>
      <xdr:rowOff>114300</xdr:rowOff>
    </xdr:to>
    <xdr:cxnSp macro="">
      <xdr:nvCxnSpPr>
        <xdr:cNvPr id="239" name="Straight Arrow Connector 238">
          <a:extLst>
            <a:ext uri="{FF2B5EF4-FFF2-40B4-BE49-F238E27FC236}">
              <a16:creationId xmlns:a16="http://schemas.microsoft.com/office/drawing/2014/main" xmlns="" id="{00000000-0008-0000-0900-0000EF000000}"/>
            </a:ext>
          </a:extLst>
        </xdr:cNvPr>
        <xdr:cNvCxnSpPr/>
      </xdr:nvCxnSpPr>
      <xdr:spPr>
        <a:xfrm>
          <a:off x="8164168" y="39804561"/>
          <a:ext cx="144013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424898</xdr:colOff>
      <xdr:row>201</xdr:row>
      <xdr:rowOff>47625</xdr:rowOff>
    </xdr:from>
    <xdr:to>
      <xdr:col>17</xdr:col>
      <xdr:colOff>213369</xdr:colOff>
      <xdr:row>205</xdr:row>
      <xdr:rowOff>162705</xdr:rowOff>
    </xdr:to>
    <xdr:sp macro="" textlink="">
      <xdr:nvSpPr>
        <xdr:cNvPr id="240" name="Rectangle 239">
          <a:extLst>
            <a:ext uri="{FF2B5EF4-FFF2-40B4-BE49-F238E27FC236}">
              <a16:creationId xmlns:a16="http://schemas.microsoft.com/office/drawing/2014/main" xmlns="" id="{00000000-0008-0000-0900-0000F0000000}"/>
            </a:ext>
          </a:extLst>
        </xdr:cNvPr>
        <xdr:cNvSpPr/>
      </xdr:nvSpPr>
      <xdr:spPr>
        <a:xfrm>
          <a:off x="9618594" y="39348603"/>
          <a:ext cx="1014297" cy="9102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Prop. Seg.</a:t>
          </a:r>
        </a:p>
        <a:p>
          <a:pPr algn="ctr"/>
          <a:r>
            <a:rPr lang="en-US" sz="900" baseline="0"/>
            <a:t>1+(0...7)</a:t>
          </a:r>
        </a:p>
        <a:p>
          <a:pPr algn="ctr"/>
          <a:r>
            <a:rPr lang="en-US" sz="900" baseline="0"/>
            <a:t>CAN2_CTRL1[PROPSEG]</a:t>
          </a:r>
          <a:endParaRPr lang="en-US" sz="900"/>
        </a:p>
      </xdr:txBody>
    </xdr:sp>
    <xdr:clientData/>
  </xdr:twoCellAnchor>
  <xdr:twoCellAnchor>
    <xdr:from>
      <xdr:col>17</xdr:col>
      <xdr:colOff>224873</xdr:colOff>
      <xdr:row>203</xdr:row>
      <xdr:rowOff>76200</xdr:rowOff>
    </xdr:from>
    <xdr:to>
      <xdr:col>31</xdr:col>
      <xdr:colOff>504669</xdr:colOff>
      <xdr:row>203</xdr:row>
      <xdr:rowOff>76200</xdr:rowOff>
    </xdr:to>
    <xdr:cxnSp macro="">
      <xdr:nvCxnSpPr>
        <xdr:cNvPr id="241" name="Straight Arrow Connector 240">
          <a:extLst>
            <a:ext uri="{FF2B5EF4-FFF2-40B4-BE49-F238E27FC236}">
              <a16:creationId xmlns:a16="http://schemas.microsoft.com/office/drawing/2014/main" xmlns="" id="{00000000-0008-0000-0900-0000F1000000}"/>
            </a:ext>
          </a:extLst>
        </xdr:cNvPr>
        <xdr:cNvCxnSpPr/>
      </xdr:nvCxnSpPr>
      <xdr:spPr>
        <a:xfrm>
          <a:off x="10644395" y="39766461"/>
          <a:ext cx="88605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308830</xdr:colOff>
      <xdr:row>203</xdr:row>
      <xdr:rowOff>124239</xdr:rowOff>
    </xdr:from>
    <xdr:to>
      <xdr:col>14</xdr:col>
      <xdr:colOff>308830</xdr:colOff>
      <xdr:row>218</xdr:row>
      <xdr:rowOff>2381</xdr:rowOff>
    </xdr:to>
    <xdr:cxnSp macro="">
      <xdr:nvCxnSpPr>
        <xdr:cNvPr id="244" name="Straight Arrow Connector 243">
          <a:extLst>
            <a:ext uri="{FF2B5EF4-FFF2-40B4-BE49-F238E27FC236}">
              <a16:creationId xmlns:a16="http://schemas.microsoft.com/office/drawing/2014/main" xmlns="" id="{00000000-0008-0000-0900-0000F4000000}"/>
            </a:ext>
          </a:extLst>
        </xdr:cNvPr>
        <xdr:cNvCxnSpPr/>
      </xdr:nvCxnSpPr>
      <xdr:spPr>
        <a:xfrm flipV="1">
          <a:off x="8889613" y="39814500"/>
          <a:ext cx="0" cy="279362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314785</xdr:colOff>
      <xdr:row>210</xdr:row>
      <xdr:rowOff>115697</xdr:rowOff>
    </xdr:from>
    <xdr:to>
      <xdr:col>15</xdr:col>
      <xdr:colOff>403578</xdr:colOff>
      <xdr:row>210</xdr:row>
      <xdr:rowOff>115697</xdr:rowOff>
    </xdr:to>
    <xdr:cxnSp macro="">
      <xdr:nvCxnSpPr>
        <xdr:cNvPr id="245" name="Straight Arrow Connector 244">
          <a:extLst>
            <a:ext uri="{FF2B5EF4-FFF2-40B4-BE49-F238E27FC236}">
              <a16:creationId xmlns:a16="http://schemas.microsoft.com/office/drawing/2014/main" xmlns="" id="{00000000-0008-0000-0900-0000F5000000}"/>
            </a:ext>
          </a:extLst>
        </xdr:cNvPr>
        <xdr:cNvCxnSpPr/>
      </xdr:nvCxnSpPr>
      <xdr:spPr>
        <a:xfrm>
          <a:off x="8895568" y="41197436"/>
          <a:ext cx="70170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306451</xdr:colOff>
      <xdr:row>218</xdr:row>
      <xdr:rowOff>0</xdr:rowOff>
    </xdr:from>
    <xdr:to>
      <xdr:col>15</xdr:col>
      <xdr:colOff>395244</xdr:colOff>
      <xdr:row>218</xdr:row>
      <xdr:rowOff>0</xdr:rowOff>
    </xdr:to>
    <xdr:cxnSp macro="">
      <xdr:nvCxnSpPr>
        <xdr:cNvPr id="246" name="Straight Arrow Connector 245">
          <a:extLst>
            <a:ext uri="{FF2B5EF4-FFF2-40B4-BE49-F238E27FC236}">
              <a16:creationId xmlns:a16="http://schemas.microsoft.com/office/drawing/2014/main" xmlns="" id="{00000000-0008-0000-0900-0000F6000000}"/>
            </a:ext>
          </a:extLst>
        </xdr:cNvPr>
        <xdr:cNvCxnSpPr/>
      </xdr:nvCxnSpPr>
      <xdr:spPr>
        <a:xfrm>
          <a:off x="8887234" y="42605739"/>
          <a:ext cx="70170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424323</xdr:colOff>
      <xdr:row>207</xdr:row>
      <xdr:rowOff>194330</xdr:rowOff>
    </xdr:from>
    <xdr:to>
      <xdr:col>17</xdr:col>
      <xdr:colOff>212794</xdr:colOff>
      <xdr:row>212</xdr:row>
      <xdr:rowOff>157320</xdr:rowOff>
    </xdr:to>
    <xdr:sp macro="" textlink="">
      <xdr:nvSpPr>
        <xdr:cNvPr id="247" name="Rectangle 246">
          <a:extLst>
            <a:ext uri="{FF2B5EF4-FFF2-40B4-BE49-F238E27FC236}">
              <a16:creationId xmlns:a16="http://schemas.microsoft.com/office/drawing/2014/main" xmlns="" id="{00000000-0008-0000-0900-0000F7000000}"/>
            </a:ext>
          </a:extLst>
        </xdr:cNvPr>
        <xdr:cNvSpPr/>
      </xdr:nvSpPr>
      <xdr:spPr>
        <a:xfrm>
          <a:off x="9618019" y="40696287"/>
          <a:ext cx="1014297" cy="9237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Phase</a:t>
          </a:r>
          <a:r>
            <a:rPr lang="en-US" sz="1100" baseline="0"/>
            <a:t> </a:t>
          </a:r>
          <a:r>
            <a:rPr lang="en-US" sz="1100"/>
            <a:t> Seg.</a:t>
          </a:r>
          <a:r>
            <a:rPr lang="en-US" sz="1100" baseline="0"/>
            <a:t> 1</a:t>
          </a:r>
          <a:endParaRPr lang="en-US" sz="1100"/>
        </a:p>
        <a:p>
          <a:pPr algn="ctr"/>
          <a:r>
            <a:rPr lang="en-US" sz="900" baseline="0"/>
            <a:t>1+(0...7)</a:t>
          </a:r>
        </a:p>
        <a:p>
          <a:pPr algn="ctr"/>
          <a:r>
            <a:rPr lang="en-US" sz="900" baseline="0"/>
            <a:t>CAN2_CTRL1[PSEG1]</a:t>
          </a:r>
          <a:endParaRPr lang="en-US" sz="900"/>
        </a:p>
      </xdr:txBody>
    </xdr:sp>
    <xdr:clientData/>
  </xdr:twoCellAnchor>
  <xdr:twoCellAnchor>
    <xdr:from>
      <xdr:col>17</xdr:col>
      <xdr:colOff>224298</xdr:colOff>
      <xdr:row>210</xdr:row>
      <xdr:rowOff>116889</xdr:rowOff>
    </xdr:from>
    <xdr:to>
      <xdr:col>31</xdr:col>
      <xdr:colOff>504094</xdr:colOff>
      <xdr:row>210</xdr:row>
      <xdr:rowOff>116889</xdr:rowOff>
    </xdr:to>
    <xdr:cxnSp macro="">
      <xdr:nvCxnSpPr>
        <xdr:cNvPr id="248" name="Straight Arrow Connector 247">
          <a:extLst>
            <a:ext uri="{FF2B5EF4-FFF2-40B4-BE49-F238E27FC236}">
              <a16:creationId xmlns:a16="http://schemas.microsoft.com/office/drawing/2014/main" xmlns="" id="{00000000-0008-0000-0900-0000F8000000}"/>
            </a:ext>
          </a:extLst>
        </xdr:cNvPr>
        <xdr:cNvCxnSpPr/>
      </xdr:nvCxnSpPr>
      <xdr:spPr>
        <a:xfrm>
          <a:off x="10643820" y="41198628"/>
          <a:ext cx="88605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414798</xdr:colOff>
      <xdr:row>214</xdr:row>
      <xdr:rowOff>194329</xdr:rowOff>
    </xdr:from>
    <xdr:to>
      <xdr:col>17</xdr:col>
      <xdr:colOff>203269</xdr:colOff>
      <xdr:row>219</xdr:row>
      <xdr:rowOff>155605</xdr:rowOff>
    </xdr:to>
    <xdr:sp macro="" textlink="">
      <xdr:nvSpPr>
        <xdr:cNvPr id="249" name="Rectangle 248">
          <a:extLst>
            <a:ext uri="{FF2B5EF4-FFF2-40B4-BE49-F238E27FC236}">
              <a16:creationId xmlns:a16="http://schemas.microsoft.com/office/drawing/2014/main" xmlns="" id="{00000000-0008-0000-0900-0000F9000000}"/>
            </a:ext>
          </a:extLst>
        </xdr:cNvPr>
        <xdr:cNvSpPr/>
      </xdr:nvSpPr>
      <xdr:spPr>
        <a:xfrm>
          <a:off x="9608494" y="42062916"/>
          <a:ext cx="1014297" cy="9220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Phase</a:t>
          </a:r>
          <a:r>
            <a:rPr lang="en-US" sz="1100" baseline="0"/>
            <a:t> </a:t>
          </a:r>
          <a:r>
            <a:rPr lang="en-US" sz="1100"/>
            <a:t> Seg. 2</a:t>
          </a:r>
        </a:p>
        <a:p>
          <a:pPr algn="ctr"/>
          <a:r>
            <a:rPr lang="en-US" sz="900" baseline="0"/>
            <a:t>1+(0...7)</a:t>
          </a:r>
        </a:p>
        <a:p>
          <a:pPr algn="ctr"/>
          <a:r>
            <a:rPr lang="en-US" sz="900" baseline="0"/>
            <a:t>CAN2_CTRL1[PSEG2]</a:t>
          </a:r>
          <a:endParaRPr lang="en-US" sz="900"/>
        </a:p>
      </xdr:txBody>
    </xdr:sp>
    <xdr:clientData/>
  </xdr:twoCellAnchor>
  <xdr:twoCellAnchor>
    <xdr:from>
      <xdr:col>17</xdr:col>
      <xdr:colOff>224298</xdr:colOff>
      <xdr:row>217</xdr:row>
      <xdr:rowOff>100321</xdr:rowOff>
    </xdr:from>
    <xdr:to>
      <xdr:col>31</xdr:col>
      <xdr:colOff>504094</xdr:colOff>
      <xdr:row>217</xdr:row>
      <xdr:rowOff>100321</xdr:rowOff>
    </xdr:to>
    <xdr:cxnSp macro="">
      <xdr:nvCxnSpPr>
        <xdr:cNvPr id="250" name="Straight Arrow Connector 249">
          <a:extLst>
            <a:ext uri="{FF2B5EF4-FFF2-40B4-BE49-F238E27FC236}">
              <a16:creationId xmlns:a16="http://schemas.microsoft.com/office/drawing/2014/main" xmlns="" id="{00000000-0008-0000-0900-0000FA000000}"/>
            </a:ext>
          </a:extLst>
        </xdr:cNvPr>
        <xdr:cNvCxnSpPr/>
      </xdr:nvCxnSpPr>
      <xdr:spPr>
        <a:xfrm>
          <a:off x="10643820" y="42548691"/>
          <a:ext cx="88605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314739</xdr:colOff>
      <xdr:row>203</xdr:row>
      <xdr:rowOff>91110</xdr:rowOff>
    </xdr:from>
    <xdr:to>
      <xdr:col>4</xdr:col>
      <xdr:colOff>314739</xdr:colOff>
      <xdr:row>256</xdr:row>
      <xdr:rowOff>124239</xdr:rowOff>
    </xdr:to>
    <xdr:cxnSp macro="">
      <xdr:nvCxnSpPr>
        <xdr:cNvPr id="252" name="Straight Arrow Connector 251">
          <a:extLst>
            <a:ext uri="{FF2B5EF4-FFF2-40B4-BE49-F238E27FC236}">
              <a16:creationId xmlns:a16="http://schemas.microsoft.com/office/drawing/2014/main" xmlns="" id="{00000000-0008-0000-0900-0000FC000000}"/>
            </a:ext>
          </a:extLst>
        </xdr:cNvPr>
        <xdr:cNvCxnSpPr/>
      </xdr:nvCxnSpPr>
      <xdr:spPr>
        <a:xfrm flipV="1">
          <a:off x="2766391" y="39781371"/>
          <a:ext cx="0" cy="1038639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431425</xdr:colOff>
      <xdr:row>223</xdr:row>
      <xdr:rowOff>80444</xdr:rowOff>
    </xdr:from>
    <xdr:to>
      <xdr:col>7</xdr:col>
      <xdr:colOff>219897</xdr:colOff>
      <xdr:row>228</xdr:row>
      <xdr:rowOff>166431</xdr:rowOff>
    </xdr:to>
    <xdr:sp macro="" textlink="">
      <xdr:nvSpPr>
        <xdr:cNvPr id="253" name="Rectangle 252">
          <a:extLst>
            <a:ext uri="{FF2B5EF4-FFF2-40B4-BE49-F238E27FC236}">
              <a16:creationId xmlns:a16="http://schemas.microsoft.com/office/drawing/2014/main" xmlns="" id="{00000000-0008-0000-0900-0000FD000000}"/>
            </a:ext>
          </a:extLst>
        </xdr:cNvPr>
        <xdr:cNvSpPr/>
      </xdr:nvSpPr>
      <xdr:spPr>
        <a:xfrm>
          <a:off x="3495990" y="43704944"/>
          <a:ext cx="1014298" cy="10384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Ext. Format Enable</a:t>
          </a:r>
        </a:p>
        <a:p>
          <a:pPr algn="ctr"/>
          <a:r>
            <a:rPr lang="en-US" sz="900" baseline="0"/>
            <a:t>CAN2_CBT[BTF]</a:t>
          </a:r>
          <a:endParaRPr lang="en-US" sz="900"/>
        </a:p>
      </xdr:txBody>
    </xdr:sp>
    <xdr:clientData/>
  </xdr:twoCellAnchor>
  <xdr:oneCellAnchor>
    <xdr:from>
      <xdr:col>5</xdr:col>
      <xdr:colOff>550482</xdr:colOff>
      <xdr:row>230</xdr:row>
      <xdr:rowOff>2743</xdr:rowOff>
    </xdr:from>
    <xdr:ext cx="1476498" cy="354111"/>
    <xdr:sp macro="" textlink="">
      <xdr:nvSpPr>
        <xdr:cNvPr id="254" name="TextBox 253">
          <a:extLst>
            <a:ext uri="{FF2B5EF4-FFF2-40B4-BE49-F238E27FC236}">
              <a16:creationId xmlns:a16="http://schemas.microsoft.com/office/drawing/2014/main" xmlns="" id="{00000000-0008-0000-0900-0000FE000000}"/>
            </a:ext>
          </a:extLst>
        </xdr:cNvPr>
        <xdr:cNvSpPr txBox="1"/>
      </xdr:nvSpPr>
      <xdr:spPr>
        <a:xfrm>
          <a:off x="3615047" y="44960743"/>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Extended Format Disabled</a:t>
          </a:r>
        </a:p>
        <a:p>
          <a:r>
            <a:rPr lang="en-US" sz="800"/>
            <a:t>1 - Extended</a:t>
          </a:r>
          <a:r>
            <a:rPr lang="en-US" sz="800" baseline="0"/>
            <a:t> Format Enabled</a:t>
          </a:r>
          <a:endParaRPr lang="en-US" sz="800"/>
        </a:p>
      </xdr:txBody>
    </xdr:sp>
    <xdr:clientData/>
  </xdr:oneCellAnchor>
  <xdr:twoCellAnchor>
    <xdr:from>
      <xdr:col>4</xdr:col>
      <xdr:colOff>324264</xdr:colOff>
      <xdr:row>226</xdr:row>
      <xdr:rowOff>86190</xdr:rowOff>
    </xdr:from>
    <xdr:to>
      <xdr:col>5</xdr:col>
      <xdr:colOff>413560</xdr:colOff>
      <xdr:row>226</xdr:row>
      <xdr:rowOff>86190</xdr:rowOff>
    </xdr:to>
    <xdr:cxnSp macro="">
      <xdr:nvCxnSpPr>
        <xdr:cNvPr id="255" name="Straight Arrow Connector 254">
          <a:extLst>
            <a:ext uri="{FF2B5EF4-FFF2-40B4-BE49-F238E27FC236}">
              <a16:creationId xmlns:a16="http://schemas.microsoft.com/office/drawing/2014/main" xmlns="" id="{00000000-0008-0000-0900-0000FF000000}"/>
            </a:ext>
          </a:extLst>
        </xdr:cNvPr>
        <xdr:cNvCxnSpPr/>
      </xdr:nvCxnSpPr>
      <xdr:spPr>
        <a:xfrm>
          <a:off x="2775916" y="44282190"/>
          <a:ext cx="70220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217108</xdr:colOff>
      <xdr:row>226</xdr:row>
      <xdr:rowOff>21897</xdr:rowOff>
    </xdr:from>
    <xdr:to>
      <xdr:col>11</xdr:col>
      <xdr:colOff>401654</xdr:colOff>
      <xdr:row>226</xdr:row>
      <xdr:rowOff>21897</xdr:rowOff>
    </xdr:to>
    <xdr:cxnSp macro="">
      <xdr:nvCxnSpPr>
        <xdr:cNvPr id="256" name="Straight Arrow Connector 255">
          <a:extLst>
            <a:ext uri="{FF2B5EF4-FFF2-40B4-BE49-F238E27FC236}">
              <a16:creationId xmlns:a16="http://schemas.microsoft.com/office/drawing/2014/main" xmlns="" id="{00000000-0008-0000-0900-000000010000}"/>
            </a:ext>
          </a:extLst>
        </xdr:cNvPr>
        <xdr:cNvCxnSpPr/>
      </xdr:nvCxnSpPr>
      <xdr:spPr>
        <a:xfrm>
          <a:off x="4507499" y="44217897"/>
          <a:ext cx="263619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407608</xdr:colOff>
      <xdr:row>223</xdr:row>
      <xdr:rowOff>123357</xdr:rowOff>
    </xdr:from>
    <xdr:to>
      <xdr:col>13</xdr:col>
      <xdr:colOff>196080</xdr:colOff>
      <xdr:row>228</xdr:row>
      <xdr:rowOff>167672</xdr:rowOff>
    </xdr:to>
    <xdr:sp macro="" textlink="">
      <xdr:nvSpPr>
        <xdr:cNvPr id="257" name="Rectangle 256">
          <a:extLst>
            <a:ext uri="{FF2B5EF4-FFF2-40B4-BE49-F238E27FC236}">
              <a16:creationId xmlns:a16="http://schemas.microsoft.com/office/drawing/2014/main" xmlns="" id="{00000000-0008-0000-0900-000001010000}"/>
            </a:ext>
          </a:extLst>
        </xdr:cNvPr>
        <xdr:cNvSpPr/>
      </xdr:nvSpPr>
      <xdr:spPr>
        <a:xfrm>
          <a:off x="7149651" y="43747857"/>
          <a:ext cx="1014299" cy="10299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Sclock Ext. Prescaler</a:t>
          </a:r>
        </a:p>
        <a:p>
          <a:pPr algn="ctr"/>
          <a:r>
            <a:rPr lang="en-US" sz="900" baseline="0"/>
            <a:t>/(1+(0...1023))</a:t>
          </a:r>
        </a:p>
        <a:p>
          <a:pPr algn="ctr"/>
          <a:r>
            <a:rPr lang="en-US" sz="900" baseline="0"/>
            <a:t>CAN2_CBT[EPRESDIV]</a:t>
          </a:r>
          <a:endParaRPr lang="en-US" sz="900"/>
        </a:p>
      </xdr:txBody>
    </xdr:sp>
    <xdr:clientData/>
  </xdr:twoCellAnchor>
  <xdr:twoCellAnchor>
    <xdr:from>
      <xdr:col>13</xdr:col>
      <xdr:colOff>193294</xdr:colOff>
      <xdr:row>226</xdr:row>
      <xdr:rowOff>27850</xdr:rowOff>
    </xdr:from>
    <xdr:to>
      <xdr:col>18</xdr:col>
      <xdr:colOff>401654</xdr:colOff>
      <xdr:row>226</xdr:row>
      <xdr:rowOff>27850</xdr:rowOff>
    </xdr:to>
    <xdr:cxnSp macro="">
      <xdr:nvCxnSpPr>
        <xdr:cNvPr id="258" name="Straight Arrow Connector 257">
          <a:extLst>
            <a:ext uri="{FF2B5EF4-FFF2-40B4-BE49-F238E27FC236}">
              <a16:creationId xmlns:a16="http://schemas.microsoft.com/office/drawing/2014/main" xmlns="" id="{00000000-0008-0000-0900-000002010000}"/>
            </a:ext>
          </a:extLst>
        </xdr:cNvPr>
        <xdr:cNvCxnSpPr/>
      </xdr:nvCxnSpPr>
      <xdr:spPr>
        <a:xfrm>
          <a:off x="8161164" y="44223850"/>
          <a:ext cx="32729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425466</xdr:colOff>
      <xdr:row>223</xdr:row>
      <xdr:rowOff>147170</xdr:rowOff>
    </xdr:from>
    <xdr:to>
      <xdr:col>20</xdr:col>
      <xdr:colOff>213939</xdr:colOff>
      <xdr:row>228</xdr:row>
      <xdr:rowOff>157112</xdr:rowOff>
    </xdr:to>
    <xdr:sp macro="" textlink="">
      <xdr:nvSpPr>
        <xdr:cNvPr id="259" name="Rectangle 258">
          <a:extLst>
            <a:ext uri="{FF2B5EF4-FFF2-40B4-BE49-F238E27FC236}">
              <a16:creationId xmlns:a16="http://schemas.microsoft.com/office/drawing/2014/main" xmlns="" id="{00000000-0008-0000-0900-000003010000}"/>
            </a:ext>
          </a:extLst>
        </xdr:cNvPr>
        <xdr:cNvSpPr/>
      </xdr:nvSpPr>
      <xdr:spPr>
        <a:xfrm>
          <a:off x="11457901" y="43771670"/>
          <a:ext cx="1014299" cy="995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Ext. Jump Width</a:t>
          </a:r>
        </a:p>
        <a:p>
          <a:pPr algn="ctr"/>
          <a:r>
            <a:rPr lang="en-US" sz="900" baseline="0"/>
            <a:t>1+(0...31)</a:t>
          </a:r>
        </a:p>
        <a:p>
          <a:pPr algn="ctr"/>
          <a:r>
            <a:rPr lang="en-US" sz="900" baseline="0"/>
            <a:t>CAN2_CBT[ERJW]</a:t>
          </a:r>
          <a:endParaRPr lang="en-US" sz="900"/>
        </a:p>
      </xdr:txBody>
    </xdr:sp>
    <xdr:clientData/>
  </xdr:twoCellAnchor>
  <xdr:oneCellAnchor>
    <xdr:from>
      <xdr:col>14</xdr:col>
      <xdr:colOff>252826</xdr:colOff>
      <xdr:row>223</xdr:row>
      <xdr:rowOff>95664</xdr:rowOff>
    </xdr:from>
    <xdr:ext cx="1416327" cy="319709"/>
    <xdr:sp macro="" textlink="">
      <xdr:nvSpPr>
        <xdr:cNvPr id="260" name="TextBox 259">
          <a:extLst>
            <a:ext uri="{FF2B5EF4-FFF2-40B4-BE49-F238E27FC236}">
              <a16:creationId xmlns:a16="http://schemas.microsoft.com/office/drawing/2014/main" xmlns="" id="{00000000-0008-0000-0900-000004010000}"/>
            </a:ext>
          </a:extLst>
        </xdr:cNvPr>
        <xdr:cNvSpPr txBox="1"/>
      </xdr:nvSpPr>
      <xdr:spPr>
        <a:xfrm>
          <a:off x="8833609" y="43720164"/>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CAN2 Sclock_Extended</a:t>
          </a:r>
        </a:p>
      </xdr:txBody>
    </xdr:sp>
    <xdr:clientData/>
  </xdr:oneCellAnchor>
  <xdr:twoCellAnchor>
    <xdr:from>
      <xdr:col>20</xdr:col>
      <xdr:colOff>198782</xdr:colOff>
      <xdr:row>226</xdr:row>
      <xdr:rowOff>79825</xdr:rowOff>
    </xdr:from>
    <xdr:to>
      <xdr:col>25</xdr:col>
      <xdr:colOff>424354</xdr:colOff>
      <xdr:row>226</xdr:row>
      <xdr:rowOff>79825</xdr:rowOff>
    </xdr:to>
    <xdr:cxnSp macro="">
      <xdr:nvCxnSpPr>
        <xdr:cNvPr id="261" name="Straight Arrow Connector 260">
          <a:extLst>
            <a:ext uri="{FF2B5EF4-FFF2-40B4-BE49-F238E27FC236}">
              <a16:creationId xmlns:a16="http://schemas.microsoft.com/office/drawing/2014/main" xmlns="" id="{00000000-0008-0000-0900-000005010000}"/>
            </a:ext>
          </a:extLst>
        </xdr:cNvPr>
        <xdr:cNvCxnSpPr/>
      </xdr:nvCxnSpPr>
      <xdr:spPr>
        <a:xfrm>
          <a:off x="12457043" y="44300673"/>
          <a:ext cx="32901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430953</xdr:colOff>
      <xdr:row>223</xdr:row>
      <xdr:rowOff>182218</xdr:rowOff>
    </xdr:from>
    <xdr:to>
      <xdr:col>27</xdr:col>
      <xdr:colOff>219425</xdr:colOff>
      <xdr:row>228</xdr:row>
      <xdr:rowOff>160272</xdr:rowOff>
    </xdr:to>
    <xdr:sp macro="" textlink="">
      <xdr:nvSpPr>
        <xdr:cNvPr id="262" name="Rectangle 261">
          <a:extLst>
            <a:ext uri="{FF2B5EF4-FFF2-40B4-BE49-F238E27FC236}">
              <a16:creationId xmlns:a16="http://schemas.microsoft.com/office/drawing/2014/main" xmlns="" id="{00000000-0008-0000-0900-000006010000}"/>
            </a:ext>
          </a:extLst>
        </xdr:cNvPr>
        <xdr:cNvSpPr/>
      </xdr:nvSpPr>
      <xdr:spPr>
        <a:xfrm>
          <a:off x="15753779" y="43806718"/>
          <a:ext cx="1014298" cy="963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Prop. Seg. Ext.</a:t>
          </a:r>
        </a:p>
        <a:p>
          <a:pPr algn="ctr"/>
          <a:r>
            <a:rPr lang="en-US" sz="900" baseline="0"/>
            <a:t>1+(0...63)</a:t>
          </a:r>
        </a:p>
        <a:p>
          <a:pPr algn="ctr"/>
          <a:r>
            <a:rPr lang="en-US" sz="900" baseline="0"/>
            <a:t>CAN2_CBT[EPROPSEG]</a:t>
          </a:r>
          <a:endParaRPr lang="en-US" sz="900"/>
        </a:p>
      </xdr:txBody>
    </xdr:sp>
    <xdr:clientData/>
  </xdr:twoCellAnchor>
  <xdr:twoCellAnchor>
    <xdr:from>
      <xdr:col>27</xdr:col>
      <xdr:colOff>210688</xdr:colOff>
      <xdr:row>226</xdr:row>
      <xdr:rowOff>79825</xdr:rowOff>
    </xdr:from>
    <xdr:to>
      <xdr:col>31</xdr:col>
      <xdr:colOff>472625</xdr:colOff>
      <xdr:row>226</xdr:row>
      <xdr:rowOff>79825</xdr:rowOff>
    </xdr:to>
    <xdr:cxnSp macro="">
      <xdr:nvCxnSpPr>
        <xdr:cNvPr id="263" name="Straight Arrow Connector 262">
          <a:extLst>
            <a:ext uri="{FF2B5EF4-FFF2-40B4-BE49-F238E27FC236}">
              <a16:creationId xmlns:a16="http://schemas.microsoft.com/office/drawing/2014/main" xmlns="" id="{00000000-0008-0000-0900-000007010000}"/>
            </a:ext>
          </a:extLst>
        </xdr:cNvPr>
        <xdr:cNvCxnSpPr/>
      </xdr:nvCxnSpPr>
      <xdr:spPr>
        <a:xfrm>
          <a:off x="16759340" y="44300673"/>
          <a:ext cx="27135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344038</xdr:colOff>
      <xdr:row>226</xdr:row>
      <xdr:rowOff>81014</xdr:rowOff>
    </xdr:from>
    <xdr:to>
      <xdr:col>23</xdr:col>
      <xdr:colOff>344038</xdr:colOff>
      <xdr:row>241</xdr:row>
      <xdr:rowOff>137616</xdr:rowOff>
    </xdr:to>
    <xdr:cxnSp macro="">
      <xdr:nvCxnSpPr>
        <xdr:cNvPr id="264" name="Straight Arrow Connector 263">
          <a:extLst>
            <a:ext uri="{FF2B5EF4-FFF2-40B4-BE49-F238E27FC236}">
              <a16:creationId xmlns:a16="http://schemas.microsoft.com/office/drawing/2014/main" xmlns="" id="{00000000-0008-0000-0900-000008010000}"/>
            </a:ext>
          </a:extLst>
        </xdr:cNvPr>
        <xdr:cNvCxnSpPr/>
      </xdr:nvCxnSpPr>
      <xdr:spPr>
        <a:xfrm flipV="1">
          <a:off x="14441038" y="44301862"/>
          <a:ext cx="0" cy="2955515"/>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355945</xdr:colOff>
      <xdr:row>234</xdr:row>
      <xdr:rowOff>69108</xdr:rowOff>
    </xdr:from>
    <xdr:to>
      <xdr:col>25</xdr:col>
      <xdr:colOff>342487</xdr:colOff>
      <xdr:row>234</xdr:row>
      <xdr:rowOff>69108</xdr:rowOff>
    </xdr:to>
    <xdr:cxnSp macro="">
      <xdr:nvCxnSpPr>
        <xdr:cNvPr id="265" name="Straight Arrow Connector 264">
          <a:extLst>
            <a:ext uri="{FF2B5EF4-FFF2-40B4-BE49-F238E27FC236}">
              <a16:creationId xmlns:a16="http://schemas.microsoft.com/office/drawing/2014/main" xmlns="" id="{00000000-0008-0000-0900-000009010000}"/>
            </a:ext>
          </a:extLst>
        </xdr:cNvPr>
        <xdr:cNvCxnSpPr/>
      </xdr:nvCxnSpPr>
      <xdr:spPr>
        <a:xfrm>
          <a:off x="14452945" y="45855369"/>
          <a:ext cx="121236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345058</xdr:colOff>
      <xdr:row>241</xdr:row>
      <xdr:rowOff>137614</xdr:rowOff>
    </xdr:from>
    <xdr:to>
      <xdr:col>25</xdr:col>
      <xdr:colOff>372717</xdr:colOff>
      <xdr:row>241</xdr:row>
      <xdr:rowOff>137614</xdr:rowOff>
    </xdr:to>
    <xdr:cxnSp macro="">
      <xdr:nvCxnSpPr>
        <xdr:cNvPr id="266" name="Straight Arrow Connector 265">
          <a:extLst>
            <a:ext uri="{FF2B5EF4-FFF2-40B4-BE49-F238E27FC236}">
              <a16:creationId xmlns:a16="http://schemas.microsoft.com/office/drawing/2014/main" xmlns="" id="{00000000-0008-0000-0900-00000A010000}"/>
            </a:ext>
          </a:extLst>
        </xdr:cNvPr>
        <xdr:cNvCxnSpPr/>
      </xdr:nvCxnSpPr>
      <xdr:spPr>
        <a:xfrm>
          <a:off x="14442058" y="47290505"/>
          <a:ext cx="125348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391663</xdr:colOff>
      <xdr:row>231</xdr:row>
      <xdr:rowOff>185789</xdr:rowOff>
    </xdr:from>
    <xdr:to>
      <xdr:col>27</xdr:col>
      <xdr:colOff>180135</xdr:colOff>
      <xdr:row>236</xdr:row>
      <xdr:rowOff>150850</xdr:rowOff>
    </xdr:to>
    <xdr:sp macro="" textlink="">
      <xdr:nvSpPr>
        <xdr:cNvPr id="267" name="Rectangle 266">
          <a:extLst>
            <a:ext uri="{FF2B5EF4-FFF2-40B4-BE49-F238E27FC236}">
              <a16:creationId xmlns:a16="http://schemas.microsoft.com/office/drawing/2014/main" xmlns="" id="{00000000-0008-0000-0900-00000B010000}"/>
            </a:ext>
          </a:extLst>
        </xdr:cNvPr>
        <xdr:cNvSpPr/>
      </xdr:nvSpPr>
      <xdr:spPr>
        <a:xfrm>
          <a:off x="15714489" y="45400550"/>
          <a:ext cx="1014298"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Phase Seg. 1 Ext.</a:t>
          </a:r>
        </a:p>
        <a:p>
          <a:pPr algn="ctr"/>
          <a:r>
            <a:rPr lang="en-US" sz="900" baseline="0"/>
            <a:t>1+(0...31)</a:t>
          </a:r>
        </a:p>
        <a:p>
          <a:pPr algn="ctr"/>
          <a:r>
            <a:rPr lang="en-US" sz="900" baseline="0"/>
            <a:t>CAN2_CBT[EPSEG1]</a:t>
          </a:r>
          <a:endParaRPr lang="en-US" sz="900"/>
        </a:p>
      </xdr:txBody>
    </xdr:sp>
    <xdr:clientData/>
  </xdr:twoCellAnchor>
  <xdr:twoCellAnchor>
    <xdr:from>
      <xdr:col>27</xdr:col>
      <xdr:colOff>201163</xdr:colOff>
      <xdr:row>234</xdr:row>
      <xdr:rowOff>61964</xdr:rowOff>
    </xdr:from>
    <xdr:to>
      <xdr:col>31</xdr:col>
      <xdr:colOff>486912</xdr:colOff>
      <xdr:row>234</xdr:row>
      <xdr:rowOff>61964</xdr:rowOff>
    </xdr:to>
    <xdr:cxnSp macro="">
      <xdr:nvCxnSpPr>
        <xdr:cNvPr id="268" name="Straight Arrow Connector 267">
          <a:extLst>
            <a:ext uri="{FF2B5EF4-FFF2-40B4-BE49-F238E27FC236}">
              <a16:creationId xmlns:a16="http://schemas.microsoft.com/office/drawing/2014/main" xmlns="" id="{00000000-0008-0000-0900-00000C010000}"/>
            </a:ext>
          </a:extLst>
        </xdr:cNvPr>
        <xdr:cNvCxnSpPr/>
      </xdr:nvCxnSpPr>
      <xdr:spPr>
        <a:xfrm>
          <a:off x="16749815" y="45848225"/>
          <a:ext cx="27374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391663</xdr:colOff>
      <xdr:row>239</xdr:row>
      <xdr:rowOff>11853</xdr:rowOff>
    </xdr:from>
    <xdr:to>
      <xdr:col>27</xdr:col>
      <xdr:colOff>180134</xdr:colOff>
      <xdr:row>243</xdr:row>
      <xdr:rowOff>163843</xdr:rowOff>
    </xdr:to>
    <xdr:sp macro="" textlink="">
      <xdr:nvSpPr>
        <xdr:cNvPr id="269" name="Rectangle 268">
          <a:extLst>
            <a:ext uri="{FF2B5EF4-FFF2-40B4-BE49-F238E27FC236}">
              <a16:creationId xmlns:a16="http://schemas.microsoft.com/office/drawing/2014/main" xmlns="" id="{00000000-0008-0000-0900-00000D010000}"/>
            </a:ext>
          </a:extLst>
        </xdr:cNvPr>
        <xdr:cNvSpPr/>
      </xdr:nvSpPr>
      <xdr:spPr>
        <a:xfrm>
          <a:off x="15714489" y="46783744"/>
          <a:ext cx="1014297" cy="9139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Phase Seg. 2 Ext.</a:t>
          </a:r>
        </a:p>
        <a:p>
          <a:pPr algn="ctr"/>
          <a:r>
            <a:rPr lang="en-US" sz="900" baseline="0"/>
            <a:t>1+(0...31)</a:t>
          </a:r>
        </a:p>
        <a:p>
          <a:pPr algn="ctr"/>
          <a:r>
            <a:rPr lang="en-US" sz="900" baseline="0"/>
            <a:t>CAN2_CBT[EPSEG2]</a:t>
          </a:r>
          <a:endParaRPr lang="en-US" sz="900"/>
        </a:p>
      </xdr:txBody>
    </xdr:sp>
    <xdr:clientData/>
  </xdr:twoCellAnchor>
  <xdr:twoCellAnchor>
    <xdr:from>
      <xdr:col>27</xdr:col>
      <xdr:colOff>184835</xdr:colOff>
      <xdr:row>241</xdr:row>
      <xdr:rowOff>109547</xdr:rowOff>
    </xdr:from>
    <xdr:to>
      <xdr:col>31</xdr:col>
      <xdr:colOff>462421</xdr:colOff>
      <xdr:row>241</xdr:row>
      <xdr:rowOff>109547</xdr:rowOff>
    </xdr:to>
    <xdr:cxnSp macro="">
      <xdr:nvCxnSpPr>
        <xdr:cNvPr id="270" name="Straight Arrow Connector 269">
          <a:extLst>
            <a:ext uri="{FF2B5EF4-FFF2-40B4-BE49-F238E27FC236}">
              <a16:creationId xmlns:a16="http://schemas.microsoft.com/office/drawing/2014/main" xmlns="" id="{00000000-0008-0000-0900-00000E010000}"/>
            </a:ext>
          </a:extLst>
        </xdr:cNvPr>
        <xdr:cNvCxnSpPr/>
      </xdr:nvCxnSpPr>
      <xdr:spPr>
        <a:xfrm>
          <a:off x="16733487" y="47229308"/>
          <a:ext cx="272923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392182</xdr:colOff>
      <xdr:row>254</xdr:row>
      <xdr:rowOff>42658</xdr:rowOff>
    </xdr:from>
    <xdr:to>
      <xdr:col>7</xdr:col>
      <xdr:colOff>169265</xdr:colOff>
      <xdr:row>259</xdr:row>
      <xdr:rowOff>169230</xdr:rowOff>
    </xdr:to>
    <xdr:sp macro="" textlink="">
      <xdr:nvSpPr>
        <xdr:cNvPr id="272" name="Rectangle 271">
          <a:extLst>
            <a:ext uri="{FF2B5EF4-FFF2-40B4-BE49-F238E27FC236}">
              <a16:creationId xmlns:a16="http://schemas.microsoft.com/office/drawing/2014/main" xmlns="" id="{00000000-0008-0000-0900-000010010000}"/>
            </a:ext>
          </a:extLst>
        </xdr:cNvPr>
        <xdr:cNvSpPr/>
      </xdr:nvSpPr>
      <xdr:spPr>
        <a:xfrm>
          <a:off x="3456747" y="49705180"/>
          <a:ext cx="1002909" cy="11122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CAN2FD Enable </a:t>
          </a:r>
          <a:r>
            <a:rPr lang="en-US" sz="900" baseline="0"/>
            <a:t>CAN2_MCR[FDEN]</a:t>
          </a:r>
          <a:endParaRPr lang="en-US" sz="900"/>
        </a:p>
      </xdr:txBody>
    </xdr:sp>
    <xdr:clientData/>
  </xdr:twoCellAnchor>
  <xdr:twoCellAnchor>
    <xdr:from>
      <xdr:col>4</xdr:col>
      <xdr:colOff>306457</xdr:colOff>
      <xdr:row>256</xdr:row>
      <xdr:rowOff>121239</xdr:rowOff>
    </xdr:from>
    <xdr:to>
      <xdr:col>5</xdr:col>
      <xdr:colOff>378422</xdr:colOff>
      <xdr:row>256</xdr:row>
      <xdr:rowOff>121239</xdr:rowOff>
    </xdr:to>
    <xdr:cxnSp macro="">
      <xdr:nvCxnSpPr>
        <xdr:cNvPr id="273" name="Straight Arrow Connector 272">
          <a:extLst>
            <a:ext uri="{FF2B5EF4-FFF2-40B4-BE49-F238E27FC236}">
              <a16:creationId xmlns:a16="http://schemas.microsoft.com/office/drawing/2014/main" xmlns="" id="{00000000-0008-0000-0900-000011010000}"/>
            </a:ext>
          </a:extLst>
        </xdr:cNvPr>
        <xdr:cNvCxnSpPr/>
      </xdr:nvCxnSpPr>
      <xdr:spPr>
        <a:xfrm>
          <a:off x="2758109" y="50164761"/>
          <a:ext cx="6848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563632</xdr:colOff>
      <xdr:row>260</xdr:row>
      <xdr:rowOff>193813</xdr:rowOff>
    </xdr:from>
    <xdr:ext cx="1476498" cy="354111"/>
    <xdr:sp macro="" textlink="">
      <xdr:nvSpPr>
        <xdr:cNvPr id="274" name="TextBox 273">
          <a:extLst>
            <a:ext uri="{FF2B5EF4-FFF2-40B4-BE49-F238E27FC236}">
              <a16:creationId xmlns:a16="http://schemas.microsoft.com/office/drawing/2014/main" xmlns="" id="{00000000-0008-0000-0900-000012010000}"/>
            </a:ext>
          </a:extLst>
        </xdr:cNvPr>
        <xdr:cNvSpPr txBox="1"/>
      </xdr:nvSpPr>
      <xdr:spPr>
        <a:xfrm>
          <a:off x="3628197" y="51040748"/>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Disabled</a:t>
          </a:r>
          <a:endParaRPr lang="en-US" sz="800"/>
        </a:p>
        <a:p>
          <a:r>
            <a:rPr lang="en-US" sz="800"/>
            <a:t>1 - CANFD</a:t>
          </a:r>
          <a:r>
            <a:rPr lang="en-US" sz="800" baseline="0"/>
            <a:t> Enabled</a:t>
          </a:r>
          <a:endParaRPr lang="en-US" sz="800"/>
        </a:p>
      </xdr:txBody>
    </xdr:sp>
    <xdr:clientData/>
  </xdr:oneCellAnchor>
  <xdr:twoCellAnchor>
    <xdr:from>
      <xdr:col>7</xdr:col>
      <xdr:colOff>173107</xdr:colOff>
      <xdr:row>257</xdr:row>
      <xdr:rowOff>30647</xdr:rowOff>
    </xdr:from>
    <xdr:to>
      <xdr:col>9</xdr:col>
      <xdr:colOff>392182</xdr:colOff>
      <xdr:row>257</xdr:row>
      <xdr:rowOff>30647</xdr:rowOff>
    </xdr:to>
    <xdr:cxnSp macro="">
      <xdr:nvCxnSpPr>
        <xdr:cNvPr id="275" name="Straight Arrow Connector 274">
          <a:extLst>
            <a:ext uri="{FF2B5EF4-FFF2-40B4-BE49-F238E27FC236}">
              <a16:creationId xmlns:a16="http://schemas.microsoft.com/office/drawing/2014/main" xmlns="" id="{00000000-0008-0000-0900-000013010000}"/>
            </a:ext>
          </a:extLst>
        </xdr:cNvPr>
        <xdr:cNvCxnSpPr/>
      </xdr:nvCxnSpPr>
      <xdr:spPr>
        <a:xfrm>
          <a:off x="4463498" y="50264669"/>
          <a:ext cx="144490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392182</xdr:colOff>
      <xdr:row>254</xdr:row>
      <xdr:rowOff>101050</xdr:rowOff>
    </xdr:from>
    <xdr:to>
      <xdr:col>11</xdr:col>
      <xdr:colOff>169265</xdr:colOff>
      <xdr:row>259</xdr:row>
      <xdr:rowOff>156391</xdr:rowOff>
    </xdr:to>
    <xdr:sp macro="" textlink="">
      <xdr:nvSpPr>
        <xdr:cNvPr id="276" name="Rectangle 275">
          <a:extLst>
            <a:ext uri="{FF2B5EF4-FFF2-40B4-BE49-F238E27FC236}">
              <a16:creationId xmlns:a16="http://schemas.microsoft.com/office/drawing/2014/main" xmlns="" id="{00000000-0008-0000-0900-000014010000}"/>
            </a:ext>
          </a:extLst>
        </xdr:cNvPr>
        <xdr:cNvSpPr/>
      </xdr:nvSpPr>
      <xdr:spPr>
        <a:xfrm>
          <a:off x="5908399" y="49763572"/>
          <a:ext cx="1002909" cy="10078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Bit Rate Switch</a:t>
          </a:r>
        </a:p>
        <a:p>
          <a:pPr algn="ctr"/>
          <a:r>
            <a:rPr lang="en-US" sz="900" baseline="0"/>
            <a:t>CAN2_FDCTRL[FDRATE]</a:t>
          </a:r>
          <a:endParaRPr lang="en-US" sz="900"/>
        </a:p>
      </xdr:txBody>
    </xdr:sp>
    <xdr:clientData/>
  </xdr:twoCellAnchor>
  <xdr:oneCellAnchor>
    <xdr:from>
      <xdr:col>9</xdr:col>
      <xdr:colOff>554107</xdr:colOff>
      <xdr:row>260</xdr:row>
      <xdr:rowOff>192571</xdr:rowOff>
    </xdr:from>
    <xdr:ext cx="1476498" cy="354111"/>
    <xdr:sp macro="" textlink="">
      <xdr:nvSpPr>
        <xdr:cNvPr id="277" name="TextBox 276">
          <a:extLst>
            <a:ext uri="{FF2B5EF4-FFF2-40B4-BE49-F238E27FC236}">
              <a16:creationId xmlns:a16="http://schemas.microsoft.com/office/drawing/2014/main" xmlns="" id="{00000000-0008-0000-0900-000015010000}"/>
            </a:ext>
          </a:extLst>
        </xdr:cNvPr>
        <xdr:cNvSpPr txBox="1"/>
      </xdr:nvSpPr>
      <xdr:spPr>
        <a:xfrm>
          <a:off x="6070324" y="51039506"/>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12</xdr:col>
      <xdr:colOff>392182</xdr:colOff>
      <xdr:row>254</xdr:row>
      <xdr:rowOff>120100</xdr:rowOff>
    </xdr:from>
    <xdr:to>
      <xdr:col>14</xdr:col>
      <xdr:colOff>169265</xdr:colOff>
      <xdr:row>259</xdr:row>
      <xdr:rowOff>175441</xdr:rowOff>
    </xdr:to>
    <xdr:sp macro="" textlink="">
      <xdr:nvSpPr>
        <xdr:cNvPr id="278" name="Rectangle 277">
          <a:extLst>
            <a:ext uri="{FF2B5EF4-FFF2-40B4-BE49-F238E27FC236}">
              <a16:creationId xmlns:a16="http://schemas.microsoft.com/office/drawing/2014/main" xmlns="" id="{00000000-0008-0000-0900-000016010000}"/>
            </a:ext>
          </a:extLst>
        </xdr:cNvPr>
        <xdr:cNvSpPr/>
      </xdr:nvSpPr>
      <xdr:spPr>
        <a:xfrm>
          <a:off x="7747139" y="49782622"/>
          <a:ext cx="1002909" cy="10078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a:t>
          </a:r>
          <a:r>
            <a:rPr lang="en-US" sz="1100" baseline="0"/>
            <a:t> BRS</a:t>
          </a:r>
          <a:endParaRPr lang="en-US" sz="900"/>
        </a:p>
      </xdr:txBody>
    </xdr:sp>
    <xdr:clientData/>
  </xdr:twoCellAnchor>
  <xdr:twoCellAnchor>
    <xdr:from>
      <xdr:col>11</xdr:col>
      <xdr:colOff>192157</xdr:colOff>
      <xdr:row>257</xdr:row>
      <xdr:rowOff>78272</xdr:rowOff>
    </xdr:from>
    <xdr:to>
      <xdr:col>12</xdr:col>
      <xdr:colOff>373132</xdr:colOff>
      <xdr:row>257</xdr:row>
      <xdr:rowOff>78272</xdr:rowOff>
    </xdr:to>
    <xdr:cxnSp macro="">
      <xdr:nvCxnSpPr>
        <xdr:cNvPr id="279" name="Straight Arrow Connector 278">
          <a:extLst>
            <a:ext uri="{FF2B5EF4-FFF2-40B4-BE49-F238E27FC236}">
              <a16:creationId xmlns:a16="http://schemas.microsoft.com/office/drawing/2014/main" xmlns="" id="{00000000-0008-0000-0900-000017010000}"/>
            </a:ext>
          </a:extLst>
        </xdr:cNvPr>
        <xdr:cNvCxnSpPr/>
      </xdr:nvCxnSpPr>
      <xdr:spPr>
        <a:xfrm>
          <a:off x="6934200" y="50312294"/>
          <a:ext cx="7938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573156</xdr:colOff>
      <xdr:row>261</xdr:row>
      <xdr:rowOff>3313</xdr:rowOff>
    </xdr:from>
    <xdr:ext cx="1998593" cy="354111"/>
    <xdr:sp macro="" textlink="">
      <xdr:nvSpPr>
        <xdr:cNvPr id="280" name="TextBox 279">
          <a:extLst>
            <a:ext uri="{FF2B5EF4-FFF2-40B4-BE49-F238E27FC236}">
              <a16:creationId xmlns:a16="http://schemas.microsoft.com/office/drawing/2014/main" xmlns="" id="{00000000-0008-0000-0900-000018010000}"/>
            </a:ext>
          </a:extLst>
        </xdr:cNvPr>
        <xdr:cNvSpPr txBox="1"/>
      </xdr:nvSpPr>
      <xdr:spPr>
        <a:xfrm>
          <a:off x="7888356" y="51257338"/>
          <a:ext cx="1998593"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data phase use nominal settings</a:t>
          </a:r>
        </a:p>
        <a:p>
          <a:r>
            <a:rPr lang="en-US" sz="800"/>
            <a:t>1 - CANFD data phase</a:t>
          </a:r>
          <a:r>
            <a:rPr lang="en-US" sz="800" baseline="0"/>
            <a:t> use CANFD settings</a:t>
          </a:r>
          <a:endParaRPr lang="en-US" sz="800"/>
        </a:p>
      </xdr:txBody>
    </xdr:sp>
    <xdr:clientData/>
  </xdr:oneCellAnchor>
  <xdr:twoCellAnchor>
    <xdr:from>
      <xdr:col>14</xdr:col>
      <xdr:colOff>173107</xdr:colOff>
      <xdr:row>257</xdr:row>
      <xdr:rowOff>59222</xdr:rowOff>
    </xdr:from>
    <xdr:to>
      <xdr:col>15</xdr:col>
      <xdr:colOff>420757</xdr:colOff>
      <xdr:row>257</xdr:row>
      <xdr:rowOff>59222</xdr:rowOff>
    </xdr:to>
    <xdr:cxnSp macro="">
      <xdr:nvCxnSpPr>
        <xdr:cNvPr id="281" name="Straight Arrow Connector 280">
          <a:extLst>
            <a:ext uri="{FF2B5EF4-FFF2-40B4-BE49-F238E27FC236}">
              <a16:creationId xmlns:a16="http://schemas.microsoft.com/office/drawing/2014/main" xmlns="" id="{00000000-0008-0000-0900-000019010000}"/>
            </a:ext>
          </a:extLst>
        </xdr:cNvPr>
        <xdr:cNvCxnSpPr/>
      </xdr:nvCxnSpPr>
      <xdr:spPr>
        <a:xfrm>
          <a:off x="8753890" y="50293244"/>
          <a:ext cx="86056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420757</xdr:colOff>
      <xdr:row>254</xdr:row>
      <xdr:rowOff>91525</xdr:rowOff>
    </xdr:from>
    <xdr:to>
      <xdr:col>17</xdr:col>
      <xdr:colOff>197841</xdr:colOff>
      <xdr:row>259</xdr:row>
      <xdr:rowOff>163431</xdr:rowOff>
    </xdr:to>
    <xdr:sp macro="" textlink="">
      <xdr:nvSpPr>
        <xdr:cNvPr id="282" name="Rectangle 281">
          <a:extLst>
            <a:ext uri="{FF2B5EF4-FFF2-40B4-BE49-F238E27FC236}">
              <a16:creationId xmlns:a16="http://schemas.microsoft.com/office/drawing/2014/main" xmlns="" id="{00000000-0008-0000-0900-00001A010000}"/>
            </a:ext>
          </a:extLst>
        </xdr:cNvPr>
        <xdr:cNvSpPr/>
      </xdr:nvSpPr>
      <xdr:spPr>
        <a:xfrm>
          <a:off x="9614453" y="49754047"/>
          <a:ext cx="1002910" cy="1024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Sclock FD Prescaler</a:t>
          </a:r>
        </a:p>
        <a:p>
          <a:pPr algn="ctr"/>
          <a:r>
            <a:rPr lang="en-US" sz="900" baseline="0"/>
            <a:t>/(1+(0...1023))</a:t>
          </a:r>
        </a:p>
        <a:p>
          <a:pPr algn="ctr"/>
          <a:r>
            <a:rPr lang="en-US" sz="900" baseline="0"/>
            <a:t>CAN2_FDCBT[FPRESDIV]</a:t>
          </a:r>
          <a:endParaRPr lang="en-US" sz="900"/>
        </a:p>
      </xdr:txBody>
    </xdr:sp>
    <xdr:clientData/>
  </xdr:twoCellAnchor>
  <xdr:twoCellAnchor>
    <xdr:from>
      <xdr:col>17</xdr:col>
      <xdr:colOff>211207</xdr:colOff>
      <xdr:row>257</xdr:row>
      <xdr:rowOff>26921</xdr:rowOff>
    </xdr:from>
    <xdr:to>
      <xdr:col>19</xdr:col>
      <xdr:colOff>368577</xdr:colOff>
      <xdr:row>257</xdr:row>
      <xdr:rowOff>26921</xdr:rowOff>
    </xdr:to>
    <xdr:cxnSp macro="">
      <xdr:nvCxnSpPr>
        <xdr:cNvPr id="283" name="Straight Arrow Connector 282">
          <a:extLst>
            <a:ext uri="{FF2B5EF4-FFF2-40B4-BE49-F238E27FC236}">
              <a16:creationId xmlns:a16="http://schemas.microsoft.com/office/drawing/2014/main" xmlns="" id="{00000000-0008-0000-0900-00001B010000}"/>
            </a:ext>
          </a:extLst>
        </xdr:cNvPr>
        <xdr:cNvCxnSpPr/>
      </xdr:nvCxnSpPr>
      <xdr:spPr>
        <a:xfrm>
          <a:off x="10630729" y="50285791"/>
          <a:ext cx="1383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249307</xdr:colOff>
      <xdr:row>254</xdr:row>
      <xdr:rowOff>74548</xdr:rowOff>
    </xdr:from>
    <xdr:ext cx="1416327" cy="319709"/>
    <xdr:sp macro="" textlink="">
      <xdr:nvSpPr>
        <xdr:cNvPr id="284" name="TextBox 283">
          <a:extLst>
            <a:ext uri="{FF2B5EF4-FFF2-40B4-BE49-F238E27FC236}">
              <a16:creationId xmlns:a16="http://schemas.microsoft.com/office/drawing/2014/main" xmlns="" id="{00000000-0008-0000-0900-00001C010000}"/>
            </a:ext>
          </a:extLst>
        </xdr:cNvPr>
        <xdr:cNvSpPr txBox="1"/>
      </xdr:nvSpPr>
      <xdr:spPr>
        <a:xfrm>
          <a:off x="10668829" y="49737070"/>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CAN2 Sclock_FD</a:t>
          </a:r>
        </a:p>
      </xdr:txBody>
    </xdr:sp>
    <xdr:clientData/>
  </xdr:oneCellAnchor>
  <xdr:twoCellAnchor>
    <xdr:from>
      <xdr:col>19</xdr:col>
      <xdr:colOff>401707</xdr:colOff>
      <xdr:row>254</xdr:row>
      <xdr:rowOff>139150</xdr:rowOff>
    </xdr:from>
    <xdr:to>
      <xdr:col>21</xdr:col>
      <xdr:colOff>178791</xdr:colOff>
      <xdr:row>259</xdr:row>
      <xdr:rowOff>161360</xdr:rowOff>
    </xdr:to>
    <xdr:sp macro="" textlink="">
      <xdr:nvSpPr>
        <xdr:cNvPr id="285" name="Rectangle 284">
          <a:extLst>
            <a:ext uri="{FF2B5EF4-FFF2-40B4-BE49-F238E27FC236}">
              <a16:creationId xmlns:a16="http://schemas.microsoft.com/office/drawing/2014/main" xmlns="" id="{00000000-0008-0000-0900-00001D010000}"/>
            </a:ext>
          </a:extLst>
        </xdr:cNvPr>
        <xdr:cNvSpPr/>
      </xdr:nvSpPr>
      <xdr:spPr>
        <a:xfrm>
          <a:off x="12047055" y="49801672"/>
          <a:ext cx="1002910" cy="9747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FD Jump Width</a:t>
          </a:r>
        </a:p>
        <a:p>
          <a:pPr algn="ctr"/>
          <a:r>
            <a:rPr lang="en-US" sz="900" baseline="0"/>
            <a:t>1+(0...7)</a:t>
          </a:r>
        </a:p>
        <a:p>
          <a:pPr algn="ctr"/>
          <a:r>
            <a:rPr lang="en-US" sz="900" baseline="0"/>
            <a:t>CAN2_FDCBT[FRJW]</a:t>
          </a:r>
          <a:endParaRPr lang="en-US" sz="900"/>
        </a:p>
      </xdr:txBody>
    </xdr:sp>
    <xdr:clientData/>
  </xdr:twoCellAnchor>
  <xdr:twoCellAnchor>
    <xdr:from>
      <xdr:col>21</xdr:col>
      <xdr:colOff>182217</xdr:colOff>
      <xdr:row>257</xdr:row>
      <xdr:rowOff>21526</xdr:rowOff>
    </xdr:from>
    <xdr:to>
      <xdr:col>25</xdr:col>
      <xdr:colOff>356056</xdr:colOff>
      <xdr:row>257</xdr:row>
      <xdr:rowOff>21526</xdr:rowOff>
    </xdr:to>
    <xdr:cxnSp macro="">
      <xdr:nvCxnSpPr>
        <xdr:cNvPr id="287" name="Straight Arrow Connector 286">
          <a:extLst>
            <a:ext uri="{FF2B5EF4-FFF2-40B4-BE49-F238E27FC236}">
              <a16:creationId xmlns:a16="http://schemas.microsoft.com/office/drawing/2014/main" xmlns="" id="{00000000-0008-0000-0900-00001F010000}"/>
            </a:ext>
          </a:extLst>
        </xdr:cNvPr>
        <xdr:cNvCxnSpPr/>
      </xdr:nvCxnSpPr>
      <xdr:spPr>
        <a:xfrm>
          <a:off x="13053391" y="50280396"/>
          <a:ext cx="262549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401292</xdr:colOff>
      <xdr:row>254</xdr:row>
      <xdr:rowOff>173927</xdr:rowOff>
    </xdr:from>
    <xdr:to>
      <xdr:col>27</xdr:col>
      <xdr:colOff>178375</xdr:colOff>
      <xdr:row>259</xdr:row>
      <xdr:rowOff>163007</xdr:rowOff>
    </xdr:to>
    <xdr:sp macro="" textlink="">
      <xdr:nvSpPr>
        <xdr:cNvPr id="288" name="Rectangle 287">
          <a:extLst>
            <a:ext uri="{FF2B5EF4-FFF2-40B4-BE49-F238E27FC236}">
              <a16:creationId xmlns:a16="http://schemas.microsoft.com/office/drawing/2014/main" xmlns="" id="{00000000-0008-0000-0900-000020010000}"/>
            </a:ext>
          </a:extLst>
        </xdr:cNvPr>
        <xdr:cNvSpPr/>
      </xdr:nvSpPr>
      <xdr:spPr>
        <a:xfrm>
          <a:off x="15724118" y="49836449"/>
          <a:ext cx="1002909" cy="9747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FD Prop. Seg.</a:t>
          </a:r>
        </a:p>
        <a:p>
          <a:pPr algn="ctr"/>
          <a:r>
            <a:rPr lang="en-US" sz="900" baseline="0"/>
            <a:t>0...31</a:t>
          </a:r>
        </a:p>
        <a:p>
          <a:pPr algn="ctr"/>
          <a:r>
            <a:rPr lang="en-US" sz="900" baseline="0"/>
            <a:t>CAN2_FDCBT[FPROPSEG]</a:t>
          </a:r>
          <a:endParaRPr lang="en-US" sz="900"/>
        </a:p>
      </xdr:txBody>
    </xdr:sp>
    <xdr:clientData/>
  </xdr:twoCellAnchor>
  <xdr:twoCellAnchor>
    <xdr:from>
      <xdr:col>27</xdr:col>
      <xdr:colOff>182217</xdr:colOff>
      <xdr:row>257</xdr:row>
      <xdr:rowOff>31051</xdr:rowOff>
    </xdr:from>
    <xdr:to>
      <xdr:col>31</xdr:col>
      <xdr:colOff>467967</xdr:colOff>
      <xdr:row>257</xdr:row>
      <xdr:rowOff>31051</xdr:rowOff>
    </xdr:to>
    <xdr:cxnSp macro="">
      <xdr:nvCxnSpPr>
        <xdr:cNvPr id="289" name="Straight Arrow Connector 288">
          <a:extLst>
            <a:ext uri="{FF2B5EF4-FFF2-40B4-BE49-F238E27FC236}">
              <a16:creationId xmlns:a16="http://schemas.microsoft.com/office/drawing/2014/main" xmlns="" id="{00000000-0008-0000-0900-000021010000}"/>
            </a:ext>
          </a:extLst>
        </xdr:cNvPr>
        <xdr:cNvCxnSpPr/>
      </xdr:nvCxnSpPr>
      <xdr:spPr>
        <a:xfrm>
          <a:off x="16730869" y="50289921"/>
          <a:ext cx="273740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353667</xdr:colOff>
      <xdr:row>257</xdr:row>
      <xdr:rowOff>12001</xdr:rowOff>
    </xdr:from>
    <xdr:to>
      <xdr:col>23</xdr:col>
      <xdr:colOff>353667</xdr:colOff>
      <xdr:row>273</xdr:row>
      <xdr:rowOff>14072</xdr:rowOff>
    </xdr:to>
    <xdr:cxnSp macro="">
      <xdr:nvCxnSpPr>
        <xdr:cNvPr id="290" name="Straight Arrow Connector 289">
          <a:extLst>
            <a:ext uri="{FF2B5EF4-FFF2-40B4-BE49-F238E27FC236}">
              <a16:creationId xmlns:a16="http://schemas.microsoft.com/office/drawing/2014/main" xmlns="" id="{00000000-0008-0000-0900-000022010000}"/>
            </a:ext>
          </a:extLst>
        </xdr:cNvPr>
        <xdr:cNvCxnSpPr/>
      </xdr:nvCxnSpPr>
      <xdr:spPr>
        <a:xfrm flipV="1">
          <a:off x="14450667" y="50270871"/>
          <a:ext cx="0" cy="309148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401295</xdr:colOff>
      <xdr:row>263</xdr:row>
      <xdr:rowOff>9677</xdr:rowOff>
    </xdr:from>
    <xdr:to>
      <xdr:col>27</xdr:col>
      <xdr:colOff>178378</xdr:colOff>
      <xdr:row>267</xdr:row>
      <xdr:rowOff>165238</xdr:rowOff>
    </xdr:to>
    <xdr:sp macro="" textlink="">
      <xdr:nvSpPr>
        <xdr:cNvPr id="291" name="Rectangle 290">
          <a:extLst>
            <a:ext uri="{FF2B5EF4-FFF2-40B4-BE49-F238E27FC236}">
              <a16:creationId xmlns:a16="http://schemas.microsoft.com/office/drawing/2014/main" xmlns="" id="{00000000-0008-0000-0900-000023010000}"/>
            </a:ext>
          </a:extLst>
        </xdr:cNvPr>
        <xdr:cNvSpPr/>
      </xdr:nvSpPr>
      <xdr:spPr>
        <a:xfrm>
          <a:off x="15724121" y="51452960"/>
          <a:ext cx="1002909"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FD Phase Seg. 1</a:t>
          </a:r>
        </a:p>
        <a:p>
          <a:pPr algn="ctr"/>
          <a:r>
            <a:rPr lang="en-US" sz="900" baseline="0"/>
            <a:t>1+(0...7)</a:t>
          </a:r>
        </a:p>
        <a:p>
          <a:pPr algn="ctr"/>
          <a:r>
            <a:rPr lang="en-US" sz="900" baseline="0"/>
            <a:t>CAN2_CBT[FPSEG1]</a:t>
          </a:r>
          <a:endParaRPr lang="en-US" sz="900"/>
        </a:p>
      </xdr:txBody>
    </xdr:sp>
    <xdr:clientData/>
  </xdr:twoCellAnchor>
  <xdr:twoCellAnchor>
    <xdr:from>
      <xdr:col>23</xdr:col>
      <xdr:colOff>353443</xdr:colOff>
      <xdr:row>265</xdr:row>
      <xdr:rowOff>122735</xdr:rowOff>
    </xdr:from>
    <xdr:to>
      <xdr:col>25</xdr:col>
      <xdr:colOff>391767</xdr:colOff>
      <xdr:row>265</xdr:row>
      <xdr:rowOff>122735</xdr:rowOff>
    </xdr:to>
    <xdr:cxnSp macro="">
      <xdr:nvCxnSpPr>
        <xdr:cNvPr id="292" name="Straight Arrow Connector 291">
          <a:extLst>
            <a:ext uri="{FF2B5EF4-FFF2-40B4-BE49-F238E27FC236}">
              <a16:creationId xmlns:a16="http://schemas.microsoft.com/office/drawing/2014/main" xmlns="" id="{00000000-0008-0000-0900-000024010000}"/>
            </a:ext>
          </a:extLst>
        </xdr:cNvPr>
        <xdr:cNvCxnSpPr/>
      </xdr:nvCxnSpPr>
      <xdr:spPr>
        <a:xfrm>
          <a:off x="14450443" y="51947018"/>
          <a:ext cx="12641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201270</xdr:colOff>
      <xdr:row>265</xdr:row>
      <xdr:rowOff>113210</xdr:rowOff>
    </xdr:from>
    <xdr:to>
      <xdr:col>31</xdr:col>
      <xdr:colOff>477492</xdr:colOff>
      <xdr:row>265</xdr:row>
      <xdr:rowOff>113210</xdr:rowOff>
    </xdr:to>
    <xdr:cxnSp macro="">
      <xdr:nvCxnSpPr>
        <xdr:cNvPr id="293" name="Straight Arrow Connector 292">
          <a:extLst>
            <a:ext uri="{FF2B5EF4-FFF2-40B4-BE49-F238E27FC236}">
              <a16:creationId xmlns:a16="http://schemas.microsoft.com/office/drawing/2014/main" xmlns="" id="{00000000-0008-0000-0900-000025010000}"/>
            </a:ext>
          </a:extLst>
        </xdr:cNvPr>
        <xdr:cNvCxnSpPr/>
      </xdr:nvCxnSpPr>
      <xdr:spPr>
        <a:xfrm>
          <a:off x="16749922" y="51937493"/>
          <a:ext cx="272787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410817</xdr:colOff>
      <xdr:row>269</xdr:row>
      <xdr:rowOff>184692</xdr:rowOff>
    </xdr:from>
    <xdr:to>
      <xdr:col>27</xdr:col>
      <xdr:colOff>187900</xdr:colOff>
      <xdr:row>274</xdr:row>
      <xdr:rowOff>167560</xdr:rowOff>
    </xdr:to>
    <xdr:sp macro="" textlink="">
      <xdr:nvSpPr>
        <xdr:cNvPr id="294" name="Rectangle 293">
          <a:extLst>
            <a:ext uri="{FF2B5EF4-FFF2-40B4-BE49-F238E27FC236}">
              <a16:creationId xmlns:a16="http://schemas.microsoft.com/office/drawing/2014/main" xmlns="" id="{00000000-0008-0000-0900-000026010000}"/>
            </a:ext>
          </a:extLst>
        </xdr:cNvPr>
        <xdr:cNvSpPr/>
      </xdr:nvSpPr>
      <xdr:spPr>
        <a:xfrm>
          <a:off x="15733643" y="52795822"/>
          <a:ext cx="1002909" cy="9436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CAN2 FD Phase Seg. 2 </a:t>
          </a:r>
        </a:p>
        <a:p>
          <a:pPr algn="ctr"/>
          <a:r>
            <a:rPr lang="en-US" sz="900" baseline="0"/>
            <a:t>1+(0...7)</a:t>
          </a:r>
        </a:p>
        <a:p>
          <a:pPr algn="ctr"/>
          <a:r>
            <a:rPr lang="en-US" sz="900" baseline="0"/>
            <a:t>CAN2_CBT[FPSEG2]</a:t>
          </a:r>
          <a:endParaRPr lang="en-US" sz="900"/>
        </a:p>
      </xdr:txBody>
    </xdr:sp>
    <xdr:clientData/>
  </xdr:twoCellAnchor>
  <xdr:twoCellAnchor>
    <xdr:from>
      <xdr:col>23</xdr:col>
      <xdr:colOff>353670</xdr:colOff>
      <xdr:row>273</xdr:row>
      <xdr:rowOff>12990</xdr:rowOff>
    </xdr:from>
    <xdr:to>
      <xdr:col>25</xdr:col>
      <xdr:colOff>391767</xdr:colOff>
      <xdr:row>273</xdr:row>
      <xdr:rowOff>12990</xdr:rowOff>
    </xdr:to>
    <xdr:cxnSp macro="">
      <xdr:nvCxnSpPr>
        <xdr:cNvPr id="295" name="Straight Arrow Connector 294">
          <a:extLst>
            <a:ext uri="{FF2B5EF4-FFF2-40B4-BE49-F238E27FC236}">
              <a16:creationId xmlns:a16="http://schemas.microsoft.com/office/drawing/2014/main" xmlns="" id="{00000000-0008-0000-0900-000027010000}"/>
            </a:ext>
          </a:extLst>
        </xdr:cNvPr>
        <xdr:cNvCxnSpPr/>
      </xdr:nvCxnSpPr>
      <xdr:spPr>
        <a:xfrm>
          <a:off x="14450670" y="53361273"/>
          <a:ext cx="12639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201270</xdr:colOff>
      <xdr:row>272</xdr:row>
      <xdr:rowOff>184440</xdr:rowOff>
    </xdr:from>
    <xdr:to>
      <xdr:col>31</xdr:col>
      <xdr:colOff>477492</xdr:colOff>
      <xdr:row>272</xdr:row>
      <xdr:rowOff>184440</xdr:rowOff>
    </xdr:to>
    <xdr:cxnSp macro="">
      <xdr:nvCxnSpPr>
        <xdr:cNvPr id="296" name="Straight Arrow Connector 295">
          <a:extLst>
            <a:ext uri="{FF2B5EF4-FFF2-40B4-BE49-F238E27FC236}">
              <a16:creationId xmlns:a16="http://schemas.microsoft.com/office/drawing/2014/main" xmlns="" id="{00000000-0008-0000-0900-000028010000}"/>
            </a:ext>
          </a:extLst>
        </xdr:cNvPr>
        <xdr:cNvCxnSpPr/>
      </xdr:nvCxnSpPr>
      <xdr:spPr>
        <a:xfrm>
          <a:off x="16749922" y="53342223"/>
          <a:ext cx="272787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582708</xdr:colOff>
      <xdr:row>197</xdr:row>
      <xdr:rowOff>22413</xdr:rowOff>
    </xdr:from>
    <xdr:ext cx="419101" cy="1221442"/>
    <xdr:sp macro="" textlink="">
      <xdr:nvSpPr>
        <xdr:cNvPr id="298" name="TextBox 297">
          <a:extLst>
            <a:ext uri="{FF2B5EF4-FFF2-40B4-BE49-F238E27FC236}">
              <a16:creationId xmlns:a16="http://schemas.microsoft.com/office/drawing/2014/main" xmlns="" id="{00000000-0008-0000-0900-00002A010000}"/>
            </a:ext>
          </a:extLst>
        </xdr:cNvPr>
        <xdr:cNvSpPr txBox="1"/>
      </xdr:nvSpPr>
      <xdr:spPr>
        <a:xfrm rot="5400000">
          <a:off x="23472234" y="21320605"/>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39</xdr:col>
      <xdr:colOff>84291</xdr:colOff>
      <xdr:row>213</xdr:row>
      <xdr:rowOff>116929</xdr:rowOff>
    </xdr:from>
    <xdr:ext cx="419101" cy="2353237"/>
    <xdr:sp macro="" textlink="">
      <xdr:nvSpPr>
        <xdr:cNvPr id="299" name="TextBox 298">
          <a:extLst>
            <a:ext uri="{FF2B5EF4-FFF2-40B4-BE49-F238E27FC236}">
              <a16:creationId xmlns:a16="http://schemas.microsoft.com/office/drawing/2014/main" xmlns="" id="{00000000-0008-0000-0900-00002B010000}"/>
            </a:ext>
          </a:extLst>
        </xdr:cNvPr>
        <xdr:cNvSpPr txBox="1"/>
      </xdr:nvSpPr>
      <xdr:spPr>
        <a:xfrm rot="5400000">
          <a:off x="23020832" y="42745519"/>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39</xdr:col>
      <xdr:colOff>140317</xdr:colOff>
      <xdr:row>237</xdr:row>
      <xdr:rowOff>169597</xdr:rowOff>
    </xdr:from>
    <xdr:ext cx="419101" cy="2353237"/>
    <xdr:sp macro="" textlink="">
      <xdr:nvSpPr>
        <xdr:cNvPr id="300" name="TextBox 299">
          <a:extLst>
            <a:ext uri="{FF2B5EF4-FFF2-40B4-BE49-F238E27FC236}">
              <a16:creationId xmlns:a16="http://schemas.microsoft.com/office/drawing/2014/main" xmlns="" id="{00000000-0008-0000-0900-00002C010000}"/>
            </a:ext>
          </a:extLst>
        </xdr:cNvPr>
        <xdr:cNvSpPr txBox="1"/>
      </xdr:nvSpPr>
      <xdr:spPr>
        <a:xfrm rot="5400000">
          <a:off x="23076858" y="4750270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twoCellAnchor>
    <xdr:from>
      <xdr:col>36</xdr:col>
      <xdr:colOff>570944</xdr:colOff>
      <xdr:row>205</xdr:row>
      <xdr:rowOff>49695</xdr:rowOff>
    </xdr:from>
    <xdr:to>
      <xdr:col>37</xdr:col>
      <xdr:colOff>591754</xdr:colOff>
      <xdr:row>253</xdr:row>
      <xdr:rowOff>171358</xdr:rowOff>
    </xdr:to>
    <xdr:sp macro="" textlink="">
      <xdr:nvSpPr>
        <xdr:cNvPr id="301" name="Left Brace 300">
          <a:extLst>
            <a:ext uri="{FF2B5EF4-FFF2-40B4-BE49-F238E27FC236}">
              <a16:creationId xmlns:a16="http://schemas.microsoft.com/office/drawing/2014/main" xmlns="" id="{00000000-0008-0000-0900-00002D010000}"/>
            </a:ext>
          </a:extLst>
        </xdr:cNvPr>
        <xdr:cNvSpPr/>
      </xdr:nvSpPr>
      <xdr:spPr>
        <a:xfrm>
          <a:off x="22635814" y="40145804"/>
          <a:ext cx="633723" cy="9497576"/>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577346</xdr:colOff>
      <xdr:row>221</xdr:row>
      <xdr:rowOff>103321</xdr:rowOff>
    </xdr:from>
    <xdr:ext cx="595995" cy="3006379"/>
    <xdr:sp macro="" textlink="">
      <xdr:nvSpPr>
        <xdr:cNvPr id="302" name="TextBox 301">
          <a:extLst>
            <a:ext uri="{FF2B5EF4-FFF2-40B4-BE49-F238E27FC236}">
              <a16:creationId xmlns:a16="http://schemas.microsoft.com/office/drawing/2014/main" xmlns="" id="{00000000-0008-0000-0900-00002E010000}"/>
            </a:ext>
          </a:extLst>
        </xdr:cNvPr>
        <xdr:cNvSpPr txBox="1"/>
      </xdr:nvSpPr>
      <xdr:spPr>
        <a:xfrm rot="16200000">
          <a:off x="20824111" y="44543730"/>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oneCellAnchor>
    <xdr:from>
      <xdr:col>39</xdr:col>
      <xdr:colOff>106700</xdr:colOff>
      <xdr:row>257</xdr:row>
      <xdr:rowOff>147623</xdr:rowOff>
    </xdr:from>
    <xdr:ext cx="419101" cy="2353237"/>
    <xdr:sp macro="" textlink="">
      <xdr:nvSpPr>
        <xdr:cNvPr id="303" name="TextBox 302">
          <a:extLst>
            <a:ext uri="{FF2B5EF4-FFF2-40B4-BE49-F238E27FC236}">
              <a16:creationId xmlns:a16="http://schemas.microsoft.com/office/drawing/2014/main" xmlns="" id="{00000000-0008-0000-0900-00002F010000}"/>
            </a:ext>
          </a:extLst>
        </xdr:cNvPr>
        <xdr:cNvSpPr txBox="1"/>
      </xdr:nvSpPr>
      <xdr:spPr>
        <a:xfrm rot="5400000">
          <a:off x="23043241" y="51373561"/>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37</xdr:col>
      <xdr:colOff>31836</xdr:colOff>
      <xdr:row>254</xdr:row>
      <xdr:rowOff>70425</xdr:rowOff>
    </xdr:from>
    <xdr:to>
      <xdr:col>37</xdr:col>
      <xdr:colOff>593273</xdr:colOff>
      <xdr:row>273</xdr:row>
      <xdr:rowOff>4870</xdr:rowOff>
    </xdr:to>
    <xdr:sp macro="" textlink="">
      <xdr:nvSpPr>
        <xdr:cNvPr id="304" name="Left Brace 303">
          <a:extLst>
            <a:ext uri="{FF2B5EF4-FFF2-40B4-BE49-F238E27FC236}">
              <a16:creationId xmlns:a16="http://schemas.microsoft.com/office/drawing/2014/main" xmlns="" id="{00000000-0008-0000-0900-000030010000}"/>
            </a:ext>
          </a:extLst>
        </xdr:cNvPr>
        <xdr:cNvSpPr/>
      </xdr:nvSpPr>
      <xdr:spPr>
        <a:xfrm>
          <a:off x="22709619" y="49732947"/>
          <a:ext cx="561437" cy="3653336"/>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554935</xdr:colOff>
      <xdr:row>255</xdr:row>
      <xdr:rowOff>69181</xdr:rowOff>
    </xdr:from>
    <xdr:ext cx="595995" cy="3006379"/>
    <xdr:sp macro="" textlink="">
      <xdr:nvSpPr>
        <xdr:cNvPr id="305" name="TextBox 304">
          <a:extLst>
            <a:ext uri="{FF2B5EF4-FFF2-40B4-BE49-F238E27FC236}">
              <a16:creationId xmlns:a16="http://schemas.microsoft.com/office/drawing/2014/main" xmlns="" id="{00000000-0008-0000-0900-000031010000}"/>
            </a:ext>
          </a:extLst>
        </xdr:cNvPr>
        <xdr:cNvSpPr txBox="1"/>
      </xdr:nvSpPr>
      <xdr:spPr>
        <a:xfrm rot="16200000">
          <a:off x="20801700" y="51127395"/>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twoCellAnchor>
    <xdr:from>
      <xdr:col>39</xdr:col>
      <xdr:colOff>33132</xdr:colOff>
      <xdr:row>69</xdr:row>
      <xdr:rowOff>27673</xdr:rowOff>
    </xdr:from>
    <xdr:to>
      <xdr:col>41</xdr:col>
      <xdr:colOff>309356</xdr:colOff>
      <xdr:row>69</xdr:row>
      <xdr:rowOff>27673</xdr:rowOff>
    </xdr:to>
    <xdr:cxnSp macro="">
      <xdr:nvCxnSpPr>
        <xdr:cNvPr id="286" name="Straight Arrow Connector 285">
          <a:extLst>
            <a:ext uri="{FF2B5EF4-FFF2-40B4-BE49-F238E27FC236}">
              <a16:creationId xmlns:a16="http://schemas.microsoft.com/office/drawing/2014/main" xmlns="" id="{00000000-0008-0000-0900-00001E010000}"/>
            </a:ext>
          </a:extLst>
        </xdr:cNvPr>
        <xdr:cNvCxnSpPr/>
      </xdr:nvCxnSpPr>
      <xdr:spPr>
        <a:xfrm flipH="1">
          <a:off x="23936741" y="13528325"/>
          <a:ext cx="1502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40</xdr:col>
      <xdr:colOff>304314</xdr:colOff>
      <xdr:row>67</xdr:row>
      <xdr:rowOff>107672</xdr:rowOff>
    </xdr:from>
    <xdr:ext cx="3006379" cy="595995"/>
    <xdr:sp macro="" textlink="">
      <xdr:nvSpPr>
        <xdr:cNvPr id="306" name="TextBox 305">
          <a:extLst>
            <a:ext uri="{FF2B5EF4-FFF2-40B4-BE49-F238E27FC236}">
              <a16:creationId xmlns:a16="http://schemas.microsoft.com/office/drawing/2014/main" xmlns="" id="{00000000-0008-0000-0900-000032010000}"/>
            </a:ext>
          </a:extLst>
        </xdr:cNvPr>
        <xdr:cNvSpPr txBox="1"/>
      </xdr:nvSpPr>
      <xdr:spPr>
        <a:xfrm>
          <a:off x="24820836" y="13219042"/>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Sample Point</a:t>
          </a:r>
        </a:p>
      </xdr:txBody>
    </xdr:sp>
    <xdr:clientData/>
  </xdr:oneCellAnchor>
  <xdr:twoCellAnchor>
    <xdr:from>
      <xdr:col>44</xdr:col>
      <xdr:colOff>242681</xdr:colOff>
      <xdr:row>69</xdr:row>
      <xdr:rowOff>46723</xdr:rowOff>
    </xdr:from>
    <xdr:to>
      <xdr:col>46</xdr:col>
      <xdr:colOff>566531</xdr:colOff>
      <xdr:row>69</xdr:row>
      <xdr:rowOff>46723</xdr:rowOff>
    </xdr:to>
    <xdr:cxnSp macro="">
      <xdr:nvCxnSpPr>
        <xdr:cNvPr id="307" name="Straight Arrow Connector 306">
          <a:extLst>
            <a:ext uri="{FF2B5EF4-FFF2-40B4-BE49-F238E27FC236}">
              <a16:creationId xmlns:a16="http://schemas.microsoft.com/office/drawing/2014/main" xmlns="" id="{00000000-0008-0000-0900-000033010000}"/>
            </a:ext>
          </a:extLst>
        </xdr:cNvPr>
        <xdr:cNvCxnSpPr/>
      </xdr:nvCxnSpPr>
      <xdr:spPr>
        <a:xfrm>
          <a:off x="27210855" y="13547375"/>
          <a:ext cx="154967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44</xdr:col>
      <xdr:colOff>400050</xdr:colOff>
      <xdr:row>5</xdr:row>
      <xdr:rowOff>9525</xdr:rowOff>
    </xdr:from>
    <xdr:ext cx="3496234" cy="981075"/>
    <xdr:sp macro="" textlink="">
      <xdr:nvSpPr>
        <xdr:cNvPr id="308" name="TextBox 307">
          <a:extLst>
            <a:ext uri="{FF2B5EF4-FFF2-40B4-BE49-F238E27FC236}">
              <a16:creationId xmlns:a16="http://schemas.microsoft.com/office/drawing/2014/main" xmlns="" id="{00000000-0008-0000-0900-000034010000}"/>
            </a:ext>
          </a:extLst>
        </xdr:cNvPr>
        <xdr:cNvSpPr txBox="1"/>
      </xdr:nvSpPr>
      <xdr:spPr>
        <a:xfrm>
          <a:off x="27222450" y="962025"/>
          <a:ext cx="3496234" cy="981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CAN0 Data</a:t>
          </a:r>
          <a:r>
            <a:rPr lang="en-US" sz="1800" b="1" baseline="0"/>
            <a:t> Phase</a:t>
          </a:r>
          <a:r>
            <a:rPr lang="en-US" sz="1800" b="1"/>
            <a:t> Bit Time Segments (in ns)</a:t>
          </a:r>
        </a:p>
      </xdr:txBody>
    </xdr:sp>
    <xdr:clientData/>
  </xdr:oneCellAnchor>
  <xdr:oneCellAnchor>
    <xdr:from>
      <xdr:col>46</xdr:col>
      <xdr:colOff>247651</xdr:colOff>
      <xdr:row>11</xdr:row>
      <xdr:rowOff>180975</xdr:rowOff>
    </xdr:from>
    <xdr:ext cx="419101" cy="1221442"/>
    <xdr:sp macro="" textlink="">
      <xdr:nvSpPr>
        <xdr:cNvPr id="309" name="TextBox 308">
          <a:extLst>
            <a:ext uri="{FF2B5EF4-FFF2-40B4-BE49-F238E27FC236}">
              <a16:creationId xmlns:a16="http://schemas.microsoft.com/office/drawing/2014/main" xmlns="" id="{00000000-0008-0000-0900-000035010000}"/>
            </a:ext>
          </a:extLst>
        </xdr:cNvPr>
        <xdr:cNvSpPr txBox="1"/>
      </xdr:nvSpPr>
      <xdr:spPr>
        <a:xfrm rot="16200000">
          <a:off x="27888081" y="2706220"/>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46</xdr:col>
      <xdr:colOff>209550</xdr:colOff>
      <xdr:row>28</xdr:row>
      <xdr:rowOff>66675</xdr:rowOff>
    </xdr:from>
    <xdr:ext cx="419101" cy="2353237"/>
    <xdr:sp macro="" textlink="">
      <xdr:nvSpPr>
        <xdr:cNvPr id="310" name="TextBox 309">
          <a:extLst>
            <a:ext uri="{FF2B5EF4-FFF2-40B4-BE49-F238E27FC236}">
              <a16:creationId xmlns:a16="http://schemas.microsoft.com/office/drawing/2014/main" xmlns="" id="{00000000-0008-0000-0900-000036010000}"/>
            </a:ext>
          </a:extLst>
        </xdr:cNvPr>
        <xdr:cNvSpPr txBox="1"/>
      </xdr:nvSpPr>
      <xdr:spPr>
        <a:xfrm rot="16200000">
          <a:off x="27284082" y="654871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46</xdr:col>
      <xdr:colOff>180975</xdr:colOff>
      <xdr:row>52</xdr:row>
      <xdr:rowOff>114300</xdr:rowOff>
    </xdr:from>
    <xdr:ext cx="419101" cy="2353237"/>
    <xdr:sp macro="" textlink="">
      <xdr:nvSpPr>
        <xdr:cNvPr id="311" name="TextBox 310">
          <a:extLst>
            <a:ext uri="{FF2B5EF4-FFF2-40B4-BE49-F238E27FC236}">
              <a16:creationId xmlns:a16="http://schemas.microsoft.com/office/drawing/2014/main" xmlns="" id="{00000000-0008-0000-0900-000037010000}"/>
            </a:ext>
          </a:extLst>
        </xdr:cNvPr>
        <xdr:cNvSpPr txBox="1"/>
      </xdr:nvSpPr>
      <xdr:spPr>
        <a:xfrm rot="16200000">
          <a:off x="27255507" y="11339793"/>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oneCellAnchor>
    <xdr:from>
      <xdr:col>46</xdr:col>
      <xdr:colOff>209550</xdr:colOff>
      <xdr:row>72</xdr:row>
      <xdr:rowOff>114300</xdr:rowOff>
    </xdr:from>
    <xdr:ext cx="419101" cy="2353237"/>
    <xdr:sp macro="" textlink="">
      <xdr:nvSpPr>
        <xdr:cNvPr id="312" name="TextBox 311">
          <a:extLst>
            <a:ext uri="{FF2B5EF4-FFF2-40B4-BE49-F238E27FC236}">
              <a16:creationId xmlns:a16="http://schemas.microsoft.com/office/drawing/2014/main" xmlns="" id="{00000000-0008-0000-0900-000038010000}"/>
            </a:ext>
          </a:extLst>
        </xdr:cNvPr>
        <xdr:cNvSpPr txBox="1"/>
      </xdr:nvSpPr>
      <xdr:spPr>
        <a:xfrm rot="16200000">
          <a:off x="27284082" y="1523551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48</xdr:col>
      <xdr:colOff>50748</xdr:colOff>
      <xdr:row>20</xdr:row>
      <xdr:rowOff>9525</xdr:rowOff>
    </xdr:from>
    <xdr:to>
      <xdr:col>49</xdr:col>
      <xdr:colOff>71558</xdr:colOff>
      <xdr:row>68</xdr:row>
      <xdr:rowOff>131188</xdr:rowOff>
    </xdr:to>
    <xdr:sp macro="" textlink="">
      <xdr:nvSpPr>
        <xdr:cNvPr id="313" name="Left Brace 312">
          <a:extLst>
            <a:ext uri="{FF2B5EF4-FFF2-40B4-BE49-F238E27FC236}">
              <a16:creationId xmlns:a16="http://schemas.microsoft.com/office/drawing/2014/main" xmlns="" id="{00000000-0008-0000-0900-000039010000}"/>
            </a:ext>
          </a:extLst>
        </xdr:cNvPr>
        <xdr:cNvSpPr/>
      </xdr:nvSpPr>
      <xdr:spPr>
        <a:xfrm rot="10800000">
          <a:off x="29311548" y="3952875"/>
          <a:ext cx="630410" cy="9532363"/>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49</xdr:col>
      <xdr:colOff>38100</xdr:colOff>
      <xdr:row>36</xdr:row>
      <xdr:rowOff>120301</xdr:rowOff>
    </xdr:from>
    <xdr:ext cx="595995" cy="3006379"/>
    <xdr:sp macro="" textlink="">
      <xdr:nvSpPr>
        <xdr:cNvPr id="314" name="TextBox 313">
          <a:extLst>
            <a:ext uri="{FF2B5EF4-FFF2-40B4-BE49-F238E27FC236}">
              <a16:creationId xmlns:a16="http://schemas.microsoft.com/office/drawing/2014/main" xmlns="" id="{00000000-0008-0000-0900-00003A010000}"/>
            </a:ext>
          </a:extLst>
        </xdr:cNvPr>
        <xdr:cNvSpPr txBox="1"/>
      </xdr:nvSpPr>
      <xdr:spPr>
        <a:xfrm rot="5400000">
          <a:off x="28703308" y="8421618"/>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twoCellAnchor>
    <xdr:from>
      <xdr:col>48</xdr:col>
      <xdr:colOff>57926</xdr:colOff>
      <xdr:row>69</xdr:row>
      <xdr:rowOff>19050</xdr:rowOff>
    </xdr:from>
    <xdr:to>
      <xdr:col>49</xdr:col>
      <xdr:colOff>9763</xdr:colOff>
      <xdr:row>87</xdr:row>
      <xdr:rowOff>153520</xdr:rowOff>
    </xdr:to>
    <xdr:sp macro="" textlink="">
      <xdr:nvSpPr>
        <xdr:cNvPr id="315" name="Left Brace 314">
          <a:extLst>
            <a:ext uri="{FF2B5EF4-FFF2-40B4-BE49-F238E27FC236}">
              <a16:creationId xmlns:a16="http://schemas.microsoft.com/office/drawing/2014/main" xmlns="" id="{00000000-0008-0000-0900-00003B010000}"/>
            </a:ext>
          </a:extLst>
        </xdr:cNvPr>
        <xdr:cNvSpPr/>
      </xdr:nvSpPr>
      <xdr:spPr>
        <a:xfrm rot="10800000">
          <a:off x="29318726" y="13573125"/>
          <a:ext cx="561437" cy="3668245"/>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571500</xdr:colOff>
      <xdr:row>70</xdr:row>
      <xdr:rowOff>133349</xdr:rowOff>
    </xdr:from>
    <xdr:ext cx="595995" cy="3006379"/>
    <xdr:sp macro="" textlink="">
      <xdr:nvSpPr>
        <xdr:cNvPr id="316" name="TextBox 315">
          <a:extLst>
            <a:ext uri="{FF2B5EF4-FFF2-40B4-BE49-F238E27FC236}">
              <a16:creationId xmlns:a16="http://schemas.microsoft.com/office/drawing/2014/main" xmlns="" id="{00000000-0008-0000-0900-00003C010000}"/>
            </a:ext>
          </a:extLst>
        </xdr:cNvPr>
        <xdr:cNvSpPr txBox="1"/>
      </xdr:nvSpPr>
      <xdr:spPr>
        <a:xfrm rot="5400000">
          <a:off x="28627108" y="15102166"/>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oneCellAnchor>
    <xdr:from>
      <xdr:col>35</xdr:col>
      <xdr:colOff>523875</xdr:colOff>
      <xdr:row>100</xdr:row>
      <xdr:rowOff>104775</xdr:rowOff>
    </xdr:from>
    <xdr:ext cx="3496234" cy="953058"/>
    <xdr:sp macro="" textlink="">
      <xdr:nvSpPr>
        <xdr:cNvPr id="317" name="TextBox 316">
          <a:extLst>
            <a:ext uri="{FF2B5EF4-FFF2-40B4-BE49-F238E27FC236}">
              <a16:creationId xmlns:a16="http://schemas.microsoft.com/office/drawing/2014/main" xmlns="" id="{00000000-0008-0000-0900-00003D010000}"/>
            </a:ext>
          </a:extLst>
        </xdr:cNvPr>
        <xdr:cNvSpPr txBox="1"/>
      </xdr:nvSpPr>
      <xdr:spPr>
        <a:xfrm>
          <a:off x="21859875" y="19707225"/>
          <a:ext cx="3496234" cy="953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CAN1 Arbitration</a:t>
          </a:r>
          <a:r>
            <a:rPr lang="en-US" sz="1800" b="1" baseline="0"/>
            <a:t> Phase</a:t>
          </a:r>
          <a:r>
            <a:rPr lang="en-US" sz="1800" b="1"/>
            <a:t> Bit Time Segments (in ns)</a:t>
          </a:r>
        </a:p>
      </xdr:txBody>
    </xdr:sp>
    <xdr:clientData/>
  </xdr:oneCellAnchor>
  <xdr:twoCellAnchor>
    <xdr:from>
      <xdr:col>39</xdr:col>
      <xdr:colOff>28575</xdr:colOff>
      <xdr:row>164</xdr:row>
      <xdr:rowOff>24776</xdr:rowOff>
    </xdr:from>
    <xdr:to>
      <xdr:col>41</xdr:col>
      <xdr:colOff>304799</xdr:colOff>
      <xdr:row>164</xdr:row>
      <xdr:rowOff>24776</xdr:rowOff>
    </xdr:to>
    <xdr:cxnSp macro="">
      <xdr:nvCxnSpPr>
        <xdr:cNvPr id="318" name="Straight Arrow Connector 317">
          <a:extLst>
            <a:ext uri="{FF2B5EF4-FFF2-40B4-BE49-F238E27FC236}">
              <a16:creationId xmlns:a16="http://schemas.microsoft.com/office/drawing/2014/main" xmlns="" id="{00000000-0008-0000-0900-00003E010000}"/>
            </a:ext>
          </a:extLst>
        </xdr:cNvPr>
        <xdr:cNvCxnSpPr/>
      </xdr:nvCxnSpPr>
      <xdr:spPr>
        <a:xfrm flipH="1">
          <a:off x="23802975" y="32200226"/>
          <a:ext cx="14954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40</xdr:col>
      <xdr:colOff>299757</xdr:colOff>
      <xdr:row>162</xdr:row>
      <xdr:rowOff>95250</xdr:rowOff>
    </xdr:from>
    <xdr:ext cx="3006379" cy="595995"/>
    <xdr:sp macro="" textlink="">
      <xdr:nvSpPr>
        <xdr:cNvPr id="319" name="TextBox 318">
          <a:extLst>
            <a:ext uri="{FF2B5EF4-FFF2-40B4-BE49-F238E27FC236}">
              <a16:creationId xmlns:a16="http://schemas.microsoft.com/office/drawing/2014/main" xmlns="" id="{00000000-0008-0000-0900-00003F010000}"/>
            </a:ext>
          </a:extLst>
        </xdr:cNvPr>
        <xdr:cNvSpPr txBox="1"/>
      </xdr:nvSpPr>
      <xdr:spPr>
        <a:xfrm>
          <a:off x="24683757" y="31889700"/>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Sample Point</a:t>
          </a:r>
        </a:p>
      </xdr:txBody>
    </xdr:sp>
    <xdr:clientData/>
  </xdr:oneCellAnchor>
  <xdr:twoCellAnchor>
    <xdr:from>
      <xdr:col>44</xdr:col>
      <xdr:colOff>238124</xdr:colOff>
      <xdr:row>164</xdr:row>
      <xdr:rowOff>43826</xdr:rowOff>
    </xdr:from>
    <xdr:to>
      <xdr:col>46</xdr:col>
      <xdr:colOff>561974</xdr:colOff>
      <xdr:row>164</xdr:row>
      <xdr:rowOff>43826</xdr:rowOff>
    </xdr:to>
    <xdr:cxnSp macro="">
      <xdr:nvCxnSpPr>
        <xdr:cNvPr id="320" name="Straight Arrow Connector 319">
          <a:extLst>
            <a:ext uri="{FF2B5EF4-FFF2-40B4-BE49-F238E27FC236}">
              <a16:creationId xmlns:a16="http://schemas.microsoft.com/office/drawing/2014/main" xmlns="" id="{00000000-0008-0000-0900-000040010000}"/>
            </a:ext>
          </a:extLst>
        </xdr:cNvPr>
        <xdr:cNvCxnSpPr/>
      </xdr:nvCxnSpPr>
      <xdr:spPr>
        <a:xfrm>
          <a:off x="27060524" y="32219276"/>
          <a:ext cx="1543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44</xdr:col>
      <xdr:colOff>485775</xdr:colOff>
      <xdr:row>100</xdr:row>
      <xdr:rowOff>76200</xdr:rowOff>
    </xdr:from>
    <xdr:ext cx="3496234" cy="981075"/>
    <xdr:sp macro="" textlink="">
      <xdr:nvSpPr>
        <xdr:cNvPr id="321" name="TextBox 320">
          <a:extLst>
            <a:ext uri="{FF2B5EF4-FFF2-40B4-BE49-F238E27FC236}">
              <a16:creationId xmlns:a16="http://schemas.microsoft.com/office/drawing/2014/main" xmlns="" id="{00000000-0008-0000-0900-000041010000}"/>
            </a:ext>
          </a:extLst>
        </xdr:cNvPr>
        <xdr:cNvSpPr txBox="1"/>
      </xdr:nvSpPr>
      <xdr:spPr>
        <a:xfrm>
          <a:off x="27308175" y="19678650"/>
          <a:ext cx="3496234" cy="981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CAN1 Data</a:t>
          </a:r>
          <a:r>
            <a:rPr lang="en-US" sz="1800" b="1" baseline="0"/>
            <a:t> Phase</a:t>
          </a:r>
          <a:r>
            <a:rPr lang="en-US" sz="1800" b="1"/>
            <a:t> Bit Time Segments (in ns)</a:t>
          </a:r>
        </a:p>
      </xdr:txBody>
    </xdr:sp>
    <xdr:clientData/>
  </xdr:oneCellAnchor>
  <xdr:oneCellAnchor>
    <xdr:from>
      <xdr:col>46</xdr:col>
      <xdr:colOff>257176</xdr:colOff>
      <xdr:row>107</xdr:row>
      <xdr:rowOff>9525</xdr:rowOff>
    </xdr:from>
    <xdr:ext cx="419101" cy="1221442"/>
    <xdr:sp macro="" textlink="">
      <xdr:nvSpPr>
        <xdr:cNvPr id="322" name="TextBox 321">
          <a:extLst>
            <a:ext uri="{FF2B5EF4-FFF2-40B4-BE49-F238E27FC236}">
              <a16:creationId xmlns:a16="http://schemas.microsoft.com/office/drawing/2014/main" xmlns="" id="{00000000-0008-0000-0900-000042010000}"/>
            </a:ext>
          </a:extLst>
        </xdr:cNvPr>
        <xdr:cNvSpPr txBox="1"/>
      </xdr:nvSpPr>
      <xdr:spPr>
        <a:xfrm rot="16200000">
          <a:off x="27897606" y="21384745"/>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46</xdr:col>
      <xdr:colOff>219075</xdr:colOff>
      <xdr:row>123</xdr:row>
      <xdr:rowOff>114300</xdr:rowOff>
    </xdr:from>
    <xdr:ext cx="419101" cy="2353237"/>
    <xdr:sp macro="" textlink="">
      <xdr:nvSpPr>
        <xdr:cNvPr id="323" name="TextBox 322">
          <a:extLst>
            <a:ext uri="{FF2B5EF4-FFF2-40B4-BE49-F238E27FC236}">
              <a16:creationId xmlns:a16="http://schemas.microsoft.com/office/drawing/2014/main" xmlns="" id="{00000000-0008-0000-0900-000043010000}"/>
            </a:ext>
          </a:extLst>
        </xdr:cNvPr>
        <xdr:cNvSpPr txBox="1"/>
      </xdr:nvSpPr>
      <xdr:spPr>
        <a:xfrm rot="16200000">
          <a:off x="27293607" y="25227243"/>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46</xdr:col>
      <xdr:colOff>238125</xdr:colOff>
      <xdr:row>167</xdr:row>
      <xdr:rowOff>95250</xdr:rowOff>
    </xdr:from>
    <xdr:ext cx="419101" cy="2353237"/>
    <xdr:sp macro="" textlink="">
      <xdr:nvSpPr>
        <xdr:cNvPr id="324" name="TextBox 323">
          <a:extLst>
            <a:ext uri="{FF2B5EF4-FFF2-40B4-BE49-F238E27FC236}">
              <a16:creationId xmlns:a16="http://schemas.microsoft.com/office/drawing/2014/main" xmlns="" id="{00000000-0008-0000-0900-000044010000}"/>
            </a:ext>
          </a:extLst>
        </xdr:cNvPr>
        <xdr:cNvSpPr txBox="1"/>
      </xdr:nvSpPr>
      <xdr:spPr>
        <a:xfrm rot="16200000">
          <a:off x="27312657" y="3384736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48</xdr:col>
      <xdr:colOff>60273</xdr:colOff>
      <xdr:row>115</xdr:row>
      <xdr:rowOff>0</xdr:rowOff>
    </xdr:from>
    <xdr:to>
      <xdr:col>49</xdr:col>
      <xdr:colOff>81083</xdr:colOff>
      <xdr:row>163</xdr:row>
      <xdr:rowOff>121663</xdr:rowOff>
    </xdr:to>
    <xdr:sp macro="" textlink="">
      <xdr:nvSpPr>
        <xdr:cNvPr id="325" name="Left Brace 324">
          <a:extLst>
            <a:ext uri="{FF2B5EF4-FFF2-40B4-BE49-F238E27FC236}">
              <a16:creationId xmlns:a16="http://schemas.microsoft.com/office/drawing/2014/main" xmlns="" id="{00000000-0008-0000-0900-000045010000}"/>
            </a:ext>
          </a:extLst>
        </xdr:cNvPr>
        <xdr:cNvSpPr/>
      </xdr:nvSpPr>
      <xdr:spPr>
        <a:xfrm rot="10800000">
          <a:off x="29321073" y="22574250"/>
          <a:ext cx="630410" cy="9532363"/>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49</xdr:col>
      <xdr:colOff>9525</xdr:colOff>
      <xdr:row>131</xdr:row>
      <xdr:rowOff>72676</xdr:rowOff>
    </xdr:from>
    <xdr:ext cx="595995" cy="3006379"/>
    <xdr:sp macro="" textlink="">
      <xdr:nvSpPr>
        <xdr:cNvPr id="326" name="TextBox 325">
          <a:extLst>
            <a:ext uri="{FF2B5EF4-FFF2-40B4-BE49-F238E27FC236}">
              <a16:creationId xmlns:a16="http://schemas.microsoft.com/office/drawing/2014/main" xmlns="" id="{00000000-0008-0000-0900-000046010000}"/>
            </a:ext>
          </a:extLst>
        </xdr:cNvPr>
        <xdr:cNvSpPr txBox="1"/>
      </xdr:nvSpPr>
      <xdr:spPr>
        <a:xfrm rot="5400000">
          <a:off x="28674733" y="27004893"/>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twoCellAnchor>
    <xdr:from>
      <xdr:col>48</xdr:col>
      <xdr:colOff>57926</xdr:colOff>
      <xdr:row>164</xdr:row>
      <xdr:rowOff>66675</xdr:rowOff>
    </xdr:from>
    <xdr:to>
      <xdr:col>49</xdr:col>
      <xdr:colOff>9763</xdr:colOff>
      <xdr:row>183</xdr:row>
      <xdr:rowOff>1120</xdr:rowOff>
    </xdr:to>
    <xdr:sp macro="" textlink="">
      <xdr:nvSpPr>
        <xdr:cNvPr id="327" name="Left Brace 326">
          <a:extLst>
            <a:ext uri="{FF2B5EF4-FFF2-40B4-BE49-F238E27FC236}">
              <a16:creationId xmlns:a16="http://schemas.microsoft.com/office/drawing/2014/main" xmlns="" id="{00000000-0008-0000-0900-000047010000}"/>
            </a:ext>
          </a:extLst>
        </xdr:cNvPr>
        <xdr:cNvSpPr/>
      </xdr:nvSpPr>
      <xdr:spPr>
        <a:xfrm rot="10800000">
          <a:off x="29318726" y="32242125"/>
          <a:ext cx="561437" cy="3668245"/>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485775</xdr:colOff>
      <xdr:row>165</xdr:row>
      <xdr:rowOff>57149</xdr:rowOff>
    </xdr:from>
    <xdr:ext cx="595995" cy="3006379"/>
    <xdr:sp macro="" textlink="">
      <xdr:nvSpPr>
        <xdr:cNvPr id="328" name="TextBox 327">
          <a:extLst>
            <a:ext uri="{FF2B5EF4-FFF2-40B4-BE49-F238E27FC236}">
              <a16:creationId xmlns:a16="http://schemas.microsoft.com/office/drawing/2014/main" xmlns="" id="{00000000-0008-0000-0900-000048010000}"/>
            </a:ext>
          </a:extLst>
        </xdr:cNvPr>
        <xdr:cNvSpPr txBox="1"/>
      </xdr:nvSpPr>
      <xdr:spPr>
        <a:xfrm rot="5400000">
          <a:off x="28541383" y="33637816"/>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oneCellAnchor>
    <xdr:from>
      <xdr:col>35</xdr:col>
      <xdr:colOff>447675</xdr:colOff>
      <xdr:row>189</xdr:row>
      <xdr:rowOff>152400</xdr:rowOff>
    </xdr:from>
    <xdr:ext cx="3496234" cy="953058"/>
    <xdr:sp macro="" textlink="">
      <xdr:nvSpPr>
        <xdr:cNvPr id="329" name="TextBox 328">
          <a:extLst>
            <a:ext uri="{FF2B5EF4-FFF2-40B4-BE49-F238E27FC236}">
              <a16:creationId xmlns:a16="http://schemas.microsoft.com/office/drawing/2014/main" xmlns="" id="{00000000-0008-0000-0900-000049010000}"/>
            </a:ext>
          </a:extLst>
        </xdr:cNvPr>
        <xdr:cNvSpPr txBox="1"/>
      </xdr:nvSpPr>
      <xdr:spPr>
        <a:xfrm>
          <a:off x="21783675" y="37242750"/>
          <a:ext cx="3496234" cy="953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CAN2 Arbitration</a:t>
          </a:r>
          <a:r>
            <a:rPr lang="en-US" sz="1800" b="1" baseline="0"/>
            <a:t> Phase</a:t>
          </a:r>
          <a:r>
            <a:rPr lang="en-US" sz="1800" b="1"/>
            <a:t> Bit Time Segments (in ns)</a:t>
          </a:r>
        </a:p>
      </xdr:txBody>
    </xdr:sp>
    <xdr:clientData/>
  </xdr:oneCellAnchor>
  <xdr:twoCellAnchor>
    <xdr:from>
      <xdr:col>39</xdr:col>
      <xdr:colOff>28575</xdr:colOff>
      <xdr:row>254</xdr:row>
      <xdr:rowOff>15251</xdr:rowOff>
    </xdr:from>
    <xdr:to>
      <xdr:col>41</xdr:col>
      <xdr:colOff>304799</xdr:colOff>
      <xdr:row>254</xdr:row>
      <xdr:rowOff>15251</xdr:rowOff>
    </xdr:to>
    <xdr:cxnSp macro="">
      <xdr:nvCxnSpPr>
        <xdr:cNvPr id="330" name="Straight Arrow Connector 329">
          <a:extLst>
            <a:ext uri="{FF2B5EF4-FFF2-40B4-BE49-F238E27FC236}">
              <a16:creationId xmlns:a16="http://schemas.microsoft.com/office/drawing/2014/main" xmlns="" id="{00000000-0008-0000-0900-00004A010000}"/>
            </a:ext>
          </a:extLst>
        </xdr:cNvPr>
        <xdr:cNvCxnSpPr/>
      </xdr:nvCxnSpPr>
      <xdr:spPr>
        <a:xfrm flipH="1">
          <a:off x="23802975" y="49869101"/>
          <a:ext cx="14954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40</xdr:col>
      <xdr:colOff>299757</xdr:colOff>
      <xdr:row>252</xdr:row>
      <xdr:rowOff>85725</xdr:rowOff>
    </xdr:from>
    <xdr:ext cx="3006379" cy="595995"/>
    <xdr:sp macro="" textlink="">
      <xdr:nvSpPr>
        <xdr:cNvPr id="331" name="TextBox 330">
          <a:extLst>
            <a:ext uri="{FF2B5EF4-FFF2-40B4-BE49-F238E27FC236}">
              <a16:creationId xmlns:a16="http://schemas.microsoft.com/office/drawing/2014/main" xmlns="" id="{00000000-0008-0000-0900-00004B010000}"/>
            </a:ext>
          </a:extLst>
        </xdr:cNvPr>
        <xdr:cNvSpPr txBox="1"/>
      </xdr:nvSpPr>
      <xdr:spPr>
        <a:xfrm>
          <a:off x="24683757" y="49558575"/>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Sample Point</a:t>
          </a:r>
        </a:p>
      </xdr:txBody>
    </xdr:sp>
    <xdr:clientData/>
  </xdr:oneCellAnchor>
  <xdr:twoCellAnchor>
    <xdr:from>
      <xdr:col>44</xdr:col>
      <xdr:colOff>238124</xdr:colOff>
      <xdr:row>254</xdr:row>
      <xdr:rowOff>34301</xdr:rowOff>
    </xdr:from>
    <xdr:to>
      <xdr:col>46</xdr:col>
      <xdr:colOff>561974</xdr:colOff>
      <xdr:row>254</xdr:row>
      <xdr:rowOff>34301</xdr:rowOff>
    </xdr:to>
    <xdr:cxnSp macro="">
      <xdr:nvCxnSpPr>
        <xdr:cNvPr id="332" name="Straight Arrow Connector 331">
          <a:extLst>
            <a:ext uri="{FF2B5EF4-FFF2-40B4-BE49-F238E27FC236}">
              <a16:creationId xmlns:a16="http://schemas.microsoft.com/office/drawing/2014/main" xmlns="" id="{00000000-0008-0000-0900-00004C010000}"/>
            </a:ext>
          </a:extLst>
        </xdr:cNvPr>
        <xdr:cNvCxnSpPr/>
      </xdr:nvCxnSpPr>
      <xdr:spPr>
        <a:xfrm>
          <a:off x="27060524" y="49888151"/>
          <a:ext cx="1543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44</xdr:col>
      <xdr:colOff>485775</xdr:colOff>
      <xdr:row>189</xdr:row>
      <xdr:rowOff>104775</xdr:rowOff>
    </xdr:from>
    <xdr:ext cx="3496234" cy="981075"/>
    <xdr:sp macro="" textlink="">
      <xdr:nvSpPr>
        <xdr:cNvPr id="333" name="TextBox 332">
          <a:extLst>
            <a:ext uri="{FF2B5EF4-FFF2-40B4-BE49-F238E27FC236}">
              <a16:creationId xmlns:a16="http://schemas.microsoft.com/office/drawing/2014/main" xmlns="" id="{00000000-0008-0000-0900-00004D010000}"/>
            </a:ext>
          </a:extLst>
        </xdr:cNvPr>
        <xdr:cNvSpPr txBox="1"/>
      </xdr:nvSpPr>
      <xdr:spPr>
        <a:xfrm>
          <a:off x="27308175" y="37195125"/>
          <a:ext cx="3496234" cy="981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CAN2 Data</a:t>
          </a:r>
          <a:r>
            <a:rPr lang="en-US" sz="1800" b="1" baseline="0"/>
            <a:t> Phase</a:t>
          </a:r>
          <a:r>
            <a:rPr lang="en-US" sz="1800" b="1"/>
            <a:t> Bit Time Segments (in ns)</a:t>
          </a:r>
        </a:p>
      </xdr:txBody>
    </xdr:sp>
    <xdr:clientData/>
  </xdr:oneCellAnchor>
  <xdr:oneCellAnchor>
    <xdr:from>
      <xdr:col>46</xdr:col>
      <xdr:colOff>257175</xdr:colOff>
      <xdr:row>196</xdr:row>
      <xdr:rowOff>152401</xdr:rowOff>
    </xdr:from>
    <xdr:ext cx="419101" cy="1221442"/>
    <xdr:sp macro="" textlink="">
      <xdr:nvSpPr>
        <xdr:cNvPr id="334" name="TextBox 333">
          <a:extLst>
            <a:ext uri="{FF2B5EF4-FFF2-40B4-BE49-F238E27FC236}">
              <a16:creationId xmlns:a16="http://schemas.microsoft.com/office/drawing/2014/main" xmlns="" id="{00000000-0008-0000-0900-00004E010000}"/>
            </a:ext>
          </a:extLst>
        </xdr:cNvPr>
        <xdr:cNvSpPr txBox="1"/>
      </xdr:nvSpPr>
      <xdr:spPr>
        <a:xfrm rot="16200000">
          <a:off x="27897605" y="39005996"/>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46</xdr:col>
      <xdr:colOff>228600</xdr:colOff>
      <xdr:row>213</xdr:row>
      <xdr:rowOff>123825</xdr:rowOff>
    </xdr:from>
    <xdr:ext cx="419101" cy="2353237"/>
    <xdr:sp macro="" textlink="">
      <xdr:nvSpPr>
        <xdr:cNvPr id="335" name="TextBox 334">
          <a:extLst>
            <a:ext uri="{FF2B5EF4-FFF2-40B4-BE49-F238E27FC236}">
              <a16:creationId xmlns:a16="http://schemas.microsoft.com/office/drawing/2014/main" xmlns="" id="{00000000-0008-0000-0900-00004F010000}"/>
            </a:ext>
          </a:extLst>
        </xdr:cNvPr>
        <xdr:cNvSpPr txBox="1"/>
      </xdr:nvSpPr>
      <xdr:spPr>
        <a:xfrm rot="16200000">
          <a:off x="27303132" y="4291516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46</xdr:col>
      <xdr:colOff>228600</xdr:colOff>
      <xdr:row>237</xdr:row>
      <xdr:rowOff>85725</xdr:rowOff>
    </xdr:from>
    <xdr:ext cx="419101" cy="2353237"/>
    <xdr:sp macro="" textlink="">
      <xdr:nvSpPr>
        <xdr:cNvPr id="336" name="TextBox 335">
          <a:extLst>
            <a:ext uri="{FF2B5EF4-FFF2-40B4-BE49-F238E27FC236}">
              <a16:creationId xmlns:a16="http://schemas.microsoft.com/office/drawing/2014/main" xmlns="" id="{00000000-0008-0000-0900-000050010000}"/>
            </a:ext>
          </a:extLst>
        </xdr:cNvPr>
        <xdr:cNvSpPr txBox="1"/>
      </xdr:nvSpPr>
      <xdr:spPr>
        <a:xfrm rot="16200000">
          <a:off x="27303132" y="4760146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oneCellAnchor>
    <xdr:from>
      <xdr:col>46</xdr:col>
      <xdr:colOff>209550</xdr:colOff>
      <xdr:row>257</xdr:row>
      <xdr:rowOff>161925</xdr:rowOff>
    </xdr:from>
    <xdr:ext cx="419101" cy="2353237"/>
    <xdr:sp macro="" textlink="">
      <xdr:nvSpPr>
        <xdr:cNvPr id="337" name="TextBox 336">
          <a:extLst>
            <a:ext uri="{FF2B5EF4-FFF2-40B4-BE49-F238E27FC236}">
              <a16:creationId xmlns:a16="http://schemas.microsoft.com/office/drawing/2014/main" xmlns="" id="{00000000-0008-0000-0900-000051010000}"/>
            </a:ext>
          </a:extLst>
        </xdr:cNvPr>
        <xdr:cNvSpPr txBox="1"/>
      </xdr:nvSpPr>
      <xdr:spPr>
        <a:xfrm rot="16200000">
          <a:off x="27284082" y="5158291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48</xdr:col>
      <xdr:colOff>31698</xdr:colOff>
      <xdr:row>205</xdr:row>
      <xdr:rowOff>19050</xdr:rowOff>
    </xdr:from>
    <xdr:to>
      <xdr:col>49</xdr:col>
      <xdr:colOff>52508</xdr:colOff>
      <xdr:row>253</xdr:row>
      <xdr:rowOff>140713</xdr:rowOff>
    </xdr:to>
    <xdr:sp macro="" textlink="">
      <xdr:nvSpPr>
        <xdr:cNvPr id="338" name="Left Brace 337">
          <a:extLst>
            <a:ext uri="{FF2B5EF4-FFF2-40B4-BE49-F238E27FC236}">
              <a16:creationId xmlns:a16="http://schemas.microsoft.com/office/drawing/2014/main" xmlns="" id="{00000000-0008-0000-0900-000052010000}"/>
            </a:ext>
          </a:extLst>
        </xdr:cNvPr>
        <xdr:cNvSpPr/>
      </xdr:nvSpPr>
      <xdr:spPr>
        <a:xfrm rot="10800000">
          <a:off x="29292498" y="40271700"/>
          <a:ext cx="630410" cy="9532363"/>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542925</xdr:colOff>
      <xdr:row>221</xdr:row>
      <xdr:rowOff>72676</xdr:rowOff>
    </xdr:from>
    <xdr:ext cx="595995" cy="3006379"/>
    <xdr:sp macro="" textlink="">
      <xdr:nvSpPr>
        <xdr:cNvPr id="339" name="TextBox 338">
          <a:extLst>
            <a:ext uri="{FF2B5EF4-FFF2-40B4-BE49-F238E27FC236}">
              <a16:creationId xmlns:a16="http://schemas.microsoft.com/office/drawing/2014/main" xmlns="" id="{00000000-0008-0000-0900-000053010000}"/>
            </a:ext>
          </a:extLst>
        </xdr:cNvPr>
        <xdr:cNvSpPr txBox="1"/>
      </xdr:nvSpPr>
      <xdr:spPr>
        <a:xfrm rot="5400000">
          <a:off x="28598533" y="44683293"/>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twoCellAnchor>
    <xdr:from>
      <xdr:col>48</xdr:col>
      <xdr:colOff>57926</xdr:colOff>
      <xdr:row>254</xdr:row>
      <xdr:rowOff>57150</xdr:rowOff>
    </xdr:from>
    <xdr:to>
      <xdr:col>49</xdr:col>
      <xdr:colOff>9763</xdr:colOff>
      <xdr:row>272</xdr:row>
      <xdr:rowOff>182095</xdr:rowOff>
    </xdr:to>
    <xdr:sp macro="" textlink="">
      <xdr:nvSpPr>
        <xdr:cNvPr id="340" name="Left Brace 339">
          <a:extLst>
            <a:ext uri="{FF2B5EF4-FFF2-40B4-BE49-F238E27FC236}">
              <a16:creationId xmlns:a16="http://schemas.microsoft.com/office/drawing/2014/main" xmlns="" id="{00000000-0008-0000-0900-000054010000}"/>
            </a:ext>
          </a:extLst>
        </xdr:cNvPr>
        <xdr:cNvSpPr/>
      </xdr:nvSpPr>
      <xdr:spPr>
        <a:xfrm rot="10800000">
          <a:off x="29318726" y="49911000"/>
          <a:ext cx="561437" cy="3668245"/>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495300</xdr:colOff>
      <xdr:row>255</xdr:row>
      <xdr:rowOff>55906</xdr:rowOff>
    </xdr:from>
    <xdr:ext cx="595995" cy="3006379"/>
    <xdr:sp macro="" textlink="">
      <xdr:nvSpPr>
        <xdr:cNvPr id="341" name="TextBox 340">
          <a:extLst>
            <a:ext uri="{FF2B5EF4-FFF2-40B4-BE49-F238E27FC236}">
              <a16:creationId xmlns:a16="http://schemas.microsoft.com/office/drawing/2014/main" xmlns="" id="{00000000-0008-0000-0900-000055010000}"/>
            </a:ext>
          </a:extLst>
        </xdr:cNvPr>
        <xdr:cNvSpPr txBox="1"/>
      </xdr:nvSpPr>
      <xdr:spPr>
        <a:xfrm rot="5400000">
          <a:off x="28550908" y="51305448"/>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5</xdr:col>
      <xdr:colOff>426244</xdr:colOff>
      <xdr:row>8</xdr:row>
      <xdr:rowOff>14287</xdr:rowOff>
    </xdr:from>
    <xdr:to>
      <xdr:col>7</xdr:col>
      <xdr:colOff>218327</xdr:colOff>
      <xdr:row>11</xdr:row>
      <xdr:rowOff>182471</xdr:rowOff>
    </xdr:to>
    <xdr:sp macro="" textlink="">
      <xdr:nvSpPr>
        <xdr:cNvPr id="2" name="Rectangle 1">
          <a:extLst>
            <a:ext uri="{FF2B5EF4-FFF2-40B4-BE49-F238E27FC236}">
              <a16:creationId xmlns:a16="http://schemas.microsoft.com/office/drawing/2014/main" xmlns="" id="{00000000-0008-0000-0A00-000002000000}"/>
            </a:ext>
          </a:extLst>
        </xdr:cNvPr>
        <xdr:cNvSpPr/>
      </xdr:nvSpPr>
      <xdr:spPr>
        <a:xfrm>
          <a:off x="3474244" y="1538287"/>
          <a:ext cx="1011283" cy="7492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Prediv</a:t>
          </a:r>
        </a:p>
        <a:p>
          <a:pPr algn="ctr"/>
          <a:r>
            <a:rPr lang="en-US" sz="900"/>
            <a:t>SCG_SPLLCFG[PREDIV]</a:t>
          </a:r>
        </a:p>
        <a:p>
          <a:pPr algn="ctr"/>
          <a:r>
            <a:rPr lang="en-US" sz="1100"/>
            <a:t>/0...7</a:t>
          </a:r>
        </a:p>
      </xdr:txBody>
    </xdr:sp>
    <xdr:clientData/>
  </xdr:twoCellAnchor>
  <xdr:oneCellAnchor>
    <xdr:from>
      <xdr:col>0</xdr:col>
      <xdr:colOff>416902</xdr:colOff>
      <xdr:row>9</xdr:row>
      <xdr:rowOff>145073</xdr:rowOff>
    </xdr:from>
    <xdr:ext cx="847725" cy="266700"/>
    <xdr:sp macro="" textlink="">
      <xdr:nvSpPr>
        <xdr:cNvPr id="3" name="TextBox 2">
          <a:hlinkClick xmlns:r="http://schemas.openxmlformats.org/officeDocument/2006/relationships" r:id="rId1"/>
          <a:extLst>
            <a:ext uri="{FF2B5EF4-FFF2-40B4-BE49-F238E27FC236}">
              <a16:creationId xmlns:a16="http://schemas.microsoft.com/office/drawing/2014/main" xmlns="" id="{00000000-0008-0000-0A00-000003000000}"/>
            </a:ext>
          </a:extLst>
        </xdr:cNvPr>
        <xdr:cNvSpPr txBox="1"/>
      </xdr:nvSpPr>
      <xdr:spPr>
        <a:xfrm>
          <a:off x="416902" y="1859573"/>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SPLL</a:t>
          </a:r>
          <a:r>
            <a:rPr lang="en-US" sz="1000" b="1" baseline="0"/>
            <a:t> Input</a:t>
          </a:r>
          <a:endParaRPr lang="en-US" sz="1000" b="1"/>
        </a:p>
      </xdr:txBody>
    </xdr:sp>
    <xdr:clientData/>
  </xdr:oneCellAnchor>
  <xdr:twoCellAnchor>
    <xdr:from>
      <xdr:col>3</xdr:col>
      <xdr:colOff>0</xdr:colOff>
      <xdr:row>10</xdr:row>
      <xdr:rowOff>104775</xdr:rowOff>
    </xdr:from>
    <xdr:to>
      <xdr:col>5</xdr:col>
      <xdr:colOff>390525</xdr:colOff>
      <xdr:row>10</xdr:row>
      <xdr:rowOff>104775</xdr:rowOff>
    </xdr:to>
    <xdr:cxnSp macro="">
      <xdr:nvCxnSpPr>
        <xdr:cNvPr id="4" name="Straight Arrow Connector 3">
          <a:extLst>
            <a:ext uri="{FF2B5EF4-FFF2-40B4-BE49-F238E27FC236}">
              <a16:creationId xmlns:a16="http://schemas.microsoft.com/office/drawing/2014/main" xmlns="" id="{00000000-0008-0000-0A00-000004000000}"/>
            </a:ext>
          </a:extLst>
        </xdr:cNvPr>
        <xdr:cNvCxnSpPr/>
      </xdr:nvCxnSpPr>
      <xdr:spPr>
        <a:xfrm>
          <a:off x="1828800" y="2009775"/>
          <a:ext cx="160972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392906</xdr:colOff>
      <xdr:row>8</xdr:row>
      <xdr:rowOff>11907</xdr:rowOff>
    </xdr:from>
    <xdr:to>
      <xdr:col>11</xdr:col>
      <xdr:colOff>184989</xdr:colOff>
      <xdr:row>11</xdr:row>
      <xdr:rowOff>180091</xdr:rowOff>
    </xdr:to>
    <xdr:sp macro="" textlink="">
      <xdr:nvSpPr>
        <xdr:cNvPr id="5" name="Rectangle 4">
          <a:extLst>
            <a:ext uri="{FF2B5EF4-FFF2-40B4-BE49-F238E27FC236}">
              <a16:creationId xmlns:a16="http://schemas.microsoft.com/office/drawing/2014/main" xmlns="" id="{00000000-0008-0000-0A00-000005000000}"/>
            </a:ext>
          </a:extLst>
        </xdr:cNvPr>
        <xdr:cNvSpPr/>
      </xdr:nvSpPr>
      <xdr:spPr>
        <a:xfrm>
          <a:off x="5879306" y="1535907"/>
          <a:ext cx="1011283" cy="7492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Multiplier</a:t>
          </a:r>
        </a:p>
        <a:p>
          <a:pPr algn="ctr"/>
          <a:r>
            <a:rPr lang="en-US" sz="900"/>
            <a:t>SCG_SPLLCFG[MULT]</a:t>
          </a:r>
        </a:p>
        <a:p>
          <a:pPr algn="ctr"/>
          <a:r>
            <a:rPr lang="en-US" sz="1100"/>
            <a:t>*0...31</a:t>
          </a:r>
        </a:p>
      </xdr:txBody>
    </xdr:sp>
    <xdr:clientData/>
  </xdr:twoCellAnchor>
  <xdr:twoCellAnchor>
    <xdr:from>
      <xdr:col>7</xdr:col>
      <xdr:colOff>218327</xdr:colOff>
      <xdr:row>10</xdr:row>
      <xdr:rowOff>749</xdr:rowOff>
    </xdr:from>
    <xdr:to>
      <xdr:col>9</xdr:col>
      <xdr:colOff>392906</xdr:colOff>
      <xdr:row>10</xdr:row>
      <xdr:rowOff>3129</xdr:rowOff>
    </xdr:to>
    <xdr:cxnSp macro="">
      <xdr:nvCxnSpPr>
        <xdr:cNvPr id="6" name="Straight Arrow Connector 5">
          <a:extLst>
            <a:ext uri="{FF2B5EF4-FFF2-40B4-BE49-F238E27FC236}">
              <a16:creationId xmlns:a16="http://schemas.microsoft.com/office/drawing/2014/main" xmlns="" id="{00000000-0008-0000-0A00-000006000000}"/>
            </a:ext>
          </a:extLst>
        </xdr:cNvPr>
        <xdr:cNvCxnSpPr>
          <a:stCxn id="2" idx="3"/>
          <a:endCxn id="5" idx="1"/>
        </xdr:cNvCxnSpPr>
      </xdr:nvCxnSpPr>
      <xdr:spPr>
        <a:xfrm flipV="1">
          <a:off x="4485527" y="1905749"/>
          <a:ext cx="1393779" cy="238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184989</xdr:colOff>
      <xdr:row>10</xdr:row>
      <xdr:rowOff>749</xdr:rowOff>
    </xdr:from>
    <xdr:to>
      <xdr:col>13</xdr:col>
      <xdr:colOff>600075</xdr:colOff>
      <xdr:row>10</xdr:row>
      <xdr:rowOff>5512</xdr:rowOff>
    </xdr:to>
    <xdr:cxnSp macro="">
      <xdr:nvCxnSpPr>
        <xdr:cNvPr id="8" name="Straight Arrow Connector 7">
          <a:extLst>
            <a:ext uri="{FF2B5EF4-FFF2-40B4-BE49-F238E27FC236}">
              <a16:creationId xmlns:a16="http://schemas.microsoft.com/office/drawing/2014/main" xmlns="" id="{00000000-0008-0000-0A00-000008000000}"/>
            </a:ext>
          </a:extLst>
        </xdr:cNvPr>
        <xdr:cNvCxnSpPr>
          <a:stCxn id="5" idx="3"/>
        </xdr:cNvCxnSpPr>
      </xdr:nvCxnSpPr>
      <xdr:spPr>
        <a:xfrm flipV="1">
          <a:off x="6890589" y="1905749"/>
          <a:ext cx="1634286" cy="4763"/>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228600</xdr:colOff>
      <xdr:row>10</xdr:row>
      <xdr:rowOff>111192</xdr:rowOff>
    </xdr:from>
    <xdr:to>
      <xdr:col>20</xdr:col>
      <xdr:colOff>600075</xdr:colOff>
      <xdr:row>10</xdr:row>
      <xdr:rowOff>111192</xdr:rowOff>
    </xdr:to>
    <xdr:cxnSp macro="">
      <xdr:nvCxnSpPr>
        <xdr:cNvPr id="9" name="Straight Arrow Connector 8">
          <a:extLst>
            <a:ext uri="{FF2B5EF4-FFF2-40B4-BE49-F238E27FC236}">
              <a16:creationId xmlns:a16="http://schemas.microsoft.com/office/drawing/2014/main" xmlns="" id="{00000000-0008-0000-0A00-000009000000}"/>
            </a:ext>
          </a:extLst>
        </xdr:cNvPr>
        <xdr:cNvCxnSpPr/>
      </xdr:nvCxnSpPr>
      <xdr:spPr>
        <a:xfrm>
          <a:off x="11811000" y="2016192"/>
          <a:ext cx="981075"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585346</xdr:colOff>
      <xdr:row>9</xdr:row>
      <xdr:rowOff>142875</xdr:rowOff>
    </xdr:from>
    <xdr:ext cx="847725" cy="266700"/>
    <xdr:sp macro="" textlink="">
      <xdr:nvSpPr>
        <xdr:cNvPr id="10" name="TextBox 9">
          <a:extLst>
            <a:ext uri="{FF2B5EF4-FFF2-40B4-BE49-F238E27FC236}">
              <a16:creationId xmlns:a16="http://schemas.microsoft.com/office/drawing/2014/main" xmlns="" id="{00000000-0008-0000-0A00-00000A000000}"/>
            </a:ext>
          </a:extLst>
        </xdr:cNvPr>
        <xdr:cNvSpPr txBox="1"/>
      </xdr:nvSpPr>
      <xdr:spPr>
        <a:xfrm>
          <a:off x="13386946" y="1857375"/>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SPLL_CLK</a:t>
          </a:r>
        </a:p>
      </xdr:txBody>
    </xdr:sp>
    <xdr:clientData/>
  </xdr:oneCellAnchor>
  <xdr:oneCellAnchor>
    <xdr:from>
      <xdr:col>7</xdr:col>
      <xdr:colOff>16113</xdr:colOff>
      <xdr:row>2</xdr:row>
      <xdr:rowOff>58615</xdr:rowOff>
    </xdr:from>
    <xdr:ext cx="4226176" cy="895348"/>
    <xdr:sp macro="" textlink="">
      <xdr:nvSpPr>
        <xdr:cNvPr id="16" name="TextBox 15">
          <a:extLst>
            <a:ext uri="{FF2B5EF4-FFF2-40B4-BE49-F238E27FC236}">
              <a16:creationId xmlns:a16="http://schemas.microsoft.com/office/drawing/2014/main" xmlns="" id="{00000000-0008-0000-0A00-000010000000}"/>
            </a:ext>
          </a:extLst>
        </xdr:cNvPr>
        <xdr:cNvSpPr txBox="1"/>
      </xdr:nvSpPr>
      <xdr:spPr>
        <a:xfrm>
          <a:off x="4283313" y="439615"/>
          <a:ext cx="4226176"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S32K14x SPLL Setup</a:t>
          </a:r>
        </a:p>
      </xdr:txBody>
    </xdr:sp>
    <xdr:clientData/>
  </xdr:oneCellAnchor>
  <xdr:twoCellAnchor>
    <xdr:from>
      <xdr:col>2</xdr:col>
      <xdr:colOff>417634</xdr:colOff>
      <xdr:row>15</xdr:row>
      <xdr:rowOff>183172</xdr:rowOff>
    </xdr:from>
    <xdr:to>
      <xdr:col>4</xdr:col>
      <xdr:colOff>202443</xdr:colOff>
      <xdr:row>19</xdr:row>
      <xdr:rowOff>180941</xdr:rowOff>
    </xdr:to>
    <xdr:sp macro="" textlink="">
      <xdr:nvSpPr>
        <xdr:cNvPr id="17" name="Rectangle 16">
          <a:extLst>
            <a:ext uri="{FF2B5EF4-FFF2-40B4-BE49-F238E27FC236}">
              <a16:creationId xmlns:a16="http://schemas.microsoft.com/office/drawing/2014/main" xmlns="" id="{00000000-0008-0000-0A00-000011000000}"/>
            </a:ext>
          </a:extLst>
        </xdr:cNvPr>
        <xdr:cNvSpPr/>
      </xdr:nvSpPr>
      <xdr:spPr>
        <a:xfrm>
          <a:off x="1636834" y="3078772"/>
          <a:ext cx="1004009" cy="7597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SPLL Enable</a:t>
          </a:r>
          <a:endParaRPr lang="en-US" sz="1100" baseline="0"/>
        </a:p>
        <a:p>
          <a:pPr algn="ctr"/>
          <a:r>
            <a:rPr lang="en-US" sz="800"/>
            <a:t>SCG_SPLLCSR[SPLLEN]</a:t>
          </a:r>
        </a:p>
      </xdr:txBody>
    </xdr:sp>
    <xdr:clientData/>
  </xdr:twoCellAnchor>
  <xdr:twoCellAnchor>
    <xdr:from>
      <xdr:col>3</xdr:col>
      <xdr:colOff>298939</xdr:colOff>
      <xdr:row>10</xdr:row>
      <xdr:rowOff>102577</xdr:rowOff>
    </xdr:from>
    <xdr:to>
      <xdr:col>3</xdr:col>
      <xdr:colOff>298940</xdr:colOff>
      <xdr:row>15</xdr:row>
      <xdr:rowOff>183907</xdr:rowOff>
    </xdr:to>
    <xdr:cxnSp macro="">
      <xdr:nvCxnSpPr>
        <xdr:cNvPr id="18" name="Straight Arrow Connector 17">
          <a:extLst>
            <a:ext uri="{FF2B5EF4-FFF2-40B4-BE49-F238E27FC236}">
              <a16:creationId xmlns:a16="http://schemas.microsoft.com/office/drawing/2014/main" xmlns="" id="{00000000-0008-0000-0A00-000012000000}"/>
            </a:ext>
          </a:extLst>
        </xdr:cNvPr>
        <xdr:cNvCxnSpPr/>
      </xdr:nvCxnSpPr>
      <xdr:spPr>
        <a:xfrm flipH="1" flipV="1">
          <a:off x="2127739" y="2007577"/>
          <a:ext cx="1" cy="107193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xdr:col>
      <xdr:colOff>564174</xdr:colOff>
      <xdr:row>20</xdr:row>
      <xdr:rowOff>205154</xdr:rowOff>
    </xdr:from>
    <xdr:ext cx="876300" cy="342900"/>
    <xdr:sp macro="" textlink="">
      <xdr:nvSpPr>
        <xdr:cNvPr id="19" name="TextBox 18">
          <a:extLst>
            <a:ext uri="{FF2B5EF4-FFF2-40B4-BE49-F238E27FC236}">
              <a16:creationId xmlns:a16="http://schemas.microsoft.com/office/drawing/2014/main" xmlns="" id="{00000000-0008-0000-0A00-000013000000}"/>
            </a:ext>
          </a:extLst>
        </xdr:cNvPr>
        <xdr:cNvSpPr txBox="1"/>
      </xdr:nvSpPr>
      <xdr:spPr>
        <a:xfrm>
          <a:off x="1783374" y="4062779"/>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SPLL</a:t>
          </a:r>
          <a:r>
            <a:rPr lang="en-US" sz="800" baseline="0"/>
            <a:t> </a:t>
          </a:r>
          <a:r>
            <a:rPr lang="en-US" sz="800"/>
            <a:t>Off</a:t>
          </a:r>
        </a:p>
        <a:p>
          <a:r>
            <a:rPr lang="en-US" sz="800"/>
            <a:t>1 - SPLL</a:t>
          </a:r>
          <a:r>
            <a:rPr lang="en-US" sz="800" baseline="0"/>
            <a:t> On</a:t>
          </a:r>
          <a:endParaRPr lang="en-US" sz="800"/>
        </a:p>
      </xdr:txBody>
    </xdr:sp>
    <xdr:clientData/>
  </xdr:oneCellAnchor>
  <xdr:twoCellAnchor>
    <xdr:from>
      <xdr:col>5</xdr:col>
      <xdr:colOff>409575</xdr:colOff>
      <xdr:row>14</xdr:row>
      <xdr:rowOff>171450</xdr:rowOff>
    </xdr:from>
    <xdr:to>
      <xdr:col>12</xdr:col>
      <xdr:colOff>85725</xdr:colOff>
      <xdr:row>25</xdr:row>
      <xdr:rowOff>50007</xdr:rowOff>
    </xdr:to>
    <xdr:sp macro="" textlink="">
      <xdr:nvSpPr>
        <xdr:cNvPr id="20" name="TextBox 19">
          <a:extLst>
            <a:ext uri="{FF2B5EF4-FFF2-40B4-BE49-F238E27FC236}">
              <a16:creationId xmlns:a16="http://schemas.microsoft.com/office/drawing/2014/main" xmlns="" id="{00000000-0008-0000-0A00-000014000000}"/>
            </a:ext>
          </a:extLst>
        </xdr:cNvPr>
        <xdr:cNvSpPr txBox="1"/>
      </xdr:nvSpPr>
      <xdr:spPr>
        <a:xfrm>
          <a:off x="3457575" y="2876550"/>
          <a:ext cx="3943350" cy="20121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solidFill>
                <a:sysClr val="windowText" lastClr="000000"/>
              </a:solidFill>
            </a:rPr>
            <a:t>                      f</a:t>
          </a:r>
          <a:r>
            <a:rPr lang="en-US" sz="1600" baseline="-25000">
              <a:solidFill>
                <a:sysClr val="windowText" lastClr="000000"/>
              </a:solidFill>
            </a:rPr>
            <a:t>input</a:t>
          </a:r>
          <a:r>
            <a:rPr lang="en-US" sz="1600">
              <a:solidFill>
                <a:sysClr val="windowText" lastClr="000000"/>
              </a:solidFill>
            </a:rPr>
            <a:t>  × (</a:t>
          </a:r>
          <a:r>
            <a:rPr lang="en-US" sz="1600">
              <a:solidFill>
                <a:sysClr val="windowText" lastClr="000000"/>
              </a:solidFill>
              <a:latin typeface="+mn-lt"/>
              <a:ea typeface="+mn-ea"/>
              <a:cs typeface="+mn-cs"/>
            </a:rPr>
            <a:t>MULT + 16)</a:t>
          </a:r>
        </a:p>
        <a:p>
          <a:r>
            <a:rPr lang="en-US" sz="1600">
              <a:solidFill>
                <a:sysClr val="windowText" lastClr="000000"/>
              </a:solidFill>
              <a:latin typeface="+mn-lt"/>
              <a:ea typeface="+mn-ea"/>
              <a:cs typeface="+mn-cs"/>
            </a:rPr>
            <a:t>f</a:t>
          </a:r>
          <a:r>
            <a:rPr lang="en-US" sz="1600" baseline="-25000">
              <a:solidFill>
                <a:sysClr val="windowText" lastClr="000000"/>
              </a:solidFill>
              <a:latin typeface="+mn-lt"/>
              <a:ea typeface="+mn-ea"/>
              <a:cs typeface="+mn-cs"/>
            </a:rPr>
            <a:t>VCO_CLK</a:t>
          </a:r>
          <a:r>
            <a:rPr lang="en-US" sz="1600">
              <a:solidFill>
                <a:sysClr val="windowText" lastClr="000000"/>
              </a:solidFill>
              <a:latin typeface="+mn-lt"/>
              <a:ea typeface="+mn-ea"/>
              <a:cs typeface="+mn-cs"/>
            </a:rPr>
            <a:t> = </a:t>
          </a:r>
          <a:r>
            <a:rPr lang="en-US" sz="1600" baseline="0">
              <a:solidFill>
                <a:sysClr val="windowText" lastClr="000000"/>
              </a:solidFill>
              <a:latin typeface="+mn-lt"/>
              <a:ea typeface="+mn-ea"/>
              <a:cs typeface="+mn-cs"/>
            </a:rPr>
            <a:t>   </a:t>
          </a:r>
          <a:r>
            <a:rPr lang="en-US" sz="1600">
              <a:solidFill>
                <a:sysClr val="windowText" lastClr="000000"/>
              </a:solidFill>
              <a:latin typeface="+mn-lt"/>
              <a:ea typeface="+mn-ea"/>
              <a:cs typeface="+mn-cs"/>
            </a:rPr>
            <a:t>------------------------------------------</a:t>
          </a:r>
          <a:endParaRPr lang="en-US" sz="1600">
            <a:solidFill>
              <a:sysClr val="windowText" lastClr="000000"/>
            </a:solidFill>
          </a:endParaRPr>
        </a:p>
        <a:p>
          <a:r>
            <a:rPr lang="en-US" sz="1600">
              <a:solidFill>
                <a:sysClr val="windowText" lastClr="000000"/>
              </a:solidFill>
            </a:rPr>
            <a:t>                            (PREDIV</a:t>
          </a:r>
          <a:r>
            <a:rPr lang="en-US" sz="1600" baseline="0">
              <a:solidFill>
                <a:sysClr val="windowText" lastClr="000000"/>
              </a:solidFill>
            </a:rPr>
            <a:t> + 1)</a:t>
          </a:r>
          <a:endParaRPr lang="en-US" sz="1600">
            <a:solidFill>
              <a:sysClr val="windowText" lastClr="000000"/>
            </a:solidFill>
          </a:endParaRPr>
        </a:p>
        <a:p>
          <a:endParaRPr lang="en-US" sz="1600"/>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                   	       f</a:t>
          </a:r>
          <a:r>
            <a:rPr lang="en-US" sz="1600" baseline="-25000">
              <a:solidFill>
                <a:schemeClr val="dk1"/>
              </a:solidFill>
              <a:latin typeface="+mn-lt"/>
              <a:ea typeface="+mn-ea"/>
              <a:cs typeface="+mn-cs"/>
            </a:rPr>
            <a:t>VCO_CLK</a:t>
          </a:r>
          <a:endParaRPr lang="en-US" sz="16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f</a:t>
          </a:r>
          <a:r>
            <a:rPr lang="en-US" sz="1600" baseline="-25000">
              <a:solidFill>
                <a:schemeClr val="dk1"/>
              </a:solidFill>
              <a:latin typeface="+mn-lt"/>
              <a:ea typeface="+mn-ea"/>
              <a:cs typeface="+mn-cs"/>
            </a:rPr>
            <a:t>SPLL_CLK</a:t>
          </a:r>
          <a:r>
            <a:rPr lang="en-US" sz="1600">
              <a:solidFill>
                <a:schemeClr val="dk1"/>
              </a:solidFill>
              <a:latin typeface="+mn-lt"/>
              <a:ea typeface="+mn-ea"/>
              <a:cs typeface="+mn-cs"/>
            </a:rPr>
            <a:t> =   ---------------------------</a:t>
          </a:r>
        </a:p>
        <a:p>
          <a:pPr marL="0" marR="0" indent="0" defTabSz="914400" eaLnBrk="1" fontAlgn="auto" latinLnBrk="0" hangingPunct="1">
            <a:lnSpc>
              <a:spcPct val="100000"/>
            </a:lnSpc>
            <a:spcBef>
              <a:spcPts val="0"/>
            </a:spcBef>
            <a:spcAft>
              <a:spcPts val="0"/>
            </a:spcAft>
            <a:buClrTx/>
            <a:buSzTx/>
            <a:buFontTx/>
            <a:buNone/>
            <a:tabLst/>
            <a:defRPr/>
          </a:pPr>
          <a:r>
            <a:rPr lang="en-US" sz="1600"/>
            <a:t>                      </a:t>
          </a:r>
          <a:r>
            <a:rPr lang="en-US" sz="1600" baseline="0"/>
            <a:t>          </a:t>
          </a:r>
          <a:r>
            <a:rPr lang="en-US" sz="1600">
              <a:solidFill>
                <a:schemeClr val="dk1"/>
              </a:solidFill>
              <a:latin typeface="+mn-lt"/>
              <a:ea typeface="+mn-ea"/>
              <a:cs typeface="+mn-cs"/>
            </a:rPr>
            <a:t>2</a:t>
          </a:r>
          <a:endParaRPr lang="en-US" sz="1600"/>
        </a:p>
        <a:p>
          <a:endParaRPr lang="en-US" sz="1600"/>
        </a:p>
      </xdr:txBody>
    </xdr:sp>
    <xdr:clientData/>
  </xdr:twoCellAnchor>
  <xdr:oneCellAnchor>
    <xdr:from>
      <xdr:col>11</xdr:col>
      <xdr:colOff>523875</xdr:colOff>
      <xdr:row>8</xdr:row>
      <xdr:rowOff>133350</xdr:rowOff>
    </xdr:from>
    <xdr:ext cx="847725" cy="266700"/>
    <xdr:sp macro="" textlink="">
      <xdr:nvSpPr>
        <xdr:cNvPr id="21" name="TextBox 20">
          <a:extLst>
            <a:ext uri="{FF2B5EF4-FFF2-40B4-BE49-F238E27FC236}">
              <a16:creationId xmlns:a16="http://schemas.microsoft.com/office/drawing/2014/main" xmlns="" id="{00000000-0008-0000-0A00-000015000000}"/>
            </a:ext>
          </a:extLst>
        </xdr:cNvPr>
        <xdr:cNvSpPr txBox="1"/>
      </xdr:nvSpPr>
      <xdr:spPr>
        <a:xfrm>
          <a:off x="7229475" y="165735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VCO_CLK</a:t>
          </a:r>
        </a:p>
      </xdr:txBody>
    </xdr:sp>
    <xdr:clientData/>
  </xdr:oneCellAnchor>
  <xdr:twoCellAnchor>
    <xdr:from>
      <xdr:col>14</xdr:col>
      <xdr:colOff>0</xdr:colOff>
      <xdr:row>9</xdr:row>
      <xdr:rowOff>152401</xdr:rowOff>
    </xdr:from>
    <xdr:to>
      <xdr:col>14</xdr:col>
      <xdr:colOff>603932</xdr:colOff>
      <xdr:row>10</xdr:row>
      <xdr:rowOff>192267</xdr:rowOff>
    </xdr:to>
    <xdr:sp macro="" textlink="">
      <xdr:nvSpPr>
        <xdr:cNvPr id="22" name="Rectangle 21">
          <a:extLst>
            <a:ext uri="{FF2B5EF4-FFF2-40B4-BE49-F238E27FC236}">
              <a16:creationId xmlns:a16="http://schemas.microsoft.com/office/drawing/2014/main" xmlns="" id="{00000000-0008-0000-0A00-000016000000}"/>
            </a:ext>
          </a:extLst>
        </xdr:cNvPr>
        <xdr:cNvSpPr/>
      </xdr:nvSpPr>
      <xdr:spPr>
        <a:xfrm>
          <a:off x="8534400" y="1866901"/>
          <a:ext cx="603932" cy="2303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/2</a:t>
          </a:r>
          <a:endParaRPr lang="en-US" sz="800"/>
        </a:p>
      </xdr:txBody>
    </xdr:sp>
    <xdr:clientData/>
  </xdr:twoCellAnchor>
  <xdr:twoCellAnchor>
    <xdr:from>
      <xdr:col>13</xdr:col>
      <xdr:colOff>314325</xdr:colOff>
      <xdr:row>9</xdr:row>
      <xdr:rowOff>176214</xdr:rowOff>
    </xdr:from>
    <xdr:to>
      <xdr:col>13</xdr:col>
      <xdr:colOff>314325</xdr:colOff>
      <xdr:row>17</xdr:row>
      <xdr:rowOff>19050</xdr:rowOff>
    </xdr:to>
    <xdr:cxnSp macro="">
      <xdr:nvCxnSpPr>
        <xdr:cNvPr id="26" name="Straight Arrow Connector 25">
          <a:extLst>
            <a:ext uri="{FF2B5EF4-FFF2-40B4-BE49-F238E27FC236}">
              <a16:creationId xmlns:a16="http://schemas.microsoft.com/office/drawing/2014/main" xmlns="" id="{00000000-0008-0000-0A00-00001A000000}"/>
            </a:ext>
          </a:extLst>
        </xdr:cNvPr>
        <xdr:cNvCxnSpPr/>
      </xdr:nvCxnSpPr>
      <xdr:spPr>
        <a:xfrm>
          <a:off x="8239125" y="1890714"/>
          <a:ext cx="0" cy="1404936"/>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304800</xdr:colOff>
      <xdr:row>17</xdr:row>
      <xdr:rowOff>14289</xdr:rowOff>
    </xdr:from>
    <xdr:to>
      <xdr:col>15</xdr:col>
      <xdr:colOff>400050</xdr:colOff>
      <xdr:row>17</xdr:row>
      <xdr:rowOff>14290</xdr:rowOff>
    </xdr:to>
    <xdr:cxnSp macro="">
      <xdr:nvCxnSpPr>
        <xdr:cNvPr id="29" name="Straight Arrow Connector 28">
          <a:extLst>
            <a:ext uri="{FF2B5EF4-FFF2-40B4-BE49-F238E27FC236}">
              <a16:creationId xmlns:a16="http://schemas.microsoft.com/office/drawing/2014/main" xmlns="" id="{00000000-0008-0000-0A00-00001D000000}"/>
            </a:ext>
          </a:extLst>
        </xdr:cNvPr>
        <xdr:cNvCxnSpPr/>
      </xdr:nvCxnSpPr>
      <xdr:spPr>
        <a:xfrm flipV="1">
          <a:off x="8229600" y="3290889"/>
          <a:ext cx="13144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390525</xdr:colOff>
      <xdr:row>15</xdr:row>
      <xdr:rowOff>180975</xdr:rowOff>
    </xdr:from>
    <xdr:to>
      <xdr:col>17</xdr:col>
      <xdr:colOff>182608</xdr:colOff>
      <xdr:row>19</xdr:row>
      <xdr:rowOff>168184</xdr:rowOff>
    </xdr:to>
    <xdr:sp macro="" textlink="">
      <xdr:nvSpPr>
        <xdr:cNvPr id="34" name="Rectangle 33">
          <a:extLst>
            <a:ext uri="{FF2B5EF4-FFF2-40B4-BE49-F238E27FC236}">
              <a16:creationId xmlns:a16="http://schemas.microsoft.com/office/drawing/2014/main" xmlns="" id="{00000000-0008-0000-0A00-000022000000}"/>
            </a:ext>
          </a:extLst>
        </xdr:cNvPr>
        <xdr:cNvSpPr/>
      </xdr:nvSpPr>
      <xdr:spPr>
        <a:xfrm>
          <a:off x="9534525" y="3076575"/>
          <a:ext cx="1011283" cy="7492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SPLL Clock Monitor</a:t>
          </a:r>
          <a:endParaRPr lang="en-US" sz="900"/>
        </a:p>
        <a:p>
          <a:pPr algn="ctr"/>
          <a:r>
            <a:rPr lang="en-US" sz="900"/>
            <a:t>SCG_SPLLCSR[SPLLCM]</a:t>
          </a:r>
          <a:endParaRPr lang="en-US" sz="1100"/>
        </a:p>
      </xdr:txBody>
    </xdr:sp>
    <xdr:clientData/>
  </xdr:twoCellAnchor>
  <xdr:twoCellAnchor>
    <xdr:from>
      <xdr:col>22</xdr:col>
      <xdr:colOff>76200</xdr:colOff>
      <xdr:row>3</xdr:row>
      <xdr:rowOff>9525</xdr:rowOff>
    </xdr:from>
    <xdr:to>
      <xdr:col>28</xdr:col>
      <xdr:colOff>57150</xdr:colOff>
      <xdr:row>5</xdr:row>
      <xdr:rowOff>190499</xdr:rowOff>
    </xdr:to>
    <xdr:sp macro="" textlink="">
      <xdr:nvSpPr>
        <xdr:cNvPr id="23" name="TextBox 22">
          <a:extLst>
            <a:ext uri="{FF2B5EF4-FFF2-40B4-BE49-F238E27FC236}">
              <a16:creationId xmlns:a16="http://schemas.microsoft.com/office/drawing/2014/main" xmlns="" id="{00000000-0008-0000-0A00-000017000000}"/>
            </a:ext>
          </a:extLst>
        </xdr:cNvPr>
        <xdr:cNvSpPr txBox="1"/>
      </xdr:nvSpPr>
      <xdr:spPr>
        <a:xfrm>
          <a:off x="13487400" y="581025"/>
          <a:ext cx="3638550" cy="5619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SPLL supported in</a:t>
          </a:r>
          <a:r>
            <a:rPr lang="en-US" sz="1600" baseline="0"/>
            <a:t> S32K14x only.</a:t>
          </a:r>
          <a:endParaRPr lang="en-US" sz="1600"/>
        </a:p>
      </xdr:txBody>
    </xdr:sp>
    <xdr:clientData/>
  </xdr:twoCellAnchor>
  <xdr:twoCellAnchor>
    <xdr:from>
      <xdr:col>17</xdr:col>
      <xdr:colOff>419100</xdr:colOff>
      <xdr:row>8</xdr:row>
      <xdr:rowOff>133350</xdr:rowOff>
    </xdr:from>
    <xdr:to>
      <xdr:col>19</xdr:col>
      <xdr:colOff>205740</xdr:colOff>
      <xdr:row>12</xdr:row>
      <xdr:rowOff>176402</xdr:rowOff>
    </xdr:to>
    <xdr:sp macro="" textlink="">
      <xdr:nvSpPr>
        <xdr:cNvPr id="24" name="Rectangle 23">
          <a:hlinkClick xmlns:r="http://schemas.openxmlformats.org/officeDocument/2006/relationships" r:id="rId2"/>
          <a:extLst>
            <a:ext uri="{FF2B5EF4-FFF2-40B4-BE49-F238E27FC236}">
              <a16:creationId xmlns:a16="http://schemas.microsoft.com/office/drawing/2014/main" xmlns="" id="{00000000-0008-0000-0A00-000018000000}"/>
            </a:ext>
          </a:extLst>
        </xdr:cNvPr>
        <xdr:cNvSpPr/>
      </xdr:nvSpPr>
      <xdr:spPr>
        <a:xfrm>
          <a:off x="10782300" y="1657350"/>
          <a:ext cx="1005840" cy="8336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effectLst/>
            </a:rPr>
            <a:t>Device</a:t>
          </a:r>
        </a:p>
        <a:p>
          <a:pPr algn="ctr"/>
          <a:r>
            <a:rPr lang="en-US" sz="900">
              <a:solidFill>
                <a:schemeClr val="lt1"/>
              </a:solidFill>
              <a:effectLst/>
              <a:latin typeface="+mn-lt"/>
              <a:ea typeface="+mn-ea"/>
              <a:cs typeface="+mn-cs"/>
            </a:rPr>
            <a:t>Click me for more info</a:t>
          </a:r>
          <a:endParaRPr lang="en-US" sz="900">
            <a:effectLst/>
          </a:endParaRPr>
        </a:p>
      </xdr:txBody>
    </xdr:sp>
    <xdr:clientData/>
  </xdr:twoCellAnchor>
  <xdr:twoCellAnchor>
    <xdr:from>
      <xdr:col>15</xdr:col>
      <xdr:colOff>9525</xdr:colOff>
      <xdr:row>10</xdr:row>
      <xdr:rowOff>57151</xdr:rowOff>
    </xdr:from>
    <xdr:to>
      <xdr:col>17</xdr:col>
      <xdr:colOff>419100</xdr:colOff>
      <xdr:row>10</xdr:row>
      <xdr:rowOff>57152</xdr:rowOff>
    </xdr:to>
    <xdr:cxnSp macro="">
      <xdr:nvCxnSpPr>
        <xdr:cNvPr id="27" name="Straight Arrow Connector 26">
          <a:extLst>
            <a:ext uri="{FF2B5EF4-FFF2-40B4-BE49-F238E27FC236}">
              <a16:creationId xmlns:a16="http://schemas.microsoft.com/office/drawing/2014/main" xmlns="" id="{00000000-0008-0000-0A00-00001B000000}"/>
            </a:ext>
          </a:extLst>
        </xdr:cNvPr>
        <xdr:cNvCxnSpPr/>
      </xdr:nvCxnSpPr>
      <xdr:spPr>
        <a:xfrm flipV="1">
          <a:off x="9153525" y="1962151"/>
          <a:ext cx="1628775"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11906</xdr:colOff>
      <xdr:row>0</xdr:row>
      <xdr:rowOff>797719</xdr:rowOff>
    </xdr:from>
    <xdr:to>
      <xdr:col>9</xdr:col>
      <xdr:colOff>323850</xdr:colOff>
      <xdr:row>8</xdr:row>
      <xdr:rowOff>321470</xdr:rowOff>
    </xdr:to>
    <xdr:sp macro="" textlink="">
      <xdr:nvSpPr>
        <xdr:cNvPr id="3" name="TextBox 2">
          <a:extLst>
            <a:ext uri="{FF2B5EF4-FFF2-40B4-BE49-F238E27FC236}">
              <a16:creationId xmlns:a16="http://schemas.microsoft.com/office/drawing/2014/main" xmlns="" id="{00000000-0008-0000-0B00-000003000000}"/>
            </a:ext>
          </a:extLst>
        </xdr:cNvPr>
        <xdr:cNvSpPr txBox="1"/>
      </xdr:nvSpPr>
      <xdr:spPr>
        <a:xfrm>
          <a:off x="1726406" y="797719"/>
          <a:ext cx="3943350" cy="20121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solidFill>
                <a:sysClr val="windowText" lastClr="000000"/>
              </a:solidFill>
            </a:rPr>
            <a:t>                      f</a:t>
          </a:r>
          <a:r>
            <a:rPr lang="en-US" sz="1600" baseline="-25000">
              <a:solidFill>
                <a:sysClr val="windowText" lastClr="000000"/>
              </a:solidFill>
            </a:rPr>
            <a:t>input</a:t>
          </a:r>
          <a:r>
            <a:rPr lang="en-US" sz="1600">
              <a:solidFill>
                <a:sysClr val="windowText" lastClr="000000"/>
              </a:solidFill>
            </a:rPr>
            <a:t>  × (</a:t>
          </a:r>
          <a:r>
            <a:rPr lang="en-US" sz="1600">
              <a:solidFill>
                <a:sysClr val="windowText" lastClr="000000"/>
              </a:solidFill>
              <a:latin typeface="+mn-lt"/>
              <a:ea typeface="+mn-ea"/>
              <a:cs typeface="+mn-cs"/>
            </a:rPr>
            <a:t>MULT + 16)</a:t>
          </a:r>
        </a:p>
        <a:p>
          <a:r>
            <a:rPr lang="en-US" sz="1600">
              <a:solidFill>
                <a:sysClr val="windowText" lastClr="000000"/>
              </a:solidFill>
              <a:latin typeface="+mn-lt"/>
              <a:ea typeface="+mn-ea"/>
              <a:cs typeface="+mn-cs"/>
            </a:rPr>
            <a:t>f</a:t>
          </a:r>
          <a:r>
            <a:rPr lang="en-US" sz="1600" baseline="-25000">
              <a:solidFill>
                <a:sysClr val="windowText" lastClr="000000"/>
              </a:solidFill>
              <a:latin typeface="+mn-lt"/>
              <a:ea typeface="+mn-ea"/>
              <a:cs typeface="+mn-cs"/>
            </a:rPr>
            <a:t>VCO_CLK</a:t>
          </a:r>
          <a:r>
            <a:rPr lang="en-US" sz="1600">
              <a:solidFill>
                <a:sysClr val="windowText" lastClr="000000"/>
              </a:solidFill>
              <a:latin typeface="+mn-lt"/>
              <a:ea typeface="+mn-ea"/>
              <a:cs typeface="+mn-cs"/>
            </a:rPr>
            <a:t> = </a:t>
          </a:r>
          <a:r>
            <a:rPr lang="en-US" sz="1600" baseline="0">
              <a:solidFill>
                <a:sysClr val="windowText" lastClr="000000"/>
              </a:solidFill>
              <a:latin typeface="+mn-lt"/>
              <a:ea typeface="+mn-ea"/>
              <a:cs typeface="+mn-cs"/>
            </a:rPr>
            <a:t>   </a:t>
          </a:r>
          <a:r>
            <a:rPr lang="en-US" sz="1600">
              <a:solidFill>
                <a:sysClr val="windowText" lastClr="000000"/>
              </a:solidFill>
              <a:latin typeface="+mn-lt"/>
              <a:ea typeface="+mn-ea"/>
              <a:cs typeface="+mn-cs"/>
            </a:rPr>
            <a:t>------------------------------------------</a:t>
          </a:r>
          <a:endParaRPr lang="en-US" sz="1600">
            <a:solidFill>
              <a:sysClr val="windowText" lastClr="000000"/>
            </a:solidFill>
          </a:endParaRPr>
        </a:p>
        <a:p>
          <a:r>
            <a:rPr lang="en-US" sz="1600">
              <a:solidFill>
                <a:sysClr val="windowText" lastClr="000000"/>
              </a:solidFill>
            </a:rPr>
            <a:t>                            (PREDIV</a:t>
          </a:r>
          <a:r>
            <a:rPr lang="en-US" sz="1600" baseline="0">
              <a:solidFill>
                <a:sysClr val="windowText" lastClr="000000"/>
              </a:solidFill>
            </a:rPr>
            <a:t> + 1)</a:t>
          </a:r>
          <a:endParaRPr lang="en-US" sz="1600">
            <a:solidFill>
              <a:sysClr val="windowText" lastClr="000000"/>
            </a:solidFill>
          </a:endParaRPr>
        </a:p>
        <a:p>
          <a:endParaRPr lang="en-US" sz="1600"/>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                   	       f</a:t>
          </a:r>
          <a:r>
            <a:rPr lang="en-US" sz="1600" baseline="-25000">
              <a:solidFill>
                <a:schemeClr val="dk1"/>
              </a:solidFill>
              <a:latin typeface="+mn-lt"/>
              <a:ea typeface="+mn-ea"/>
              <a:cs typeface="+mn-cs"/>
            </a:rPr>
            <a:t>VCO_CLK</a:t>
          </a:r>
          <a:endParaRPr lang="en-US" sz="16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f</a:t>
          </a:r>
          <a:r>
            <a:rPr lang="en-US" sz="1600" baseline="-25000">
              <a:solidFill>
                <a:schemeClr val="dk1"/>
              </a:solidFill>
              <a:latin typeface="+mn-lt"/>
              <a:ea typeface="+mn-ea"/>
              <a:cs typeface="+mn-cs"/>
            </a:rPr>
            <a:t>SPLL_CLK</a:t>
          </a:r>
          <a:r>
            <a:rPr lang="en-US" sz="1600">
              <a:solidFill>
                <a:schemeClr val="dk1"/>
              </a:solidFill>
              <a:latin typeface="+mn-lt"/>
              <a:ea typeface="+mn-ea"/>
              <a:cs typeface="+mn-cs"/>
            </a:rPr>
            <a:t> =   ---------------------------</a:t>
          </a:r>
        </a:p>
        <a:p>
          <a:pPr marL="0" marR="0" indent="0" defTabSz="914400" eaLnBrk="1" fontAlgn="auto" latinLnBrk="0" hangingPunct="1">
            <a:lnSpc>
              <a:spcPct val="100000"/>
            </a:lnSpc>
            <a:spcBef>
              <a:spcPts val="0"/>
            </a:spcBef>
            <a:spcAft>
              <a:spcPts val="0"/>
            </a:spcAft>
            <a:buClrTx/>
            <a:buSzTx/>
            <a:buFontTx/>
            <a:buNone/>
            <a:tabLst/>
            <a:defRPr/>
          </a:pPr>
          <a:r>
            <a:rPr lang="en-US" sz="1600"/>
            <a:t>                      </a:t>
          </a:r>
          <a:r>
            <a:rPr lang="en-US" sz="1600" baseline="0"/>
            <a:t>          </a:t>
          </a:r>
          <a:r>
            <a:rPr lang="en-US" sz="1600">
              <a:solidFill>
                <a:schemeClr val="dk1"/>
              </a:solidFill>
              <a:latin typeface="+mn-lt"/>
              <a:ea typeface="+mn-ea"/>
              <a:cs typeface="+mn-cs"/>
            </a:rPr>
            <a:t>2</a:t>
          </a:r>
          <a:endParaRPr lang="en-US" sz="1600"/>
        </a:p>
        <a:p>
          <a:endParaRPr lang="en-US" sz="1600"/>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1295400</xdr:colOff>
      <xdr:row>0</xdr:row>
      <xdr:rowOff>0</xdr:rowOff>
    </xdr:from>
    <xdr:ext cx="4226176" cy="895348"/>
    <xdr:sp macro="" textlink="">
      <xdr:nvSpPr>
        <xdr:cNvPr id="2" name="TextBox 1">
          <a:extLst>
            <a:ext uri="{FF2B5EF4-FFF2-40B4-BE49-F238E27FC236}">
              <a16:creationId xmlns:a16="http://schemas.microsoft.com/office/drawing/2014/main" xmlns="" id="{00000000-0008-0000-0C00-000002000000}"/>
            </a:ext>
          </a:extLst>
        </xdr:cNvPr>
        <xdr:cNvSpPr txBox="1"/>
      </xdr:nvSpPr>
      <xdr:spPr>
        <a:xfrm>
          <a:off x="3333750" y="0"/>
          <a:ext cx="4226176"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S32K1xx Summary</a:t>
          </a:r>
        </a:p>
      </xdr:txBody>
    </xdr:sp>
    <xdr:clientData/>
  </xdr:oneCellAnchor>
  <xdr:oneCellAnchor>
    <xdr:from>
      <xdr:col>0</xdr:col>
      <xdr:colOff>590550</xdr:colOff>
      <xdr:row>3</xdr:row>
      <xdr:rowOff>85725</xdr:rowOff>
    </xdr:from>
    <xdr:ext cx="2990850" cy="457201"/>
    <xdr:sp macro="" textlink="">
      <xdr:nvSpPr>
        <xdr:cNvPr id="3" name="TextBox 2">
          <a:extLst>
            <a:ext uri="{FF2B5EF4-FFF2-40B4-BE49-F238E27FC236}">
              <a16:creationId xmlns:a16="http://schemas.microsoft.com/office/drawing/2014/main" xmlns="" id="{00000000-0008-0000-0C00-000003000000}"/>
            </a:ext>
          </a:extLst>
        </xdr:cNvPr>
        <xdr:cNvSpPr txBox="1"/>
      </xdr:nvSpPr>
      <xdr:spPr>
        <a:xfrm>
          <a:off x="590550" y="657225"/>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Register Summary</a:t>
          </a:r>
        </a:p>
      </xdr:txBody>
    </xdr:sp>
    <xdr:clientData/>
  </xdr:oneCellAnchor>
  <xdr:oneCellAnchor>
    <xdr:from>
      <xdr:col>6</xdr:col>
      <xdr:colOff>361950</xdr:colOff>
      <xdr:row>3</xdr:row>
      <xdr:rowOff>133350</xdr:rowOff>
    </xdr:from>
    <xdr:ext cx="2990850" cy="457201"/>
    <xdr:sp macro="" textlink="">
      <xdr:nvSpPr>
        <xdr:cNvPr id="4" name="TextBox 3">
          <a:extLst>
            <a:ext uri="{FF2B5EF4-FFF2-40B4-BE49-F238E27FC236}">
              <a16:creationId xmlns:a16="http://schemas.microsoft.com/office/drawing/2014/main" xmlns="" id="{00000000-0008-0000-0C00-000004000000}"/>
            </a:ext>
          </a:extLst>
        </xdr:cNvPr>
        <xdr:cNvSpPr txBox="1"/>
      </xdr:nvSpPr>
      <xdr:spPr>
        <a:xfrm>
          <a:off x="7953375" y="704850"/>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Clock Summary</a:t>
          </a:r>
        </a:p>
      </xdr:txBody>
    </xdr:sp>
    <xdr:clientData/>
  </xdr:oneCellAnchor>
  <xdr:oneCellAnchor>
    <xdr:from>
      <xdr:col>19</xdr:col>
      <xdr:colOff>76200</xdr:colOff>
      <xdr:row>1</xdr:row>
      <xdr:rowOff>152400</xdr:rowOff>
    </xdr:from>
    <xdr:ext cx="2990850" cy="457201"/>
    <xdr:sp macro="" textlink="">
      <xdr:nvSpPr>
        <xdr:cNvPr id="5" name="TextBox 4">
          <a:extLst>
            <a:ext uri="{FF2B5EF4-FFF2-40B4-BE49-F238E27FC236}">
              <a16:creationId xmlns:a16="http://schemas.microsoft.com/office/drawing/2014/main" xmlns="" id="{00000000-0008-0000-0C00-000005000000}"/>
            </a:ext>
          </a:extLst>
        </xdr:cNvPr>
        <xdr:cNvSpPr txBox="1"/>
      </xdr:nvSpPr>
      <xdr:spPr>
        <a:xfrm>
          <a:off x="17640300" y="342900"/>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Sample Initialization Code</a:t>
          </a:r>
        </a:p>
      </xdr:txBody>
    </xdr:sp>
    <xdr:clientData/>
  </xdr:oneCellAnchor>
  <mc:AlternateContent xmlns:mc="http://schemas.openxmlformats.org/markup-compatibility/2006">
    <mc:Choice xmlns:a14="http://schemas.microsoft.com/office/drawing/2010/main" Requires="a14">
      <xdr:twoCellAnchor>
        <xdr:from>
          <xdr:col>15</xdr:col>
          <xdr:colOff>434340</xdr:colOff>
          <xdr:row>2</xdr:row>
          <xdr:rowOff>152400</xdr:rowOff>
        </xdr:from>
        <xdr:to>
          <xdr:col>18</xdr:col>
          <xdr:colOff>259080</xdr:colOff>
          <xdr:row>5</xdr:row>
          <xdr:rowOff>22860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434340</xdr:colOff>
          <xdr:row>60</xdr:row>
          <xdr:rowOff>182880</xdr:rowOff>
        </xdr:from>
        <xdr:to>
          <xdr:col>18</xdr:col>
          <xdr:colOff>289560</xdr:colOff>
          <xdr:row>62</xdr:row>
          <xdr:rowOff>182880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53340</xdr:colOff>
          <xdr:row>3</xdr:row>
          <xdr:rowOff>144780</xdr:rowOff>
        </xdr:from>
        <xdr:to>
          <xdr:col>36</xdr:col>
          <xdr:colOff>419100</xdr:colOff>
          <xdr:row>6</xdr:row>
          <xdr:rowOff>0</xdr:rowOff>
        </xdr:to>
        <xdr:sp macro="" textlink="">
          <xdr:nvSpPr>
            <xdr:cNvPr id="12291" name="Button 3" hidden="1">
              <a:extLst>
                <a:ext uri="{63B3BB69-23CF-44E3-9099-C40C66FF867C}">
                  <a14:compatExt spid="_x0000_s12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601980</xdr:colOff>
          <xdr:row>30</xdr:row>
          <xdr:rowOff>175260</xdr:rowOff>
        </xdr:from>
        <xdr:to>
          <xdr:col>35</xdr:col>
          <xdr:colOff>441960</xdr:colOff>
          <xdr:row>33</xdr:row>
          <xdr:rowOff>22860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15240</xdr:colOff>
          <xdr:row>84</xdr:row>
          <xdr:rowOff>68580</xdr:rowOff>
        </xdr:from>
        <xdr:to>
          <xdr:col>35</xdr:col>
          <xdr:colOff>365760</xdr:colOff>
          <xdr:row>86</xdr:row>
          <xdr:rowOff>137160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15240</xdr:colOff>
          <xdr:row>96</xdr:row>
          <xdr:rowOff>38100</xdr:rowOff>
        </xdr:from>
        <xdr:to>
          <xdr:col>35</xdr:col>
          <xdr:colOff>472440</xdr:colOff>
          <xdr:row>98</xdr:row>
          <xdr:rowOff>137160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altLang="zh-CN" sz="1100" b="0" i="0" u="none" strike="noStrike" baseline="0">
                  <a:solidFill>
                    <a:srgbClr val="000000"/>
                  </a:solidFill>
                  <a:latin typeface="Calibri"/>
                  <a:cs typeface="Calibri"/>
                </a:rPr>
                <a:t>Copy Code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19050">
          <a:solidFill>
            <a:sysClr val="windowText" lastClr="000000"/>
          </a:solidFill>
          <a:tailEnd type="arrow"/>
        </a:ln>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Y212"/>
  <sheetViews>
    <sheetView topLeftCell="Q1" zoomScaleNormal="100" workbookViewId="0">
      <selection activeCell="AE64" sqref="AE64"/>
    </sheetView>
  </sheetViews>
  <sheetFormatPr defaultRowHeight="14.4" x14ac:dyDescent="0.25"/>
  <cols>
    <col min="1" max="1" width="9.21875" customWidth="1"/>
    <col min="5" max="5" width="9.21875" customWidth="1"/>
    <col min="67" max="67" width="9.77734375" customWidth="1"/>
    <col min="68" max="68" width="10.21875" bestFit="1" customWidth="1"/>
    <col min="69" max="70" width="13.44140625" bestFit="1" customWidth="1"/>
    <col min="73" max="73" width="23" bestFit="1" customWidth="1"/>
    <col min="74" max="74" width="4.21875" bestFit="1" customWidth="1"/>
    <col min="75" max="75" width="10.77734375" bestFit="1" customWidth="1"/>
    <col min="76" max="76" width="27.21875" bestFit="1" customWidth="1"/>
    <col min="77" max="77" width="82.21875" bestFit="1" customWidth="1"/>
  </cols>
  <sheetData>
    <row r="1" spans="1:77" ht="21.6" thickTop="1" thickBot="1" x14ac:dyDescent="0.3">
      <c r="A1" s="32"/>
      <c r="B1" s="32"/>
      <c r="C1" s="32"/>
      <c r="BU1" s="55" t="s">
        <v>3168</v>
      </c>
      <c r="BV1" s="55" t="s">
        <v>56</v>
      </c>
      <c r="BW1" s="55" t="s">
        <v>57</v>
      </c>
      <c r="BX1" s="55" t="s">
        <v>58</v>
      </c>
      <c r="BY1" s="55" t="s">
        <v>59</v>
      </c>
    </row>
    <row r="2" spans="1:77" ht="21.6" thickTop="1" thickBot="1" x14ac:dyDescent="0.3">
      <c r="A2" s="32"/>
      <c r="B2" s="32"/>
      <c r="C2" s="32"/>
      <c r="BU2" s="66" t="s">
        <v>3165</v>
      </c>
      <c r="BV2" s="56">
        <v>0</v>
      </c>
      <c r="BW2" s="57">
        <v>42682</v>
      </c>
      <c r="BX2" s="56" t="s">
        <v>60</v>
      </c>
      <c r="BY2" s="56" t="s">
        <v>61</v>
      </c>
    </row>
    <row r="3" spans="1:77" ht="15.6" thickTop="1" thickBot="1" x14ac:dyDescent="0.3">
      <c r="A3" s="33"/>
      <c r="B3" s="33"/>
      <c r="C3" s="28"/>
      <c r="BU3" s="66" t="s">
        <v>3165</v>
      </c>
      <c r="BV3" s="56">
        <v>1</v>
      </c>
      <c r="BW3" s="57">
        <v>42832</v>
      </c>
      <c r="BX3" s="56" t="s">
        <v>60</v>
      </c>
      <c r="BY3" s="56" t="s">
        <v>118</v>
      </c>
    </row>
    <row r="4" spans="1:77" ht="15.6" thickTop="1" thickBot="1" x14ac:dyDescent="0.3">
      <c r="A4" s="33"/>
      <c r="B4" s="33"/>
      <c r="C4" s="28"/>
      <c r="O4" s="6"/>
      <c r="P4" t="s">
        <v>7</v>
      </c>
      <c r="BU4" s="66" t="s">
        <v>3165</v>
      </c>
      <c r="BV4" s="66">
        <v>2</v>
      </c>
      <c r="BW4" s="67">
        <v>42842</v>
      </c>
      <c r="BX4" s="66" t="s">
        <v>60</v>
      </c>
      <c r="BY4" s="66" t="s">
        <v>163</v>
      </c>
    </row>
    <row r="5" spans="1:77" ht="15.6" thickTop="1" thickBot="1" x14ac:dyDescent="0.3">
      <c r="A5" s="34"/>
      <c r="B5" s="34"/>
      <c r="C5" s="35"/>
      <c r="D5" s="7"/>
      <c r="E5" s="7"/>
      <c r="F5" s="7"/>
      <c r="G5" s="7"/>
      <c r="H5" s="7"/>
      <c r="I5" s="7"/>
      <c r="J5" s="7"/>
      <c r="K5" s="7"/>
      <c r="L5" s="7"/>
      <c r="M5" s="7"/>
      <c r="N5" s="7"/>
      <c r="O5" s="7"/>
      <c r="P5" s="7"/>
      <c r="Q5" s="7"/>
      <c r="R5" s="7"/>
      <c r="S5" s="7"/>
      <c r="T5" s="7"/>
      <c r="U5" s="7"/>
      <c r="V5" s="7"/>
      <c r="BU5" s="66" t="s">
        <v>3165</v>
      </c>
      <c r="BV5" s="66">
        <v>3</v>
      </c>
      <c r="BW5" s="67">
        <v>42880</v>
      </c>
      <c r="BX5" s="66" t="s">
        <v>181</v>
      </c>
      <c r="BY5" s="66" t="s">
        <v>3162</v>
      </c>
    </row>
    <row r="6" spans="1:77" ht="15.6" thickTop="1" thickBot="1" x14ac:dyDescent="0.3">
      <c r="A6" s="34"/>
      <c r="B6" s="34"/>
      <c r="C6" s="38"/>
      <c r="D6" s="39"/>
      <c r="E6" s="7"/>
      <c r="F6" s="7"/>
      <c r="G6" s="7"/>
      <c r="H6" s="7"/>
      <c r="I6" s="7"/>
      <c r="J6" s="7"/>
      <c r="K6" s="7"/>
      <c r="L6" s="7"/>
      <c r="M6" s="7"/>
      <c r="N6" s="7"/>
      <c r="O6" s="7"/>
      <c r="P6" s="7"/>
      <c r="Q6" s="7"/>
      <c r="R6" s="7"/>
      <c r="S6" s="7"/>
      <c r="T6" s="7"/>
      <c r="U6" s="7"/>
      <c r="V6" s="7"/>
      <c r="BU6" s="66" t="s">
        <v>3165</v>
      </c>
      <c r="BV6" s="66">
        <v>4</v>
      </c>
      <c r="BW6" s="67">
        <v>42978</v>
      </c>
      <c r="BX6" s="66" t="s">
        <v>60</v>
      </c>
      <c r="BY6" s="66" t="s">
        <v>3163</v>
      </c>
    </row>
    <row r="7" spans="1:77" ht="15.6" thickTop="1" thickBot="1" x14ac:dyDescent="0.3">
      <c r="A7" s="7"/>
      <c r="B7" s="7"/>
      <c r="C7" s="7"/>
      <c r="D7" s="7"/>
      <c r="E7" s="7"/>
      <c r="F7" s="7"/>
      <c r="G7" s="7"/>
      <c r="H7" s="7"/>
      <c r="I7" s="7"/>
      <c r="J7" s="7"/>
      <c r="K7" s="7"/>
      <c r="L7" s="7"/>
      <c r="M7" s="7"/>
      <c r="N7" s="7"/>
      <c r="O7" s="7"/>
      <c r="P7" s="7"/>
      <c r="Q7" s="7"/>
      <c r="R7" s="7"/>
      <c r="S7" s="7"/>
      <c r="T7" s="7"/>
      <c r="U7" s="7"/>
      <c r="V7" s="7"/>
      <c r="BU7" s="66" t="s">
        <v>3165</v>
      </c>
      <c r="BV7" s="66">
        <v>5</v>
      </c>
      <c r="BW7" s="67">
        <v>43060</v>
      </c>
      <c r="BX7" s="66" t="s">
        <v>60</v>
      </c>
      <c r="BY7" s="66" t="s">
        <v>3164</v>
      </c>
    </row>
    <row r="8" spans="1:77" ht="15.6" thickTop="1" thickBot="1" x14ac:dyDescent="0.3">
      <c r="A8" s="7"/>
      <c r="B8" s="7"/>
      <c r="C8" s="7"/>
      <c r="D8" s="35"/>
      <c r="E8" s="7"/>
      <c r="F8" s="7"/>
      <c r="G8" s="7"/>
      <c r="H8" s="7"/>
      <c r="I8" s="7"/>
      <c r="J8" s="7"/>
      <c r="K8" s="7"/>
      <c r="L8" s="7"/>
      <c r="M8" s="7"/>
      <c r="N8" s="7"/>
      <c r="O8" s="7"/>
      <c r="P8" s="7"/>
      <c r="Q8" s="7"/>
      <c r="R8" s="7"/>
      <c r="S8" s="7"/>
      <c r="T8" s="7"/>
      <c r="U8" s="7"/>
      <c r="V8" s="7"/>
      <c r="BU8" s="66" t="s">
        <v>3166</v>
      </c>
      <c r="BV8" s="66">
        <v>0</v>
      </c>
      <c r="BW8" s="67">
        <v>43278</v>
      </c>
      <c r="BX8" s="66" t="s">
        <v>60</v>
      </c>
      <c r="BY8" s="66" t="s">
        <v>3167</v>
      </c>
    </row>
    <row r="9" spans="1:77" ht="15.6" thickTop="1" thickBot="1" x14ac:dyDescent="0.3">
      <c r="A9" s="7"/>
      <c r="B9" s="7"/>
      <c r="C9" s="7"/>
      <c r="D9" s="7"/>
      <c r="E9" s="7"/>
      <c r="F9" s="7"/>
      <c r="G9" s="7"/>
      <c r="H9" s="7"/>
      <c r="I9" s="7"/>
      <c r="J9" s="7"/>
      <c r="K9" s="7"/>
      <c r="L9" s="7"/>
      <c r="M9" s="7"/>
      <c r="N9" s="7"/>
      <c r="O9" s="7"/>
      <c r="P9" s="7"/>
      <c r="Q9" s="7"/>
      <c r="R9" s="7"/>
      <c r="S9" s="7"/>
      <c r="T9" s="7"/>
      <c r="U9" s="7"/>
      <c r="V9" s="7"/>
      <c r="BU9" s="66" t="s">
        <v>3166</v>
      </c>
      <c r="BV9" s="66">
        <v>1</v>
      </c>
      <c r="BW9" s="67">
        <v>43362</v>
      </c>
      <c r="BX9" s="66" t="s">
        <v>60</v>
      </c>
      <c r="BY9" s="66" t="s">
        <v>3176</v>
      </c>
    </row>
    <row r="10" spans="1:77" ht="15.6" thickTop="1" thickBot="1" x14ac:dyDescent="0.3">
      <c r="A10" s="7"/>
      <c r="B10" s="35"/>
      <c r="C10" s="7"/>
      <c r="D10" s="7"/>
      <c r="F10" s="7"/>
      <c r="G10" s="7"/>
      <c r="H10" s="7"/>
      <c r="I10" s="7"/>
      <c r="J10" s="7"/>
      <c r="K10" s="7"/>
      <c r="L10" s="7"/>
      <c r="M10" s="7"/>
      <c r="N10" s="7"/>
      <c r="O10" s="7"/>
      <c r="P10" s="7"/>
      <c r="Q10" s="7"/>
      <c r="R10" s="7"/>
      <c r="S10" s="40"/>
      <c r="T10" s="7"/>
      <c r="U10" s="7"/>
      <c r="V10" s="7"/>
    </row>
    <row r="11" spans="1:77" ht="15.6" thickTop="1" thickBot="1" x14ac:dyDescent="0.3">
      <c r="A11" s="7"/>
      <c r="B11" s="7"/>
      <c r="C11" s="7"/>
      <c r="D11" s="7"/>
      <c r="E11" s="42">
        <f>IF(C14=0,48,0)</f>
        <v>48</v>
      </c>
      <c r="F11" s="7"/>
      <c r="G11" s="7"/>
      <c r="H11" s="7"/>
      <c r="I11" s="42">
        <f>IF(G14=1,E11,0)</f>
        <v>48</v>
      </c>
      <c r="J11" s="7"/>
      <c r="K11" s="7"/>
      <c r="L11" s="7"/>
      <c r="M11" s="7"/>
      <c r="N11" s="7"/>
      <c r="O11" s="7"/>
      <c r="P11" s="42">
        <f>I11</f>
        <v>48</v>
      </c>
      <c r="T11" s="7"/>
      <c r="U11" s="37">
        <f>IF(OR(R15="Run",R15="STOP1",R15="STOP2",R15="HSRUN"),P11,0)</f>
        <v>48</v>
      </c>
      <c r="V11" s="7"/>
      <c r="BB11" s="37">
        <f>AN18</f>
        <v>112</v>
      </c>
    </row>
    <row r="12" spans="1:77" ht="15" thickTop="1" x14ac:dyDescent="0.25">
      <c r="A12" s="7"/>
      <c r="B12" s="7"/>
      <c r="C12" s="7"/>
      <c r="D12" s="7"/>
      <c r="E12" s="7"/>
      <c r="F12" s="7"/>
      <c r="G12" s="7"/>
      <c r="H12" s="7"/>
      <c r="J12" s="7"/>
      <c r="K12" s="7"/>
      <c r="L12" s="7"/>
      <c r="M12" s="7"/>
      <c r="N12" s="7"/>
      <c r="O12" s="7"/>
      <c r="P12" s="7"/>
      <c r="Q12" s="7"/>
      <c r="R12" s="41"/>
      <c r="S12" s="40"/>
      <c r="T12" s="7"/>
      <c r="U12" s="7"/>
      <c r="V12" s="7"/>
    </row>
    <row r="13" spans="1:77" ht="15" thickBot="1" x14ac:dyDescent="0.3">
      <c r="A13" s="7"/>
      <c r="B13" s="7"/>
      <c r="D13" s="7"/>
      <c r="E13" s="7"/>
      <c r="F13" s="7"/>
      <c r="H13" s="7"/>
      <c r="I13" s="7"/>
      <c r="J13" s="7"/>
      <c r="K13" s="7"/>
      <c r="L13" s="7"/>
      <c r="M13" s="7"/>
      <c r="N13" s="7"/>
      <c r="O13" s="7"/>
      <c r="P13" s="7"/>
      <c r="Q13" s="7"/>
      <c r="R13" s="7"/>
      <c r="S13" s="7"/>
      <c r="T13" s="7"/>
      <c r="U13" s="7"/>
      <c r="V13" s="7"/>
    </row>
    <row r="14" spans="1:77" ht="15.6" thickTop="1" thickBot="1" x14ac:dyDescent="0.3">
      <c r="A14" s="7"/>
      <c r="B14" s="7"/>
      <c r="C14" s="60">
        <v>0</v>
      </c>
      <c r="D14" s="7"/>
      <c r="E14" s="41"/>
      <c r="F14" s="7"/>
      <c r="G14" s="60">
        <v>1</v>
      </c>
      <c r="H14" s="7"/>
      <c r="I14" s="7"/>
      <c r="J14" s="7"/>
      <c r="K14" s="7"/>
      <c r="L14" s="7"/>
      <c r="M14" s="7"/>
      <c r="N14" s="7"/>
      <c r="O14" s="7"/>
      <c r="P14" s="7"/>
      <c r="Q14" s="7"/>
      <c r="R14" s="7"/>
      <c r="S14" s="7"/>
      <c r="T14" s="7"/>
      <c r="U14" s="7"/>
      <c r="V14" s="7"/>
      <c r="AE14" s="37">
        <f>SPLL!$V$11</f>
        <v>112</v>
      </c>
      <c r="AI14" s="37">
        <f>IF(OR(AG16="Run",AG16="HSRUN",AG16="STOP1",AG16="STOP2"),AE14,0)</f>
        <v>112</v>
      </c>
    </row>
    <row r="15" spans="1:77" ht="15.6" thickTop="1" thickBot="1" x14ac:dyDescent="0.3">
      <c r="A15" s="7"/>
      <c r="B15" s="7"/>
      <c r="C15" s="7"/>
      <c r="D15" s="7"/>
      <c r="E15" s="7"/>
      <c r="F15" s="7"/>
      <c r="G15" s="7"/>
      <c r="H15" s="7"/>
      <c r="I15" s="7"/>
      <c r="J15" s="7"/>
      <c r="K15" s="41"/>
      <c r="L15" s="7"/>
      <c r="M15" s="7"/>
      <c r="N15" s="7"/>
      <c r="O15" s="7"/>
      <c r="P15" s="7"/>
      <c r="Q15" s="7"/>
      <c r="R15" s="42" t="str">
        <f>'Power Mode Control'!M25</f>
        <v>HSRUN</v>
      </c>
      <c r="S15" s="7"/>
      <c r="T15" s="7"/>
      <c r="V15" s="7"/>
    </row>
    <row r="16" spans="1:77" ht="15.6" thickTop="1" thickBot="1" x14ac:dyDescent="0.3">
      <c r="A16" s="7"/>
      <c r="B16" s="7"/>
      <c r="C16" s="7"/>
      <c r="D16" s="7"/>
      <c r="E16" s="7"/>
      <c r="F16" s="7"/>
      <c r="G16" s="7"/>
      <c r="H16" s="7"/>
      <c r="I16" s="7"/>
      <c r="J16" s="7"/>
      <c r="K16" s="7"/>
      <c r="L16" s="7"/>
      <c r="M16" s="7"/>
      <c r="N16" s="7"/>
      <c r="O16" s="41"/>
      <c r="P16" s="7"/>
      <c r="Q16" s="7"/>
      <c r="R16" s="41"/>
      <c r="S16" s="7"/>
      <c r="T16" s="7"/>
      <c r="U16" s="7"/>
      <c r="V16" s="7"/>
      <c r="AG16" s="37" t="str">
        <f>'Power Mode Control'!M25</f>
        <v>HSRUN</v>
      </c>
      <c r="AU16" s="37">
        <f>AN18/(AS20+1)</f>
        <v>112</v>
      </c>
      <c r="BB16" s="43">
        <f>IF(OR(AW20="STOP1",AW20="STOP2",AW20="VLPS"),0,AU16)</f>
        <v>112</v>
      </c>
    </row>
    <row r="17" spans="1:54" ht="15.6" thickTop="1" thickBot="1" x14ac:dyDescent="0.3">
      <c r="A17" s="7"/>
      <c r="B17" s="7"/>
      <c r="C17" s="7"/>
      <c r="D17" s="7"/>
      <c r="E17" s="7"/>
      <c r="F17" s="7"/>
      <c r="G17" s="41"/>
      <c r="H17" s="7"/>
      <c r="I17" s="7"/>
      <c r="J17" s="7"/>
      <c r="K17" s="7"/>
      <c r="L17" s="7"/>
      <c r="M17" s="7"/>
      <c r="N17" s="7"/>
      <c r="O17" s="7"/>
      <c r="P17" s="7"/>
      <c r="Q17" s="7"/>
      <c r="R17" s="7"/>
      <c r="S17" s="7"/>
      <c r="T17" s="7"/>
      <c r="U17" s="7"/>
      <c r="V17" s="7"/>
    </row>
    <row r="18" spans="1:54" ht="15.6" thickTop="1" thickBot="1" x14ac:dyDescent="0.3">
      <c r="A18" s="7"/>
      <c r="B18" s="7"/>
      <c r="C18" s="7"/>
      <c r="D18" s="7"/>
      <c r="E18" s="7"/>
      <c r="F18" s="7"/>
      <c r="G18" s="7"/>
      <c r="H18" s="7"/>
      <c r="I18" s="7"/>
      <c r="J18" s="7"/>
      <c r="K18" s="7"/>
      <c r="L18" s="7"/>
      <c r="M18" s="7"/>
      <c r="N18" s="7"/>
      <c r="O18" s="7"/>
      <c r="P18" s="7"/>
      <c r="Q18" s="7"/>
      <c r="R18" s="7"/>
      <c r="S18" s="7"/>
      <c r="T18" s="7"/>
      <c r="U18" s="7"/>
      <c r="V18" s="7"/>
      <c r="AN18" s="37">
        <f>IF(AL24=1,N41,IF(AL24=2,X26,IF(AL24=3,U11,IF(AL24=6,AI14,0))))</f>
        <v>112</v>
      </c>
      <c r="BB18" s="43">
        <f>IF(OR(AW20="STOP1",AW20="STOP2",AW20="VLPS"),0,AU16)</f>
        <v>112</v>
      </c>
    </row>
    <row r="19" spans="1:54" ht="15.6" thickTop="1" thickBot="1" x14ac:dyDescent="0.3">
      <c r="A19" s="7"/>
      <c r="B19" s="7"/>
      <c r="C19" s="7"/>
      <c r="D19" s="7"/>
      <c r="F19" s="7"/>
      <c r="G19" s="7"/>
      <c r="H19" s="7"/>
      <c r="J19" s="7"/>
      <c r="K19" s="7"/>
      <c r="L19" s="7"/>
      <c r="M19" s="7"/>
      <c r="N19" s="7"/>
      <c r="O19" s="7"/>
      <c r="P19" s="7"/>
      <c r="Q19" s="7"/>
      <c r="R19" s="7"/>
      <c r="S19" s="7"/>
      <c r="T19" s="7"/>
      <c r="U19" s="7"/>
      <c r="V19" s="7"/>
    </row>
    <row r="20" spans="1:54" ht="15.6" thickTop="1" thickBot="1" x14ac:dyDescent="0.3">
      <c r="A20" s="7"/>
      <c r="B20" s="7"/>
      <c r="C20" s="7"/>
      <c r="D20" s="7"/>
      <c r="E20" s="7"/>
      <c r="F20" s="7"/>
      <c r="G20" s="7"/>
      <c r="H20" s="7"/>
      <c r="I20" s="7"/>
      <c r="J20" s="7"/>
      <c r="K20" s="7"/>
      <c r="L20" s="7"/>
      <c r="M20" s="7"/>
      <c r="N20" s="7"/>
      <c r="O20" s="7"/>
      <c r="P20" s="7"/>
      <c r="Q20" s="7"/>
      <c r="R20" s="7"/>
      <c r="S20" s="7"/>
      <c r="T20" s="7"/>
      <c r="U20" s="7"/>
      <c r="V20" s="7"/>
      <c r="AS20" s="59">
        <v>0</v>
      </c>
      <c r="AW20" s="37" t="str">
        <f>'Power Mode Control'!$M$25</f>
        <v>HSRUN</v>
      </c>
    </row>
    <row r="21" spans="1:54" ht="15" thickTop="1" x14ac:dyDescent="0.25">
      <c r="A21" s="7"/>
      <c r="B21" s="7"/>
      <c r="C21" s="7"/>
      <c r="D21" s="7"/>
      <c r="E21" s="7"/>
      <c r="F21" s="7"/>
      <c r="G21" s="7"/>
      <c r="H21" s="7"/>
      <c r="I21" s="7"/>
      <c r="J21" s="7"/>
      <c r="K21" s="7"/>
      <c r="L21" s="7"/>
      <c r="M21" s="7"/>
      <c r="N21" s="7"/>
      <c r="O21" s="7"/>
      <c r="P21" s="40"/>
      <c r="Q21" s="7"/>
      <c r="R21" s="7"/>
      <c r="S21" s="7"/>
      <c r="T21" s="7"/>
      <c r="U21" s="7"/>
      <c r="V21" s="7"/>
    </row>
    <row r="22" spans="1:54" x14ac:dyDescent="0.25">
      <c r="A22" s="7"/>
      <c r="B22" s="41"/>
      <c r="D22" s="7"/>
      <c r="E22" s="41"/>
      <c r="F22" s="7"/>
      <c r="H22" s="7"/>
      <c r="I22" s="7"/>
      <c r="J22" s="7"/>
      <c r="K22" s="7"/>
      <c r="L22" s="7"/>
      <c r="M22" s="7"/>
      <c r="N22" s="41"/>
      <c r="O22" s="7"/>
      <c r="P22" s="7"/>
      <c r="Q22" s="7"/>
      <c r="R22" s="7"/>
      <c r="S22" s="7"/>
      <c r="T22" s="7"/>
      <c r="U22" s="7"/>
      <c r="V22" s="7"/>
    </row>
    <row r="23" spans="1:54" ht="15" thickBot="1" x14ac:dyDescent="0.3">
      <c r="A23" s="7"/>
      <c r="B23" s="7"/>
      <c r="C23" s="7"/>
      <c r="D23" s="7"/>
      <c r="E23" s="7"/>
      <c r="F23" s="7"/>
      <c r="G23" s="7"/>
      <c r="H23" s="7"/>
      <c r="I23" s="7"/>
      <c r="J23" s="7"/>
      <c r="K23" s="7"/>
      <c r="L23" s="7"/>
      <c r="M23" s="7"/>
      <c r="N23" s="7"/>
      <c r="O23" s="7"/>
      <c r="P23" s="7"/>
      <c r="Q23" s="7"/>
      <c r="R23" s="7"/>
      <c r="S23" s="7"/>
      <c r="T23" s="7"/>
      <c r="U23" s="7"/>
      <c r="V23" s="7"/>
    </row>
    <row r="24" spans="1:54" ht="15.6" thickTop="1" thickBot="1" x14ac:dyDescent="0.3">
      <c r="A24" s="7"/>
      <c r="B24" s="7"/>
      <c r="C24" s="7"/>
      <c r="D24" s="7"/>
      <c r="E24" s="7"/>
      <c r="F24" s="7"/>
      <c r="G24" s="7"/>
      <c r="H24" s="7"/>
      <c r="I24" s="7"/>
      <c r="J24" s="7"/>
      <c r="K24" s="7"/>
      <c r="L24" s="7"/>
      <c r="M24" s="7"/>
      <c r="N24" s="7"/>
      <c r="O24" s="7"/>
      <c r="P24" s="40"/>
      <c r="Q24" s="7"/>
      <c r="R24" s="7"/>
      <c r="S24" s="7"/>
      <c r="T24" s="7"/>
      <c r="U24" s="7"/>
      <c r="V24" s="7"/>
      <c r="AL24" s="59">
        <v>6</v>
      </c>
      <c r="AX24" s="37">
        <f>AU16/(AV27+1)</f>
        <v>112</v>
      </c>
      <c r="BB24" s="43">
        <f>IF(OR(AZ27="VLPS",AZ27="STOP1"),0,AX24)</f>
        <v>112</v>
      </c>
    </row>
    <row r="25" spans="1:54" ht="15.6" thickTop="1" thickBot="1" x14ac:dyDescent="0.3">
      <c r="A25" s="7"/>
      <c r="B25" s="35"/>
      <c r="C25" s="7"/>
      <c r="D25" s="7"/>
      <c r="E25" s="7"/>
      <c r="F25" s="7"/>
      <c r="G25" s="7"/>
      <c r="H25" s="7"/>
      <c r="I25" s="7"/>
      <c r="J25" s="7"/>
      <c r="K25" s="7"/>
      <c r="L25" s="7"/>
      <c r="M25" s="7"/>
      <c r="N25" s="41"/>
      <c r="O25" s="7"/>
      <c r="P25" s="7"/>
      <c r="Q25" s="7"/>
      <c r="R25" s="7"/>
      <c r="S25" s="7"/>
      <c r="T25" s="7"/>
      <c r="U25" s="7"/>
      <c r="V25" s="7"/>
    </row>
    <row r="26" spans="1:54" ht="15.6" thickTop="1" thickBot="1" x14ac:dyDescent="0.3">
      <c r="A26" s="7"/>
      <c r="B26" s="7"/>
      <c r="C26" s="7"/>
      <c r="D26" s="7"/>
      <c r="E26" s="42">
        <f>IF(C29=1,8,0)</f>
        <v>8</v>
      </c>
      <c r="F26" s="7"/>
      <c r="G26" s="7"/>
      <c r="H26" s="7"/>
      <c r="I26" s="42">
        <f>IF(G29=1,E26,0)</f>
        <v>8</v>
      </c>
      <c r="J26" s="7"/>
      <c r="K26" s="7"/>
      <c r="L26" s="7"/>
      <c r="M26" s="7"/>
      <c r="O26" s="7"/>
      <c r="P26" s="7"/>
      <c r="Q26" s="7"/>
      <c r="R26" s="7"/>
      <c r="S26" s="7"/>
      <c r="T26" s="7"/>
      <c r="U26" s="7"/>
      <c r="V26" s="7"/>
      <c r="X26" s="42">
        <f>IF(OR(V29="Run",V29="HSRUN",AND(V29="STOP1",N29=1),AND(V29="STOP2",N29=1),AND(V29="VLPR",K29=1,Q29=1),AND(V29="VLPS",K29=1,Q29=1,S29=0)),I26,0)</f>
        <v>8</v>
      </c>
    </row>
    <row r="27" spans="1:54" ht="15.6" thickTop="1" thickBot="1" x14ac:dyDescent="0.3">
      <c r="A27" s="7"/>
      <c r="B27" s="7"/>
      <c r="C27" s="7"/>
      <c r="D27" s="7"/>
      <c r="E27" s="7"/>
      <c r="F27" s="7"/>
      <c r="G27" s="7"/>
      <c r="H27" s="7"/>
      <c r="I27" s="7"/>
      <c r="J27" s="7"/>
      <c r="K27" s="7"/>
      <c r="L27" s="7"/>
      <c r="M27" s="7"/>
      <c r="N27" s="7"/>
      <c r="O27" s="7"/>
      <c r="P27" s="40"/>
      <c r="Q27" s="7"/>
      <c r="R27" s="7"/>
      <c r="S27" s="7"/>
      <c r="T27" s="7"/>
      <c r="U27" s="7"/>
      <c r="V27" s="7"/>
      <c r="AV27" s="59">
        <v>0</v>
      </c>
      <c r="AZ27" s="37" t="str">
        <f>'Power Mode Control'!M25</f>
        <v>HSRUN</v>
      </c>
    </row>
    <row r="28" spans="1:54" ht="15.6" thickTop="1" thickBot="1" x14ac:dyDescent="0.3">
      <c r="A28" s="7"/>
      <c r="B28" s="7"/>
      <c r="C28" s="7"/>
      <c r="D28" s="7"/>
      <c r="E28" s="7"/>
      <c r="F28" s="7"/>
      <c r="G28" s="7"/>
      <c r="H28" s="7"/>
      <c r="I28" s="7"/>
      <c r="J28" s="7"/>
      <c r="K28" s="41"/>
      <c r="L28" s="7"/>
      <c r="M28" s="7"/>
      <c r="N28" s="41"/>
      <c r="O28" s="7"/>
      <c r="P28" s="7"/>
      <c r="Q28" s="7"/>
      <c r="R28" s="7"/>
      <c r="S28" s="7"/>
      <c r="T28" s="7"/>
      <c r="U28" s="7"/>
      <c r="V28" s="7"/>
    </row>
    <row r="29" spans="1:54" ht="15.6" thickTop="1" thickBot="1" x14ac:dyDescent="0.3">
      <c r="A29" s="7"/>
      <c r="B29" s="7"/>
      <c r="C29" s="60">
        <v>1</v>
      </c>
      <c r="D29" s="7"/>
      <c r="E29" s="35"/>
      <c r="F29" s="7"/>
      <c r="G29" s="60">
        <v>1</v>
      </c>
      <c r="H29" s="7"/>
      <c r="I29" s="7"/>
      <c r="J29" s="7"/>
      <c r="K29" s="59">
        <v>1</v>
      </c>
      <c r="M29" s="7"/>
      <c r="N29" s="60">
        <v>0</v>
      </c>
      <c r="O29" s="7"/>
      <c r="Q29" s="60">
        <v>0</v>
      </c>
      <c r="R29" s="7"/>
      <c r="S29" s="60">
        <v>0</v>
      </c>
      <c r="T29" s="7"/>
      <c r="V29" s="42" t="str">
        <f>'Power Mode Control'!M25</f>
        <v>HSRUN</v>
      </c>
    </row>
    <row r="30" spans="1:54" ht="15.6" thickTop="1" thickBot="1" x14ac:dyDescent="0.3">
      <c r="A30" s="7"/>
      <c r="B30" s="7"/>
      <c r="C30" s="7"/>
      <c r="D30" s="7"/>
      <c r="E30" s="7"/>
      <c r="F30" s="7"/>
      <c r="G30" s="7"/>
      <c r="H30" s="7"/>
      <c r="I30" s="7"/>
      <c r="J30" s="7"/>
      <c r="K30" s="7"/>
      <c r="L30" s="7"/>
      <c r="M30" s="7"/>
      <c r="N30" s="7"/>
      <c r="O30" s="7"/>
      <c r="P30" s="7"/>
      <c r="Q30" s="7"/>
      <c r="R30" s="7"/>
      <c r="S30" s="7"/>
      <c r="T30" s="7"/>
      <c r="U30" s="7"/>
      <c r="V30" s="7"/>
    </row>
    <row r="31" spans="1:54" ht="15.6" thickTop="1" thickBot="1" x14ac:dyDescent="0.3">
      <c r="A31" s="7"/>
      <c r="B31" s="7"/>
      <c r="C31" s="7"/>
      <c r="D31" s="7"/>
      <c r="E31" s="7"/>
      <c r="F31" s="7"/>
      <c r="G31" s="7"/>
      <c r="H31" s="7"/>
      <c r="I31" s="7"/>
      <c r="J31" s="7"/>
      <c r="K31" s="7"/>
      <c r="L31" s="7"/>
      <c r="M31" s="7"/>
      <c r="N31" s="7"/>
      <c r="O31" s="7"/>
      <c r="P31" s="7"/>
      <c r="Q31" s="7"/>
      <c r="R31" s="7"/>
      <c r="S31" s="7"/>
      <c r="T31" s="7"/>
      <c r="U31" s="7"/>
      <c r="V31" s="7"/>
      <c r="AX31" s="37">
        <f>AU16/(AV34+1)</f>
        <v>56</v>
      </c>
      <c r="BB31" s="43">
        <f>IF(OR(AZ27="VLPS",AZ27="STOP1"),0,AX31)</f>
        <v>56</v>
      </c>
    </row>
    <row r="32" spans="1:54" ht="15" thickTop="1" x14ac:dyDescent="0.25">
      <c r="A32" s="7"/>
      <c r="B32" s="7"/>
      <c r="C32" s="7"/>
      <c r="D32" s="7"/>
      <c r="E32" s="7"/>
      <c r="F32" s="7"/>
      <c r="G32" s="7"/>
      <c r="H32" s="7"/>
      <c r="I32" s="7"/>
      <c r="J32" s="7"/>
      <c r="K32" s="7"/>
      <c r="L32" s="7"/>
      <c r="M32" s="7"/>
      <c r="N32" s="7"/>
      <c r="O32" s="7"/>
      <c r="P32" s="7"/>
      <c r="Q32" s="7"/>
      <c r="R32" s="7"/>
      <c r="S32" s="7"/>
      <c r="T32" s="7"/>
      <c r="U32" s="7"/>
      <c r="V32" s="7"/>
    </row>
    <row r="33" spans="1:54" ht="15" thickBot="1" x14ac:dyDescent="0.3">
      <c r="A33" s="7"/>
      <c r="B33" s="7"/>
      <c r="C33" s="7"/>
      <c r="D33" s="7"/>
      <c r="E33" s="7"/>
      <c r="F33" s="7"/>
      <c r="G33" s="7"/>
      <c r="H33" s="7"/>
      <c r="I33" s="7"/>
      <c r="J33" s="7"/>
      <c r="K33" s="7"/>
      <c r="L33" s="7"/>
      <c r="M33" s="7"/>
      <c r="N33" s="7"/>
      <c r="O33" s="7"/>
      <c r="P33" s="40"/>
      <c r="Q33" s="7"/>
      <c r="R33" s="7"/>
      <c r="S33" s="7"/>
      <c r="T33" s="7"/>
      <c r="U33" s="7"/>
      <c r="V33" s="7"/>
    </row>
    <row r="34" spans="1:54" ht="15.6" thickTop="1" thickBot="1" x14ac:dyDescent="0.3">
      <c r="A34" s="7"/>
      <c r="B34" s="7"/>
      <c r="C34" s="7"/>
      <c r="D34" s="7"/>
      <c r="E34" s="7"/>
      <c r="F34" s="7"/>
      <c r="G34" s="7"/>
      <c r="H34" s="7"/>
      <c r="I34" s="7"/>
      <c r="J34" s="7"/>
      <c r="K34" s="7"/>
      <c r="L34" s="7"/>
      <c r="M34" s="7"/>
      <c r="N34" s="41"/>
      <c r="O34" s="7"/>
      <c r="P34" s="7"/>
      <c r="Q34" s="7"/>
      <c r="R34" s="7"/>
      <c r="S34" s="7"/>
      <c r="T34" s="7"/>
      <c r="U34" s="7"/>
      <c r="V34" s="7"/>
      <c r="AV34" s="59">
        <v>1</v>
      </c>
      <c r="AZ34" s="37" t="str">
        <f>'Power Mode Control'!M25</f>
        <v>HSRUN</v>
      </c>
    </row>
    <row r="35" spans="1:54" ht="15" thickTop="1" x14ac:dyDescent="0.25">
      <c r="A35" s="7"/>
      <c r="B35" s="7"/>
      <c r="C35" s="7"/>
      <c r="D35" s="7"/>
      <c r="E35" s="7"/>
      <c r="F35" s="7"/>
      <c r="G35" s="7"/>
      <c r="H35" s="7"/>
      <c r="I35" s="7"/>
      <c r="J35" s="7"/>
      <c r="K35" s="7"/>
      <c r="L35" s="7"/>
      <c r="M35" s="7"/>
      <c r="N35" s="7"/>
      <c r="O35" s="7"/>
      <c r="P35" s="7"/>
      <c r="Q35" s="7"/>
      <c r="R35" s="7"/>
      <c r="S35" s="7"/>
      <c r="T35" s="7"/>
      <c r="U35" s="7"/>
      <c r="V35" s="7"/>
    </row>
    <row r="36" spans="1:54" x14ac:dyDescent="0.25">
      <c r="A36" s="7"/>
      <c r="B36" s="7"/>
      <c r="C36" s="7"/>
      <c r="D36" s="7"/>
      <c r="E36" s="7"/>
      <c r="F36" s="7"/>
      <c r="G36" s="7"/>
      <c r="H36" s="7"/>
      <c r="I36" s="7"/>
      <c r="J36" s="7"/>
      <c r="K36" s="7"/>
      <c r="L36" s="7"/>
      <c r="M36" s="7"/>
      <c r="N36" s="7"/>
      <c r="O36" s="7"/>
      <c r="P36" s="7"/>
      <c r="Q36" s="7"/>
      <c r="R36" s="7"/>
      <c r="S36" s="7"/>
      <c r="T36" s="7"/>
      <c r="U36" s="7"/>
      <c r="V36" s="7"/>
    </row>
    <row r="37" spans="1:54" x14ac:dyDescent="0.25">
      <c r="A37" s="7"/>
      <c r="B37" s="7"/>
      <c r="C37" s="7"/>
      <c r="D37" s="7"/>
      <c r="E37" s="7"/>
      <c r="F37" s="7"/>
      <c r="G37" s="7"/>
      <c r="H37" s="7"/>
      <c r="I37" s="7"/>
      <c r="J37" s="7"/>
      <c r="K37" s="41"/>
      <c r="L37" s="7"/>
      <c r="M37" s="7"/>
      <c r="N37" s="7"/>
      <c r="O37" s="7"/>
      <c r="P37" s="7"/>
      <c r="Q37" s="7"/>
      <c r="R37" s="7"/>
      <c r="S37" s="7"/>
      <c r="T37" s="7"/>
      <c r="U37" s="7"/>
      <c r="V37" s="7"/>
    </row>
    <row r="38" spans="1:54" x14ac:dyDescent="0.25">
      <c r="A38" s="7"/>
      <c r="B38" s="7"/>
      <c r="C38" s="7"/>
      <c r="D38" s="7"/>
      <c r="E38" s="7"/>
      <c r="F38" s="7"/>
      <c r="G38" s="7"/>
      <c r="H38" s="7"/>
      <c r="I38" s="7"/>
      <c r="J38" s="7"/>
      <c r="K38" s="7"/>
      <c r="L38" s="7"/>
      <c r="M38" s="7"/>
      <c r="N38" s="7"/>
      <c r="O38" s="7"/>
      <c r="P38" s="7"/>
      <c r="Q38" s="7"/>
      <c r="R38" s="7"/>
      <c r="S38" s="7"/>
      <c r="T38" s="7"/>
      <c r="U38" s="7"/>
      <c r="V38" s="7"/>
    </row>
    <row r="39" spans="1:54" ht="15" thickBot="1" x14ac:dyDescent="0.3">
      <c r="A39" s="7"/>
      <c r="B39" s="7"/>
      <c r="C39" s="7"/>
      <c r="D39" s="7"/>
      <c r="E39" s="7"/>
      <c r="F39" s="7"/>
      <c r="G39" s="7"/>
      <c r="H39" s="7"/>
      <c r="I39" s="7"/>
      <c r="J39" s="7"/>
      <c r="K39" s="7"/>
      <c r="L39" s="7"/>
      <c r="M39" s="7"/>
      <c r="N39" s="7"/>
      <c r="O39" s="7"/>
      <c r="P39" s="7"/>
      <c r="Q39" s="7"/>
      <c r="R39" s="7"/>
      <c r="S39" s="7"/>
      <c r="T39" s="7"/>
      <c r="U39" s="7"/>
      <c r="V39" s="7"/>
    </row>
    <row r="40" spans="1:54" ht="15.6" thickTop="1" thickBot="1" x14ac:dyDescent="0.3">
      <c r="A40" s="7"/>
      <c r="B40" s="7"/>
      <c r="C40" s="7"/>
      <c r="D40" s="7"/>
      <c r="E40" s="42">
        <f>'Oscillator Source Control'!$U$23</f>
        <v>8</v>
      </c>
      <c r="F40" s="7"/>
      <c r="G40" s="7"/>
      <c r="H40" s="7"/>
      <c r="I40" s="7"/>
      <c r="J40" s="7"/>
      <c r="K40" s="7"/>
      <c r="L40" s="7"/>
      <c r="M40" s="7"/>
      <c r="N40" s="7"/>
      <c r="O40" s="7"/>
      <c r="P40" s="7"/>
      <c r="Q40" s="7"/>
      <c r="R40" s="7"/>
      <c r="S40" s="7"/>
      <c r="T40" s="7"/>
      <c r="U40" s="7"/>
      <c r="V40" s="7"/>
    </row>
    <row r="41" spans="1:54" ht="15.6" thickTop="1" thickBot="1" x14ac:dyDescent="0.3">
      <c r="A41" s="7"/>
      <c r="B41" s="7"/>
      <c r="C41" s="7"/>
      <c r="D41" s="7"/>
      <c r="E41" s="7"/>
      <c r="F41" s="7"/>
      <c r="G41" s="7"/>
      <c r="H41" s="7"/>
      <c r="I41" s="35"/>
      <c r="J41" s="7"/>
      <c r="K41" s="7"/>
      <c r="L41" s="7"/>
      <c r="M41" s="7"/>
      <c r="N41" s="42">
        <f>IF(OR(L44="Run",L44="HSRUN",L44="STOP1",L44="STOP2"),E40,0)</f>
        <v>8</v>
      </c>
      <c r="O41" s="7"/>
      <c r="P41" s="7"/>
      <c r="Q41" s="7"/>
      <c r="R41" s="7"/>
      <c r="S41" s="7"/>
      <c r="T41" s="7"/>
      <c r="U41" s="7"/>
      <c r="V41" s="7"/>
    </row>
    <row r="42" spans="1:54" ht="15.6" thickTop="1" thickBot="1" x14ac:dyDescent="0.3">
      <c r="A42" s="7"/>
      <c r="B42" s="7"/>
      <c r="C42" s="7"/>
      <c r="D42" s="7"/>
      <c r="E42" s="7"/>
      <c r="F42" s="7"/>
      <c r="G42" s="7"/>
      <c r="H42" s="7"/>
      <c r="I42" s="7"/>
      <c r="J42" s="7"/>
      <c r="K42" s="7"/>
      <c r="L42" s="7"/>
      <c r="M42" s="7"/>
      <c r="N42" s="7"/>
      <c r="O42" s="7"/>
      <c r="P42" s="40"/>
      <c r="Q42" s="7"/>
      <c r="R42" s="7"/>
      <c r="S42" s="7"/>
      <c r="T42" s="7"/>
      <c r="U42" s="7"/>
      <c r="V42" s="7"/>
      <c r="BB42" s="43">
        <f>IF(AV45=0,0,AI14/POWER(2,(AV45-1)))</f>
        <v>0</v>
      </c>
    </row>
    <row r="43" spans="1:54" ht="15.6" thickTop="1" thickBot="1" x14ac:dyDescent="0.3">
      <c r="A43" s="7"/>
      <c r="B43" s="7"/>
      <c r="C43" s="7"/>
      <c r="D43" s="7"/>
      <c r="E43" s="7"/>
      <c r="F43" s="7"/>
      <c r="G43" s="7"/>
      <c r="H43" s="7"/>
      <c r="I43" s="7"/>
      <c r="J43" s="7"/>
      <c r="K43" s="7"/>
      <c r="L43" s="7"/>
      <c r="M43" s="7"/>
      <c r="N43" s="41"/>
      <c r="O43" s="7"/>
      <c r="P43" s="7"/>
      <c r="Q43" s="7"/>
      <c r="R43" s="7"/>
      <c r="S43" s="7"/>
      <c r="T43" s="7"/>
      <c r="U43" s="7"/>
      <c r="V43" s="7"/>
    </row>
    <row r="44" spans="1:54" ht="15.6" thickTop="1" thickBot="1" x14ac:dyDescent="0.3">
      <c r="A44" s="7"/>
      <c r="B44" s="7"/>
      <c r="C44" s="7"/>
      <c r="D44" s="7"/>
      <c r="E44" s="7"/>
      <c r="F44" s="7"/>
      <c r="G44" s="35"/>
      <c r="H44" s="40"/>
      <c r="I44" s="41"/>
      <c r="J44" s="7"/>
      <c r="K44" s="7"/>
      <c r="L44" s="42" t="str">
        <f>'Power Mode Control'!M25</f>
        <v>HSRUN</v>
      </c>
      <c r="M44" s="7"/>
      <c r="N44" s="7"/>
      <c r="O44" s="7"/>
      <c r="P44" s="7"/>
      <c r="Q44" s="7"/>
      <c r="R44" s="7"/>
      <c r="S44" s="7"/>
      <c r="T44" s="7"/>
      <c r="U44" s="7"/>
      <c r="V44" s="7"/>
    </row>
    <row r="45" spans="1:54" ht="15.6" thickTop="1" thickBot="1" x14ac:dyDescent="0.3">
      <c r="A45" s="7"/>
      <c r="B45" s="7"/>
      <c r="C45" s="7"/>
      <c r="D45" s="7"/>
      <c r="E45" s="7"/>
      <c r="F45" s="7"/>
      <c r="G45" s="7"/>
      <c r="H45" s="7"/>
      <c r="I45" s="7"/>
      <c r="J45" s="7"/>
      <c r="K45" s="7"/>
      <c r="L45" s="7"/>
      <c r="M45" s="7"/>
      <c r="N45" s="7"/>
      <c r="O45" s="7"/>
      <c r="P45" s="7"/>
      <c r="Q45" s="7"/>
      <c r="R45" s="7"/>
      <c r="S45" s="7"/>
      <c r="T45" s="7"/>
      <c r="U45" s="7"/>
      <c r="V45" s="7"/>
      <c r="AV45" s="59">
        <v>0</v>
      </c>
    </row>
    <row r="46" spans="1:54" ht="15" thickTop="1" x14ac:dyDescent="0.25">
      <c r="A46" s="7"/>
      <c r="B46" s="7"/>
      <c r="C46" s="35"/>
      <c r="D46" s="7"/>
      <c r="E46" s="7"/>
      <c r="F46" s="7"/>
      <c r="G46" s="7"/>
      <c r="H46" s="7"/>
      <c r="I46" s="7"/>
      <c r="J46" s="7"/>
      <c r="K46" s="41"/>
      <c r="L46" s="7"/>
      <c r="M46" s="7"/>
      <c r="N46" s="7"/>
      <c r="O46" s="7"/>
      <c r="P46" s="7"/>
      <c r="Q46" s="7"/>
      <c r="R46" s="7"/>
      <c r="S46" s="7"/>
      <c r="T46" s="7"/>
      <c r="U46" s="7"/>
      <c r="V46" s="7"/>
    </row>
    <row r="47" spans="1:54" x14ac:dyDescent="0.25">
      <c r="A47" s="7"/>
      <c r="B47" s="7"/>
      <c r="C47" s="7"/>
      <c r="D47" s="7"/>
      <c r="E47" s="7"/>
      <c r="F47" s="7"/>
      <c r="G47" s="7"/>
      <c r="H47" s="7"/>
      <c r="I47" s="7"/>
      <c r="J47" s="7"/>
      <c r="K47" s="7"/>
      <c r="L47" s="7"/>
      <c r="M47" s="7"/>
      <c r="N47" s="7"/>
      <c r="O47" s="7"/>
      <c r="P47" s="7"/>
      <c r="Q47" s="7"/>
      <c r="R47" s="7"/>
      <c r="S47" s="7"/>
      <c r="T47" s="7"/>
      <c r="U47" s="7"/>
      <c r="V47" s="7"/>
    </row>
    <row r="48" spans="1:54" x14ac:dyDescent="0.25">
      <c r="A48" s="7"/>
      <c r="B48" s="7"/>
      <c r="C48" s="7"/>
      <c r="D48" s="7"/>
      <c r="E48" s="7"/>
      <c r="F48" s="7"/>
      <c r="G48" s="7"/>
      <c r="H48" s="7"/>
      <c r="I48" s="7"/>
      <c r="J48" s="7"/>
      <c r="K48" s="7"/>
      <c r="L48" s="7"/>
      <c r="M48" s="7"/>
      <c r="N48" s="7"/>
      <c r="O48" s="7"/>
      <c r="P48" s="7"/>
      <c r="Q48" s="7"/>
      <c r="R48" s="7"/>
      <c r="S48" s="7"/>
      <c r="T48" s="7"/>
      <c r="U48" s="7"/>
      <c r="V48" s="7"/>
    </row>
    <row r="49" spans="1:54" x14ac:dyDescent="0.25">
      <c r="A49" s="7"/>
      <c r="B49" s="7"/>
      <c r="C49" s="7"/>
      <c r="D49" s="7"/>
      <c r="E49" s="7"/>
      <c r="F49" s="7"/>
      <c r="G49" s="7"/>
      <c r="H49" s="7"/>
      <c r="I49" s="7"/>
      <c r="J49" s="7"/>
      <c r="K49" s="7"/>
      <c r="L49" s="7"/>
      <c r="M49" s="7"/>
      <c r="N49" s="7"/>
      <c r="O49" s="7"/>
      <c r="P49" s="7"/>
      <c r="Q49" s="7"/>
      <c r="R49" s="7"/>
      <c r="S49" s="7"/>
      <c r="T49" s="7"/>
      <c r="U49" s="7"/>
      <c r="V49" s="7"/>
      <c r="W49" s="7"/>
      <c r="X49" s="7"/>
      <c r="Y49" s="7"/>
    </row>
    <row r="50" spans="1:54" x14ac:dyDescent="0.25">
      <c r="A50" s="7"/>
      <c r="B50" s="7"/>
      <c r="C50" s="7"/>
      <c r="D50" s="7"/>
      <c r="E50" s="7"/>
      <c r="F50" s="7"/>
      <c r="G50" s="7"/>
      <c r="H50" s="7"/>
      <c r="I50" s="7"/>
      <c r="J50" s="7"/>
      <c r="K50" s="7"/>
      <c r="L50" s="7"/>
      <c r="M50" s="7"/>
      <c r="N50" s="7"/>
      <c r="O50" s="7"/>
      <c r="P50" s="7"/>
      <c r="Q50" s="7"/>
      <c r="R50" s="7"/>
      <c r="S50" s="7"/>
      <c r="T50" s="7"/>
      <c r="U50" s="7"/>
      <c r="V50" s="7"/>
      <c r="W50" s="7"/>
      <c r="X50" s="7"/>
      <c r="Y50" s="7"/>
    </row>
    <row r="51" spans="1:54" x14ac:dyDescent="0.25">
      <c r="A51" s="7"/>
      <c r="B51" s="7"/>
      <c r="C51" s="7"/>
      <c r="D51" s="7"/>
      <c r="E51" s="7"/>
      <c r="F51" s="7"/>
      <c r="G51" s="7"/>
      <c r="H51" s="7"/>
      <c r="I51" s="7"/>
      <c r="J51" s="7"/>
      <c r="K51" s="7"/>
      <c r="L51" s="7"/>
      <c r="M51" s="7"/>
      <c r="N51" s="7"/>
      <c r="O51" s="7"/>
      <c r="P51" s="7"/>
      <c r="Q51" s="7"/>
      <c r="R51" s="7"/>
      <c r="S51" s="7"/>
      <c r="T51" s="7"/>
      <c r="U51" s="7"/>
      <c r="V51" s="7"/>
      <c r="W51" s="7"/>
      <c r="X51" s="7"/>
      <c r="Y51" s="7"/>
    </row>
    <row r="52" spans="1:54" x14ac:dyDescent="0.25">
      <c r="A52" s="7"/>
      <c r="B52" s="40"/>
      <c r="C52" s="7"/>
      <c r="D52" s="7"/>
      <c r="E52" s="7"/>
      <c r="F52" s="7"/>
      <c r="G52" s="7"/>
      <c r="H52" s="7"/>
      <c r="I52" s="7"/>
      <c r="J52" s="7"/>
      <c r="K52" s="7"/>
      <c r="L52" s="7"/>
      <c r="M52" s="7"/>
      <c r="N52" s="7"/>
      <c r="O52" s="7"/>
      <c r="P52" s="40"/>
      <c r="Q52" s="7"/>
      <c r="R52" s="7"/>
      <c r="S52" s="7"/>
      <c r="T52" s="7"/>
      <c r="U52" s="7"/>
      <c r="V52" s="7"/>
      <c r="W52" s="7"/>
      <c r="X52" s="7"/>
      <c r="Y52" s="7"/>
    </row>
    <row r="53" spans="1:54" x14ac:dyDescent="0.25">
      <c r="A53" s="7"/>
      <c r="B53" s="7"/>
      <c r="C53" s="7"/>
      <c r="D53" s="7"/>
      <c r="E53" s="7"/>
      <c r="F53" s="41"/>
      <c r="G53" s="7"/>
      <c r="H53" s="7"/>
      <c r="I53" s="7"/>
      <c r="J53" s="7"/>
      <c r="K53" s="7"/>
      <c r="L53" s="7"/>
      <c r="M53" s="7"/>
      <c r="N53" s="7"/>
      <c r="O53" s="7"/>
      <c r="P53" s="7"/>
      <c r="Q53" s="7"/>
      <c r="R53" s="7"/>
      <c r="S53" s="7"/>
      <c r="T53" s="7"/>
      <c r="U53" s="7"/>
      <c r="V53" s="7"/>
      <c r="W53" s="7"/>
      <c r="X53" s="7"/>
      <c r="Y53" s="7"/>
    </row>
    <row r="54" spans="1:54" ht="15" thickBot="1" x14ac:dyDescent="0.3">
      <c r="A54" s="7"/>
      <c r="B54" s="7"/>
      <c r="C54" s="7"/>
      <c r="D54" s="7"/>
      <c r="E54" s="7"/>
      <c r="F54" s="7"/>
      <c r="G54" s="7"/>
      <c r="H54" s="7"/>
      <c r="I54" s="7"/>
      <c r="J54" s="7"/>
      <c r="K54" s="7"/>
      <c r="L54" s="7"/>
      <c r="M54" s="41"/>
      <c r="N54" s="7"/>
      <c r="O54" s="7"/>
      <c r="P54" s="7"/>
      <c r="Q54" s="7"/>
      <c r="R54" s="7"/>
      <c r="S54" s="7"/>
      <c r="T54" s="7"/>
      <c r="U54" s="7"/>
      <c r="V54" s="7"/>
      <c r="W54" s="7"/>
      <c r="X54" s="7"/>
      <c r="Y54" s="7"/>
    </row>
    <row r="55" spans="1:54" ht="15.6" thickTop="1" thickBot="1" x14ac:dyDescent="0.3">
      <c r="A55" s="7"/>
      <c r="B55" s="7"/>
      <c r="C55" s="7"/>
      <c r="D55" s="7"/>
      <c r="E55" s="7"/>
      <c r="F55" s="7"/>
      <c r="G55" s="7"/>
      <c r="H55" s="7"/>
      <c r="I55" s="7"/>
      <c r="J55" s="7"/>
      <c r="K55" s="7"/>
      <c r="L55" s="7"/>
      <c r="M55" s="7"/>
      <c r="N55" s="7"/>
      <c r="O55" s="7"/>
      <c r="P55" s="7"/>
      <c r="Q55" s="7"/>
      <c r="R55" s="7"/>
      <c r="S55" s="7"/>
      <c r="T55" s="7"/>
      <c r="U55" s="7"/>
      <c r="V55" s="7"/>
      <c r="W55" s="7"/>
      <c r="X55" s="7"/>
      <c r="Y55" s="7"/>
      <c r="BB55" s="43">
        <f>IF(AV58=0,0,AI14/POWER(2,(AV58-1)))</f>
        <v>0</v>
      </c>
    </row>
    <row r="56" spans="1:54" ht="15" thickTop="1" x14ac:dyDescent="0.25">
      <c r="A56" s="7"/>
      <c r="B56" s="7"/>
      <c r="C56" s="7"/>
      <c r="D56" s="7"/>
      <c r="E56" s="7"/>
      <c r="F56" s="7"/>
      <c r="G56" s="7"/>
      <c r="H56" s="7"/>
      <c r="I56" s="7"/>
      <c r="J56" s="7"/>
      <c r="K56" s="7"/>
      <c r="L56" s="7"/>
      <c r="M56" s="7"/>
      <c r="N56" s="7"/>
      <c r="O56" s="7"/>
      <c r="P56" s="40"/>
      <c r="Q56" s="7"/>
      <c r="R56" s="7"/>
      <c r="S56" s="7"/>
      <c r="T56" s="7"/>
      <c r="U56" s="7"/>
      <c r="V56" s="7"/>
      <c r="W56" s="7"/>
      <c r="X56" s="7"/>
      <c r="Y56" s="7"/>
    </row>
    <row r="57" spans="1:54" ht="15" thickBot="1" x14ac:dyDescent="0.3">
      <c r="A57" s="7"/>
      <c r="B57" s="7"/>
      <c r="C57" s="7"/>
      <c r="D57" s="7"/>
      <c r="E57" s="7"/>
      <c r="F57" s="7"/>
      <c r="G57" s="7"/>
      <c r="H57" s="7"/>
      <c r="I57" s="7"/>
      <c r="J57" s="7"/>
      <c r="K57" s="7"/>
      <c r="L57" s="7"/>
      <c r="M57" s="41"/>
      <c r="N57" s="7"/>
      <c r="O57" s="7"/>
      <c r="P57" s="7"/>
      <c r="Q57" s="7"/>
      <c r="R57" s="7"/>
      <c r="S57" s="7"/>
      <c r="T57" s="7"/>
      <c r="U57" s="7"/>
      <c r="V57" s="7"/>
      <c r="W57" s="7"/>
      <c r="X57" s="7"/>
      <c r="Y57" s="7"/>
    </row>
    <row r="58" spans="1:54" ht="15.6" thickTop="1" thickBot="1" x14ac:dyDescent="0.3">
      <c r="A58" s="7"/>
      <c r="B58" s="7"/>
      <c r="C58" s="7"/>
      <c r="D58" s="7"/>
      <c r="E58" s="42">
        <f>'Oscillator Source Control'!$P$41</f>
        <v>0.13075000000000001</v>
      </c>
      <c r="F58" s="7"/>
      <c r="G58" s="7"/>
      <c r="H58" s="7"/>
      <c r="I58" s="7"/>
      <c r="J58" s="7"/>
      <c r="K58" s="7"/>
      <c r="L58" s="7"/>
      <c r="M58" s="7"/>
      <c r="N58" s="7"/>
      <c r="O58" s="7"/>
      <c r="P58" s="7"/>
      <c r="Q58" s="7"/>
      <c r="R58" s="7"/>
      <c r="S58" s="7"/>
      <c r="T58" s="7"/>
      <c r="U58" s="7"/>
      <c r="V58" s="7"/>
      <c r="W58" s="7"/>
      <c r="X58" s="7"/>
      <c r="Y58" s="7"/>
      <c r="AV58" s="59">
        <v>0</v>
      </c>
    </row>
    <row r="59" spans="1:54" ht="15" thickTop="1" x14ac:dyDescent="0.25">
      <c r="A59" s="7"/>
      <c r="B59" s="7"/>
      <c r="C59" s="7"/>
      <c r="D59" s="7"/>
      <c r="E59" s="7"/>
      <c r="F59" s="7"/>
      <c r="G59" s="7"/>
      <c r="H59" s="7"/>
      <c r="I59" s="7"/>
      <c r="J59" s="7"/>
      <c r="K59" s="7"/>
      <c r="L59" s="7"/>
      <c r="M59" s="7"/>
      <c r="N59" s="7"/>
      <c r="O59" s="7"/>
      <c r="P59" s="7"/>
      <c r="Q59" s="7"/>
      <c r="R59" s="7"/>
      <c r="S59" s="7"/>
      <c r="T59" s="7"/>
      <c r="U59" s="7"/>
      <c r="V59" s="7"/>
      <c r="W59" s="7"/>
      <c r="X59" s="7"/>
      <c r="Y59" s="7"/>
    </row>
    <row r="60" spans="1:54" x14ac:dyDescent="0.25">
      <c r="A60" s="7"/>
      <c r="B60" s="7"/>
      <c r="C60" s="7"/>
      <c r="D60" s="7"/>
      <c r="E60" s="7"/>
      <c r="F60" s="7"/>
      <c r="G60" s="7"/>
      <c r="H60" s="7"/>
      <c r="I60" s="7"/>
      <c r="J60" s="7"/>
      <c r="K60" s="7"/>
      <c r="L60" s="7"/>
      <c r="M60" s="7"/>
      <c r="N60" s="7"/>
      <c r="O60" s="7"/>
      <c r="P60" s="7"/>
      <c r="Q60" s="7"/>
      <c r="R60" s="7"/>
      <c r="S60" s="7"/>
      <c r="T60" s="7"/>
      <c r="U60" s="7"/>
      <c r="V60" s="7"/>
      <c r="W60" s="7"/>
      <c r="X60" s="7"/>
      <c r="Y60" s="7"/>
    </row>
    <row r="61" spans="1:54" x14ac:dyDescent="0.25">
      <c r="A61" s="7"/>
      <c r="B61" s="7"/>
      <c r="C61" s="7"/>
      <c r="D61" s="7"/>
      <c r="E61" s="7"/>
      <c r="F61" s="7"/>
      <c r="G61" s="7"/>
      <c r="H61" s="7"/>
      <c r="I61" s="7"/>
      <c r="J61" s="7"/>
      <c r="K61" s="7"/>
      <c r="L61" s="7"/>
      <c r="M61" s="7"/>
      <c r="N61" s="7"/>
      <c r="O61" s="7"/>
      <c r="P61" s="7"/>
      <c r="Q61" s="7"/>
      <c r="R61" s="7"/>
      <c r="S61" s="7"/>
      <c r="T61" s="7"/>
      <c r="U61" s="7"/>
      <c r="V61" s="7"/>
      <c r="W61" s="7"/>
      <c r="X61" s="7"/>
      <c r="Y61" s="7"/>
    </row>
    <row r="62" spans="1:54" x14ac:dyDescent="0.25">
      <c r="A62" s="7"/>
      <c r="B62" s="7"/>
      <c r="C62" s="7"/>
      <c r="D62" s="7"/>
      <c r="E62" s="7"/>
      <c r="F62" s="7"/>
      <c r="G62" s="7"/>
      <c r="H62" s="7"/>
      <c r="I62" s="7"/>
      <c r="J62" s="7"/>
      <c r="K62" s="7"/>
      <c r="L62" s="7"/>
      <c r="M62" s="7"/>
      <c r="N62" s="7"/>
      <c r="O62" s="7"/>
      <c r="P62" s="7"/>
      <c r="Q62" s="7"/>
      <c r="R62" s="7"/>
      <c r="S62" s="7"/>
      <c r="T62" s="7"/>
      <c r="U62" s="7"/>
      <c r="V62" s="7"/>
      <c r="W62" s="7"/>
      <c r="X62" s="7"/>
      <c r="Y62" s="7"/>
    </row>
    <row r="63" spans="1:54" x14ac:dyDescent="0.25">
      <c r="A63" s="7"/>
      <c r="B63" s="7"/>
      <c r="C63" s="7"/>
      <c r="D63" s="7"/>
      <c r="E63" s="7"/>
      <c r="F63" s="7"/>
      <c r="G63" s="7"/>
      <c r="H63" s="7"/>
      <c r="I63" s="7"/>
      <c r="J63" s="7"/>
      <c r="K63" s="7"/>
      <c r="L63" s="7"/>
      <c r="M63" s="7"/>
      <c r="N63" s="7"/>
      <c r="O63" s="7"/>
      <c r="P63" s="7"/>
      <c r="Q63" s="7"/>
      <c r="R63" s="7"/>
      <c r="S63" s="7"/>
      <c r="T63" s="7"/>
      <c r="U63" s="7"/>
      <c r="V63" s="7"/>
      <c r="W63" s="7"/>
      <c r="X63" s="7"/>
      <c r="Y63" s="7"/>
    </row>
    <row r="64" spans="1:54" ht="15" thickBot="1" x14ac:dyDescent="0.3">
      <c r="A64" s="7"/>
      <c r="B64" s="7"/>
      <c r="C64" s="7"/>
      <c r="D64" s="7"/>
      <c r="E64" s="7"/>
      <c r="F64" s="7"/>
      <c r="G64" s="7"/>
      <c r="H64" s="7"/>
      <c r="I64" s="7"/>
      <c r="J64" s="7"/>
      <c r="K64" s="7"/>
      <c r="L64" s="7"/>
      <c r="M64" s="7"/>
      <c r="N64" s="7"/>
      <c r="O64" s="7"/>
      <c r="P64" s="7"/>
      <c r="Q64" s="7"/>
      <c r="R64" s="7"/>
      <c r="S64" s="7"/>
      <c r="T64" s="7"/>
      <c r="U64" s="7"/>
      <c r="V64" s="7"/>
      <c r="W64" s="7"/>
      <c r="X64" s="7"/>
      <c r="Y64" s="7"/>
    </row>
    <row r="65" spans="1:54" ht="15.6" thickTop="1" thickBot="1" x14ac:dyDescent="0.3">
      <c r="A65" s="7"/>
      <c r="B65" s="7"/>
      <c r="C65" s="58">
        <v>0</v>
      </c>
      <c r="D65" s="7"/>
      <c r="E65" s="7"/>
      <c r="F65" s="7"/>
      <c r="G65" s="7"/>
      <c r="H65" s="7"/>
      <c r="I65" s="7"/>
      <c r="J65" s="7"/>
      <c r="K65" s="7"/>
      <c r="L65" s="7"/>
      <c r="M65" s="7"/>
      <c r="N65" s="7"/>
      <c r="O65" s="7"/>
      <c r="P65" s="40"/>
      <c r="Q65" s="7"/>
      <c r="R65" s="7"/>
      <c r="S65" s="7"/>
      <c r="T65" s="7"/>
      <c r="U65" s="7"/>
      <c r="V65" s="7"/>
      <c r="W65" s="7"/>
      <c r="X65" s="7"/>
      <c r="Y65" s="7"/>
    </row>
    <row r="66" spans="1:54" ht="15" thickTop="1" x14ac:dyDescent="0.25">
      <c r="A66" s="7"/>
      <c r="B66" s="7"/>
      <c r="C66" s="7"/>
      <c r="D66" s="7"/>
      <c r="E66" s="7"/>
      <c r="F66" s="7"/>
      <c r="G66" s="7"/>
      <c r="H66" s="7"/>
      <c r="I66" s="7"/>
      <c r="J66" s="7"/>
      <c r="K66" s="7"/>
      <c r="L66" s="7"/>
      <c r="M66" s="41"/>
      <c r="N66" s="7"/>
      <c r="O66" s="7"/>
      <c r="P66" s="7"/>
      <c r="Q66" s="7"/>
      <c r="R66" s="7"/>
      <c r="S66" s="7"/>
      <c r="T66" s="7"/>
      <c r="U66" s="7"/>
      <c r="V66" s="7"/>
      <c r="W66" s="7"/>
      <c r="X66" s="7"/>
      <c r="Y66" s="7"/>
    </row>
    <row r="67" spans="1:54" ht="15" thickBot="1" x14ac:dyDescent="0.3">
      <c r="A67" s="7"/>
      <c r="B67" s="7"/>
      <c r="C67" s="7"/>
      <c r="D67" s="7"/>
      <c r="E67" s="7"/>
      <c r="F67" s="7"/>
      <c r="G67" s="7"/>
      <c r="H67" s="7"/>
      <c r="I67" s="7"/>
      <c r="J67" s="7"/>
      <c r="K67" s="7"/>
      <c r="L67" s="7"/>
      <c r="M67" s="7"/>
      <c r="N67" s="7"/>
      <c r="O67" s="7"/>
      <c r="P67" s="7"/>
      <c r="Q67" s="7"/>
      <c r="R67" s="7"/>
      <c r="S67" s="7"/>
      <c r="T67" s="7"/>
      <c r="U67" s="7"/>
      <c r="V67" s="7"/>
      <c r="W67" s="7"/>
      <c r="X67" s="7"/>
      <c r="Y67" s="7"/>
    </row>
    <row r="68" spans="1:54" ht="15.6" thickTop="1" thickBot="1" x14ac:dyDescent="0.3">
      <c r="A68" s="7"/>
      <c r="B68" s="7"/>
      <c r="C68" s="7"/>
      <c r="D68" s="7"/>
      <c r="E68" s="7"/>
      <c r="F68" s="7"/>
      <c r="G68" s="40"/>
      <c r="H68" s="7"/>
      <c r="I68" s="7"/>
      <c r="J68" s="7"/>
      <c r="K68" s="7"/>
      <c r="L68" s="7"/>
      <c r="M68" s="7"/>
      <c r="N68" s="7"/>
      <c r="O68" s="7"/>
      <c r="P68" s="7"/>
      <c r="Q68" s="7"/>
      <c r="R68" s="7"/>
      <c r="S68" s="7"/>
      <c r="T68" s="7"/>
      <c r="U68" s="7"/>
      <c r="V68" s="7"/>
      <c r="W68" s="7"/>
      <c r="X68" s="7"/>
      <c r="Y68" s="7"/>
      <c r="BB68" s="43">
        <f>IF(AV71=0,0,U11/POWER(2,(AV71-1)))</f>
        <v>0</v>
      </c>
    </row>
    <row r="69" spans="1:54" ht="15" thickTop="1" x14ac:dyDescent="0.25">
      <c r="A69" s="7"/>
      <c r="B69" s="7"/>
      <c r="C69" s="7"/>
      <c r="D69" s="7"/>
      <c r="E69" s="7"/>
      <c r="F69" s="7"/>
      <c r="G69" s="7"/>
      <c r="H69" s="7"/>
      <c r="I69" s="7"/>
      <c r="J69" s="7"/>
      <c r="K69" s="41"/>
      <c r="L69" s="7"/>
      <c r="M69" s="7"/>
      <c r="N69" s="7"/>
      <c r="O69" s="7"/>
      <c r="P69" s="7"/>
      <c r="Q69" s="7"/>
      <c r="R69" s="7"/>
      <c r="S69" s="7"/>
      <c r="T69" s="7"/>
      <c r="U69" s="7"/>
      <c r="V69" s="7"/>
      <c r="W69" s="7"/>
      <c r="X69" s="7"/>
      <c r="Y69" s="7"/>
    </row>
    <row r="70" spans="1:54" ht="15" thickBot="1" x14ac:dyDescent="0.3">
      <c r="A70" s="7"/>
      <c r="B70" s="7"/>
      <c r="C70" s="7"/>
      <c r="D70" s="7"/>
      <c r="E70" s="7"/>
      <c r="F70" s="7"/>
      <c r="G70" s="7"/>
      <c r="H70" s="7"/>
      <c r="I70" s="7"/>
      <c r="J70" s="7"/>
      <c r="K70" s="7"/>
      <c r="L70" s="7"/>
      <c r="M70" s="7"/>
      <c r="N70" s="7"/>
      <c r="O70" s="7"/>
      <c r="P70" s="7"/>
      <c r="Q70" s="7"/>
      <c r="R70" s="7"/>
      <c r="S70" s="7"/>
      <c r="T70" s="7"/>
      <c r="U70" s="7"/>
      <c r="V70" s="7"/>
      <c r="W70" s="7"/>
      <c r="X70" s="7"/>
      <c r="Y70" s="7"/>
    </row>
    <row r="71" spans="1:54" ht="15.6" thickTop="1" thickBot="1" x14ac:dyDescent="0.3">
      <c r="A71" s="7"/>
      <c r="B71" s="7"/>
      <c r="C71" s="7"/>
      <c r="D71" s="7"/>
      <c r="E71" s="7"/>
      <c r="F71" s="7"/>
      <c r="G71" s="7"/>
      <c r="H71" s="7"/>
      <c r="I71" s="7"/>
      <c r="J71" s="7"/>
      <c r="K71" s="7"/>
      <c r="L71" s="7"/>
      <c r="M71" s="7"/>
      <c r="N71" s="7"/>
      <c r="O71" s="7"/>
      <c r="P71" s="7"/>
      <c r="Q71" s="7"/>
      <c r="R71" s="7"/>
      <c r="S71" s="7"/>
      <c r="T71" s="7"/>
      <c r="U71" s="7"/>
      <c r="V71" s="7"/>
      <c r="W71" s="7"/>
      <c r="X71" s="7"/>
      <c r="Y71" s="7"/>
      <c r="AV71" s="59">
        <v>0</v>
      </c>
    </row>
    <row r="72" spans="1:54" ht="15" thickTop="1" x14ac:dyDescent="0.25">
      <c r="A72" s="7"/>
      <c r="B72" s="7"/>
      <c r="C72" s="7"/>
      <c r="D72" s="7"/>
      <c r="E72" s="7"/>
      <c r="F72" s="7"/>
      <c r="G72" s="7"/>
      <c r="H72" s="7"/>
      <c r="I72" s="7"/>
      <c r="J72" s="7"/>
      <c r="K72" s="7"/>
      <c r="L72" s="7"/>
      <c r="M72" s="7"/>
      <c r="N72" s="7"/>
      <c r="O72" s="7"/>
      <c r="P72" s="7"/>
      <c r="Q72" s="7"/>
      <c r="R72" s="7"/>
      <c r="S72" s="7"/>
      <c r="T72" s="7"/>
      <c r="U72" s="7"/>
      <c r="V72" s="7"/>
      <c r="W72" s="7"/>
      <c r="X72" s="7"/>
      <c r="Y72" s="7"/>
    </row>
    <row r="73" spans="1:54" x14ac:dyDescent="0.25">
      <c r="A73" s="7"/>
      <c r="B73" s="7"/>
      <c r="C73" s="7"/>
      <c r="D73" s="7"/>
      <c r="E73" s="7"/>
      <c r="F73" s="7"/>
      <c r="G73" s="7"/>
      <c r="H73" s="7"/>
      <c r="I73" s="7"/>
      <c r="J73" s="7"/>
      <c r="K73" s="7"/>
      <c r="L73" s="7"/>
      <c r="M73" s="7"/>
      <c r="N73" s="7"/>
      <c r="O73" s="7"/>
      <c r="P73" s="7"/>
      <c r="Q73" s="7"/>
      <c r="R73" s="7"/>
      <c r="S73" s="7"/>
      <c r="T73" s="7"/>
      <c r="U73" s="7"/>
      <c r="V73" s="7"/>
      <c r="W73" s="7"/>
      <c r="X73" s="7"/>
      <c r="Y73" s="7"/>
    </row>
    <row r="74" spans="1:54" x14ac:dyDescent="0.25">
      <c r="A74" s="7"/>
      <c r="B74" s="7"/>
      <c r="C74" s="7"/>
      <c r="D74" s="7"/>
      <c r="E74" s="7"/>
      <c r="F74" s="7"/>
      <c r="G74" s="7"/>
      <c r="H74" s="7"/>
      <c r="I74" s="7"/>
      <c r="J74" s="7"/>
      <c r="K74" s="7"/>
      <c r="L74" s="7"/>
      <c r="M74" s="7"/>
      <c r="N74" s="7"/>
      <c r="O74" s="7"/>
      <c r="P74" s="7"/>
      <c r="Q74" s="7"/>
      <c r="R74" s="7"/>
      <c r="S74" s="7"/>
      <c r="T74" s="7"/>
      <c r="U74" s="7"/>
      <c r="V74" s="7"/>
      <c r="W74" s="7"/>
      <c r="X74" s="7"/>
      <c r="Y74" s="7"/>
    </row>
    <row r="75" spans="1:54" x14ac:dyDescent="0.25">
      <c r="A75" s="7"/>
      <c r="B75" s="7"/>
      <c r="C75" s="7"/>
      <c r="D75" s="7"/>
      <c r="E75" s="7"/>
      <c r="F75" s="7"/>
      <c r="G75" s="7"/>
      <c r="H75" s="7"/>
      <c r="I75" s="7"/>
      <c r="J75" s="7"/>
      <c r="K75" s="7"/>
      <c r="L75" s="7"/>
      <c r="M75" s="7"/>
      <c r="N75" s="7"/>
      <c r="O75" s="7"/>
      <c r="P75" s="7"/>
      <c r="Q75" s="7"/>
      <c r="R75" s="7"/>
      <c r="S75" s="7"/>
      <c r="T75" s="7"/>
      <c r="U75" s="7"/>
      <c r="V75" s="7"/>
      <c r="W75" s="7"/>
      <c r="X75" s="7"/>
      <c r="Y75" s="7"/>
    </row>
    <row r="76" spans="1:54" x14ac:dyDescent="0.25">
      <c r="A76" s="7"/>
      <c r="B76" s="7"/>
      <c r="C76" s="7"/>
      <c r="D76" s="7"/>
      <c r="E76" s="7"/>
      <c r="F76" s="7"/>
      <c r="G76" s="7"/>
      <c r="H76" s="7"/>
      <c r="I76" s="7"/>
      <c r="J76" s="7"/>
      <c r="K76" s="7"/>
      <c r="L76" s="7"/>
      <c r="M76" s="7"/>
      <c r="N76" s="7"/>
      <c r="O76" s="7"/>
      <c r="P76" s="7"/>
      <c r="Q76" s="7"/>
      <c r="R76" s="7"/>
      <c r="S76" s="7"/>
      <c r="T76" s="7"/>
      <c r="U76" s="7"/>
      <c r="V76" s="7"/>
      <c r="W76" s="7"/>
      <c r="X76" s="7"/>
      <c r="Y76" s="7"/>
    </row>
    <row r="77" spans="1:54" x14ac:dyDescent="0.25">
      <c r="A77" s="7"/>
      <c r="B77" s="7"/>
      <c r="C77" s="7"/>
      <c r="D77" s="7"/>
      <c r="E77" s="7"/>
      <c r="F77" s="7"/>
      <c r="G77" s="7"/>
      <c r="H77" s="7"/>
      <c r="I77" s="7"/>
      <c r="J77" s="7"/>
      <c r="K77" s="7"/>
      <c r="L77" s="7"/>
      <c r="M77" s="7"/>
      <c r="N77" s="7"/>
      <c r="O77" s="7"/>
      <c r="P77" s="7"/>
      <c r="Q77" s="7"/>
      <c r="R77" s="7"/>
      <c r="S77" s="7"/>
      <c r="T77" s="7"/>
      <c r="U77" s="7"/>
      <c r="V77" s="7"/>
      <c r="W77" s="7"/>
      <c r="X77" s="7"/>
      <c r="Y77" s="7"/>
    </row>
    <row r="78" spans="1:54" x14ac:dyDescent="0.25">
      <c r="A78" s="7"/>
      <c r="B78" s="7"/>
      <c r="C78" s="7"/>
      <c r="D78" s="7"/>
      <c r="E78" s="7"/>
      <c r="F78" s="7"/>
      <c r="G78" s="7"/>
      <c r="H78" s="7"/>
      <c r="I78" s="7"/>
      <c r="J78" s="7"/>
      <c r="K78" s="7"/>
      <c r="L78" s="7"/>
      <c r="M78" s="7"/>
      <c r="N78" s="7"/>
      <c r="O78" s="7"/>
      <c r="P78" s="7"/>
      <c r="Q78" s="7"/>
      <c r="R78" s="7"/>
      <c r="S78" s="7"/>
      <c r="T78" s="7"/>
      <c r="U78" s="7"/>
      <c r="V78" s="7"/>
      <c r="W78" s="7"/>
      <c r="X78" s="7"/>
      <c r="Y78" s="7"/>
    </row>
    <row r="79" spans="1:54" ht="15" thickBot="1" x14ac:dyDescent="0.3">
      <c r="A79" s="7"/>
      <c r="B79" s="7"/>
      <c r="C79" s="7"/>
      <c r="D79" s="7"/>
      <c r="E79" s="7"/>
      <c r="F79" s="7"/>
      <c r="G79" s="7"/>
      <c r="H79" s="7"/>
      <c r="I79" s="7"/>
      <c r="J79" s="7"/>
      <c r="K79" s="7"/>
      <c r="L79" s="7"/>
      <c r="M79" s="7"/>
      <c r="N79" s="7"/>
      <c r="O79" s="7"/>
      <c r="P79" s="40"/>
      <c r="Q79" s="7"/>
      <c r="R79" s="7"/>
      <c r="S79" s="7"/>
      <c r="T79" s="7"/>
      <c r="U79" s="7"/>
      <c r="V79" s="7"/>
      <c r="W79" s="7"/>
      <c r="X79" s="7"/>
      <c r="Y79" s="7"/>
    </row>
    <row r="80" spans="1:54" ht="15.6" thickTop="1" thickBot="1" x14ac:dyDescent="0.3">
      <c r="A80" s="7"/>
      <c r="B80" s="7"/>
      <c r="C80" s="7"/>
      <c r="D80" s="7"/>
      <c r="E80" s="7"/>
      <c r="F80" s="7"/>
      <c r="G80" s="7"/>
      <c r="H80" s="7"/>
      <c r="I80" s="7"/>
      <c r="J80" s="7"/>
      <c r="K80" s="7"/>
      <c r="L80" s="7"/>
      <c r="M80" s="41"/>
      <c r="N80" s="7"/>
      <c r="O80" s="7"/>
      <c r="P80" s="7"/>
      <c r="Q80" s="7"/>
      <c r="R80" s="7"/>
      <c r="S80" s="7"/>
      <c r="T80" s="7"/>
      <c r="U80" s="7"/>
      <c r="V80" s="7"/>
      <c r="W80" s="7"/>
      <c r="X80" s="7"/>
      <c r="Y80" s="7"/>
      <c r="BB80" s="43">
        <f>IF(AV84=0,0,U11/POWER(2,(AV84-1)))</f>
        <v>0</v>
      </c>
    </row>
    <row r="81" spans="1:54" ht="15" thickTop="1" x14ac:dyDescent="0.25">
      <c r="A81" s="7"/>
      <c r="B81" s="7"/>
      <c r="C81" s="7"/>
      <c r="D81" s="7"/>
      <c r="E81" s="7"/>
      <c r="F81" s="7"/>
      <c r="G81" s="7"/>
      <c r="H81" s="7"/>
      <c r="I81" s="7"/>
      <c r="J81" s="7"/>
      <c r="K81" s="7"/>
      <c r="L81" s="7"/>
      <c r="M81" s="7"/>
      <c r="N81" s="7"/>
      <c r="O81" s="7"/>
      <c r="P81" s="7"/>
      <c r="Q81" s="7"/>
      <c r="R81" s="7"/>
      <c r="S81" s="7"/>
      <c r="T81" s="7"/>
      <c r="U81" s="7"/>
      <c r="V81" s="7"/>
      <c r="W81" s="7"/>
      <c r="X81" s="7"/>
      <c r="Y81" s="7"/>
    </row>
    <row r="82" spans="1:54" x14ac:dyDescent="0.25">
      <c r="A82" s="7"/>
      <c r="B82" s="7"/>
      <c r="C82" s="7"/>
      <c r="D82" s="7"/>
      <c r="E82" s="7"/>
      <c r="F82" s="7"/>
      <c r="G82" s="40"/>
      <c r="H82" s="7"/>
      <c r="I82" s="7"/>
      <c r="J82" s="7"/>
      <c r="K82" s="7"/>
      <c r="L82" s="7"/>
      <c r="M82" s="7"/>
      <c r="N82" s="7"/>
      <c r="O82" s="7"/>
      <c r="P82" s="7"/>
      <c r="Q82" s="7"/>
      <c r="R82" s="7"/>
      <c r="S82" s="7"/>
      <c r="T82" s="7"/>
      <c r="U82" s="7"/>
      <c r="V82" s="7"/>
      <c r="W82" s="7"/>
      <c r="X82" s="7"/>
      <c r="Y82" s="7"/>
    </row>
    <row r="83" spans="1:54" ht="15" thickBot="1" x14ac:dyDescent="0.3">
      <c r="A83" s="7"/>
      <c r="B83" s="7"/>
      <c r="C83" s="7"/>
      <c r="D83" s="7"/>
      <c r="E83" s="7"/>
      <c r="F83" s="7"/>
      <c r="G83" s="7"/>
      <c r="H83" s="7"/>
      <c r="I83" s="7"/>
      <c r="J83" s="7"/>
      <c r="K83" s="41"/>
      <c r="L83" s="7"/>
      <c r="M83" s="7"/>
      <c r="N83" s="7"/>
      <c r="O83" s="7"/>
      <c r="P83" s="7"/>
      <c r="Q83" s="7"/>
      <c r="R83" s="7"/>
      <c r="S83" s="7"/>
      <c r="T83" s="7"/>
      <c r="U83" s="7"/>
      <c r="V83" s="7"/>
      <c r="W83" s="7"/>
      <c r="X83" s="7"/>
      <c r="Y83" s="7"/>
    </row>
    <row r="84" spans="1:54" ht="15.6" thickTop="1" thickBot="1" x14ac:dyDescent="0.3">
      <c r="A84" s="7"/>
      <c r="B84" s="7"/>
      <c r="C84" s="7"/>
      <c r="D84" s="7"/>
      <c r="E84" s="7"/>
      <c r="F84" s="7"/>
      <c r="G84" s="7"/>
      <c r="H84" s="7"/>
      <c r="I84" s="7"/>
      <c r="J84" s="7"/>
      <c r="K84" s="7"/>
      <c r="L84" s="7"/>
      <c r="M84" s="7"/>
      <c r="N84" s="7"/>
      <c r="O84" s="7"/>
      <c r="P84" s="7"/>
      <c r="Q84" s="7"/>
      <c r="R84" s="7"/>
      <c r="S84" s="7"/>
      <c r="T84" s="7"/>
      <c r="U84" s="7"/>
      <c r="V84" s="7"/>
      <c r="W84" s="7"/>
      <c r="X84" s="7"/>
      <c r="Y84" s="7"/>
      <c r="AV84" s="59">
        <v>0</v>
      </c>
    </row>
    <row r="85" spans="1:54" ht="15" thickTop="1" x14ac:dyDescent="0.25">
      <c r="A85" s="7"/>
      <c r="B85" s="7"/>
      <c r="C85" s="7"/>
      <c r="D85" s="7"/>
      <c r="E85" s="7"/>
      <c r="F85" s="7"/>
      <c r="G85" s="7"/>
      <c r="H85" s="7"/>
      <c r="I85" s="7"/>
      <c r="J85" s="7"/>
      <c r="K85" s="7"/>
      <c r="L85" s="7"/>
      <c r="M85" s="7"/>
      <c r="N85" s="7"/>
      <c r="O85" s="7"/>
      <c r="P85" s="7"/>
      <c r="Q85" s="7"/>
      <c r="R85" s="7"/>
      <c r="S85" s="7"/>
      <c r="T85" s="7"/>
      <c r="U85" s="7"/>
      <c r="V85" s="7"/>
      <c r="W85" s="7"/>
      <c r="X85" s="7"/>
      <c r="Y85" s="7"/>
    </row>
    <row r="86" spans="1:54" x14ac:dyDescent="0.25">
      <c r="A86" s="7"/>
      <c r="B86" s="7"/>
      <c r="C86" s="7"/>
      <c r="D86" s="7"/>
      <c r="E86" s="7"/>
      <c r="F86" s="7"/>
      <c r="G86" s="7"/>
      <c r="H86" s="7"/>
      <c r="I86" s="7"/>
      <c r="J86" s="7"/>
      <c r="K86" s="7"/>
      <c r="L86" s="7"/>
      <c r="M86" s="7"/>
      <c r="N86" s="7"/>
      <c r="O86" s="7"/>
      <c r="P86" s="7"/>
      <c r="Q86" s="7"/>
      <c r="R86" s="7"/>
      <c r="S86" s="7"/>
      <c r="T86" s="7"/>
      <c r="U86" s="7"/>
      <c r="V86" s="7"/>
      <c r="W86" s="7"/>
      <c r="X86" s="7"/>
      <c r="Y86" s="7"/>
    </row>
    <row r="87" spans="1:54" x14ac:dyDescent="0.25">
      <c r="A87" s="7"/>
      <c r="B87" s="7"/>
      <c r="C87" s="7"/>
      <c r="D87" s="7"/>
      <c r="E87" s="7"/>
      <c r="F87" s="7"/>
      <c r="G87" s="7"/>
      <c r="H87" s="7"/>
      <c r="I87" s="7"/>
      <c r="J87" s="7"/>
      <c r="K87" s="7"/>
      <c r="L87" s="7"/>
      <c r="M87" s="7"/>
      <c r="N87" s="7"/>
      <c r="O87" s="7"/>
      <c r="P87" s="7"/>
      <c r="Q87" s="7"/>
      <c r="R87" s="7"/>
      <c r="S87" s="7"/>
      <c r="T87" s="7"/>
      <c r="U87" s="7"/>
      <c r="V87" s="7"/>
      <c r="W87" s="7"/>
      <c r="X87" s="7"/>
      <c r="Y87" s="7"/>
    </row>
    <row r="88" spans="1:54" x14ac:dyDescent="0.25">
      <c r="A88" s="7"/>
      <c r="B88" s="7"/>
      <c r="C88" s="7"/>
      <c r="D88" s="7"/>
      <c r="E88" s="7"/>
      <c r="F88" s="7"/>
      <c r="G88" s="7"/>
      <c r="H88" s="7"/>
      <c r="I88" s="7"/>
      <c r="J88" s="7"/>
      <c r="K88" s="7"/>
      <c r="L88" s="7"/>
      <c r="M88" s="7"/>
      <c r="N88" s="7"/>
      <c r="O88" s="7"/>
      <c r="P88" s="7"/>
      <c r="Q88" s="7"/>
      <c r="R88" s="7"/>
      <c r="S88" s="7"/>
      <c r="T88" s="7"/>
      <c r="U88" s="7"/>
      <c r="V88" s="7"/>
      <c r="W88" s="7"/>
      <c r="X88" s="7"/>
      <c r="Y88" s="7"/>
    </row>
    <row r="89" spans="1:54" x14ac:dyDescent="0.25">
      <c r="A89" s="7"/>
      <c r="B89" s="7"/>
      <c r="C89" s="7"/>
      <c r="D89" s="7"/>
      <c r="E89" s="7"/>
      <c r="F89" s="7"/>
      <c r="G89" s="7"/>
      <c r="H89" s="7"/>
      <c r="I89" s="7"/>
      <c r="J89" s="7"/>
      <c r="K89" s="7"/>
      <c r="L89" s="7"/>
      <c r="M89" s="7"/>
      <c r="N89" s="7"/>
      <c r="O89" s="7"/>
      <c r="P89" s="7"/>
      <c r="Q89" s="7"/>
      <c r="R89" s="7"/>
      <c r="S89" s="7"/>
      <c r="T89" s="7"/>
      <c r="U89" s="7"/>
      <c r="V89" s="7"/>
      <c r="W89" s="7"/>
      <c r="X89" s="7"/>
      <c r="Y89" s="7"/>
    </row>
    <row r="90" spans="1:54" x14ac:dyDescent="0.25">
      <c r="A90" s="7"/>
      <c r="B90" s="7"/>
      <c r="C90" s="7"/>
      <c r="D90" s="7"/>
      <c r="E90" s="7"/>
      <c r="F90" s="7"/>
      <c r="G90" s="7"/>
      <c r="H90" s="7"/>
      <c r="I90" s="7"/>
      <c r="J90" s="7"/>
      <c r="K90" s="7"/>
      <c r="L90" s="7"/>
      <c r="M90" s="7"/>
      <c r="N90" s="7"/>
      <c r="O90" s="7"/>
      <c r="P90" s="7"/>
      <c r="Q90" s="7"/>
      <c r="R90" s="7"/>
      <c r="S90" s="7"/>
      <c r="T90" s="7"/>
      <c r="U90" s="7"/>
      <c r="V90" s="7"/>
      <c r="W90" s="7"/>
      <c r="X90" s="7"/>
      <c r="Y90" s="7"/>
    </row>
    <row r="91" spans="1:54" x14ac:dyDescent="0.25">
      <c r="A91" s="7"/>
      <c r="B91" s="7"/>
      <c r="C91" s="7"/>
      <c r="D91" s="7"/>
      <c r="E91" s="7"/>
      <c r="F91" s="7"/>
      <c r="G91" s="7"/>
      <c r="H91" s="7"/>
      <c r="I91" s="7"/>
      <c r="J91" s="7"/>
      <c r="K91" s="7"/>
      <c r="L91" s="7"/>
      <c r="M91" s="7"/>
      <c r="N91" s="7"/>
      <c r="O91" s="7"/>
      <c r="P91" s="7"/>
      <c r="Q91" s="7"/>
      <c r="R91" s="7"/>
      <c r="S91" s="7"/>
      <c r="T91" s="7"/>
      <c r="U91" s="7"/>
      <c r="V91" s="7"/>
      <c r="W91" s="7"/>
      <c r="X91" s="7"/>
      <c r="Y91" s="7"/>
    </row>
    <row r="92" spans="1:54" x14ac:dyDescent="0.25">
      <c r="A92" s="7"/>
      <c r="B92" s="7"/>
      <c r="C92" s="7"/>
      <c r="D92" s="7"/>
      <c r="E92" s="7"/>
      <c r="F92" s="7"/>
      <c r="G92" s="7"/>
      <c r="H92" s="7"/>
      <c r="I92" s="7"/>
      <c r="J92" s="7"/>
      <c r="K92" s="7"/>
      <c r="L92" s="7"/>
      <c r="M92" s="7"/>
      <c r="N92" s="7"/>
      <c r="O92" s="7"/>
      <c r="P92" s="7"/>
      <c r="Q92" s="7"/>
      <c r="R92" s="7"/>
      <c r="S92" s="7"/>
      <c r="T92" s="7"/>
      <c r="U92" s="7"/>
      <c r="V92" s="7"/>
      <c r="W92" s="7"/>
      <c r="X92" s="7"/>
      <c r="Y92" s="7"/>
    </row>
    <row r="93" spans="1:54" ht="15" thickBot="1" x14ac:dyDescent="0.3">
      <c r="A93" s="7"/>
      <c r="B93" s="7"/>
      <c r="C93" s="7"/>
      <c r="D93" s="7"/>
      <c r="E93" s="7"/>
      <c r="F93" s="7"/>
      <c r="G93" s="7"/>
      <c r="H93" s="7"/>
      <c r="I93" s="7"/>
      <c r="J93" s="7"/>
      <c r="K93" s="7"/>
      <c r="L93" s="7"/>
      <c r="M93" s="7"/>
      <c r="N93" s="7"/>
      <c r="O93" s="7"/>
      <c r="P93" s="7"/>
      <c r="Q93" s="7"/>
      <c r="R93" s="7"/>
      <c r="S93" s="7"/>
      <c r="T93" s="7"/>
      <c r="U93" s="7"/>
      <c r="V93" s="7"/>
      <c r="W93" s="7"/>
      <c r="X93" s="7"/>
      <c r="Y93" s="7"/>
    </row>
    <row r="94" spans="1:54" ht="15.6" thickTop="1" thickBot="1" x14ac:dyDescent="0.3">
      <c r="A94" s="7"/>
      <c r="B94" s="7"/>
      <c r="C94" s="7"/>
      <c r="D94" s="7"/>
      <c r="E94" s="7"/>
      <c r="F94" s="7"/>
      <c r="G94" s="7"/>
      <c r="H94" s="7"/>
      <c r="I94" s="7"/>
      <c r="J94" s="7"/>
      <c r="K94" s="7"/>
      <c r="L94" s="7"/>
      <c r="M94" s="7"/>
      <c r="N94" s="7"/>
      <c r="O94" s="7"/>
      <c r="P94" s="7"/>
      <c r="Q94" s="7"/>
      <c r="R94" s="7"/>
      <c r="S94" s="7"/>
      <c r="T94" s="7"/>
      <c r="U94" s="7"/>
      <c r="V94" s="7"/>
      <c r="W94" s="7"/>
      <c r="X94" s="7"/>
      <c r="Y94" s="7"/>
      <c r="BB94" s="43">
        <f>IF(AV97=0,0,X26/POWER(2,(AV97-1)))</f>
        <v>0</v>
      </c>
    </row>
    <row r="95" spans="1:54" ht="15" thickTop="1" x14ac:dyDescent="0.25">
      <c r="A95" s="7"/>
      <c r="B95" s="7"/>
      <c r="C95" s="7"/>
      <c r="D95" s="7"/>
      <c r="E95" s="7"/>
      <c r="F95" s="7"/>
      <c r="G95" s="7"/>
      <c r="H95" s="7"/>
      <c r="I95" s="7"/>
      <c r="J95" s="7"/>
      <c r="K95" s="7"/>
      <c r="L95" s="7"/>
      <c r="M95" s="7"/>
      <c r="N95" s="7"/>
      <c r="O95" s="7"/>
      <c r="P95" s="7"/>
      <c r="Q95" s="7"/>
      <c r="R95" s="7"/>
      <c r="S95" s="7"/>
      <c r="T95" s="7"/>
      <c r="U95" s="7"/>
      <c r="V95" s="7"/>
      <c r="W95" s="7"/>
      <c r="X95" s="7"/>
      <c r="Y95" s="7"/>
    </row>
    <row r="96" spans="1:54" ht="15" thickBot="1" x14ac:dyDescent="0.3">
      <c r="A96" s="7"/>
      <c r="B96" s="7"/>
      <c r="C96" s="7"/>
      <c r="D96" s="7"/>
      <c r="E96" s="7"/>
      <c r="F96" s="7"/>
      <c r="G96" s="7"/>
      <c r="H96" s="7"/>
      <c r="I96" s="7"/>
      <c r="J96" s="7"/>
      <c r="K96" s="7"/>
      <c r="L96" s="7"/>
      <c r="M96" s="7"/>
      <c r="N96" s="7"/>
      <c r="O96" s="7"/>
      <c r="P96" s="7"/>
      <c r="Q96" s="7"/>
      <c r="R96" s="7"/>
      <c r="S96" s="7"/>
      <c r="T96" s="7"/>
      <c r="U96" s="7"/>
      <c r="V96" s="7"/>
      <c r="W96" s="7"/>
      <c r="X96" s="7"/>
      <c r="Y96" s="7"/>
    </row>
    <row r="97" spans="1:54" ht="15.6" thickTop="1" thickBot="1" x14ac:dyDescent="0.3">
      <c r="A97" s="7"/>
      <c r="B97" s="7"/>
      <c r="C97" s="7"/>
      <c r="D97" s="7"/>
      <c r="E97" s="7"/>
      <c r="F97" s="7"/>
      <c r="G97" s="7"/>
      <c r="H97" s="7"/>
      <c r="I97" s="7"/>
      <c r="J97" s="7"/>
      <c r="K97" s="7"/>
      <c r="L97" s="7"/>
      <c r="M97" s="7"/>
      <c r="N97" s="7"/>
      <c r="O97" s="7"/>
      <c r="P97" s="7"/>
      <c r="Q97" s="7"/>
      <c r="R97" s="7"/>
      <c r="S97" s="7"/>
      <c r="T97" s="7"/>
      <c r="U97" s="7"/>
      <c r="V97" s="7"/>
      <c r="W97" s="7"/>
      <c r="X97" s="7"/>
      <c r="Y97" s="7"/>
      <c r="AV97" s="59">
        <v>0</v>
      </c>
    </row>
    <row r="98" spans="1:54" ht="15" thickTop="1" x14ac:dyDescent="0.25">
      <c r="A98" s="7"/>
      <c r="B98" s="7"/>
      <c r="C98" s="7"/>
      <c r="D98" s="7"/>
      <c r="E98" s="7"/>
      <c r="F98" s="7"/>
      <c r="G98" s="7"/>
      <c r="H98" s="7"/>
      <c r="I98" s="7"/>
      <c r="J98" s="7"/>
      <c r="K98" s="7"/>
      <c r="L98" s="7"/>
      <c r="M98" s="7"/>
      <c r="N98" s="7"/>
      <c r="O98" s="7"/>
      <c r="P98" s="7"/>
      <c r="Q98" s="7"/>
      <c r="R98" s="7"/>
      <c r="S98" s="7"/>
      <c r="T98" s="7"/>
      <c r="U98" s="7"/>
      <c r="V98" s="7"/>
      <c r="W98" s="7"/>
      <c r="X98" s="7"/>
      <c r="Y98" s="7"/>
    </row>
    <row r="99" spans="1:54" x14ac:dyDescent="0.25">
      <c r="A99" s="7"/>
      <c r="B99" s="7"/>
      <c r="C99" s="7"/>
      <c r="D99" s="7"/>
      <c r="E99" s="7"/>
      <c r="F99" s="7"/>
      <c r="G99" s="7"/>
      <c r="H99" s="7"/>
      <c r="I99" s="7"/>
      <c r="J99" s="7"/>
      <c r="K99" s="7"/>
      <c r="L99" s="7"/>
      <c r="M99" s="7"/>
      <c r="N99" s="7"/>
      <c r="O99" s="7"/>
      <c r="P99" s="7"/>
      <c r="Q99" s="7"/>
      <c r="R99" s="7"/>
      <c r="S99" s="7"/>
      <c r="T99" s="7"/>
      <c r="U99" s="7"/>
      <c r="V99" s="7"/>
      <c r="W99" s="7"/>
      <c r="X99" s="7"/>
      <c r="Y99" s="7"/>
    </row>
    <row r="100" spans="1:54" x14ac:dyDescent="0.25">
      <c r="A100" s="7"/>
      <c r="B100" s="7"/>
      <c r="C100" s="7"/>
      <c r="D100" s="7"/>
      <c r="E100" s="7"/>
      <c r="F100" s="7"/>
      <c r="G100" s="7"/>
      <c r="H100" s="7"/>
      <c r="I100" s="7"/>
      <c r="J100" s="7"/>
      <c r="K100" s="7"/>
      <c r="L100" s="7"/>
      <c r="M100" s="7"/>
      <c r="N100" s="7"/>
      <c r="O100" s="7"/>
      <c r="P100" s="7"/>
      <c r="Q100" s="7"/>
      <c r="R100" s="7"/>
      <c r="S100" s="7"/>
      <c r="T100" s="7"/>
      <c r="U100" s="7"/>
      <c r="V100" s="7"/>
      <c r="W100" s="7"/>
      <c r="X100" s="7"/>
      <c r="Y100" s="7"/>
    </row>
    <row r="101" spans="1:54" x14ac:dyDescent="0.25">
      <c r="A101" s="7"/>
      <c r="B101" s="7"/>
      <c r="C101" s="7"/>
      <c r="D101" s="7"/>
      <c r="E101" s="7"/>
      <c r="F101" s="7"/>
      <c r="G101" s="7"/>
      <c r="H101" s="7"/>
      <c r="I101" s="7"/>
      <c r="J101" s="7"/>
      <c r="K101" s="7"/>
      <c r="L101" s="7"/>
      <c r="M101" s="7"/>
      <c r="N101" s="7"/>
      <c r="O101" s="7"/>
      <c r="P101" s="7"/>
      <c r="Q101" s="7"/>
      <c r="R101" s="7"/>
      <c r="S101" s="7"/>
      <c r="T101" s="7"/>
      <c r="U101" s="7"/>
      <c r="V101" s="7"/>
      <c r="W101" s="7"/>
      <c r="X101" s="7"/>
      <c r="Y101" s="7"/>
    </row>
    <row r="102" spans="1:54" x14ac:dyDescent="0.25">
      <c r="A102" s="7"/>
      <c r="B102" s="7"/>
      <c r="C102" s="7"/>
      <c r="D102" s="7"/>
      <c r="E102" s="7"/>
      <c r="F102" s="7"/>
      <c r="G102" s="7"/>
      <c r="H102" s="7"/>
      <c r="I102" s="7"/>
      <c r="J102" s="7"/>
      <c r="K102" s="7"/>
      <c r="L102" s="7"/>
      <c r="M102" s="7"/>
      <c r="N102" s="7"/>
      <c r="O102" s="7"/>
      <c r="P102" s="7"/>
      <c r="Q102" s="7"/>
      <c r="R102" s="7"/>
      <c r="S102" s="7"/>
      <c r="T102" s="7"/>
      <c r="U102" s="7"/>
      <c r="V102" s="7"/>
      <c r="W102" s="7"/>
      <c r="X102" s="7"/>
      <c r="Y102" s="7"/>
    </row>
    <row r="103" spans="1:54" x14ac:dyDescent="0.25">
      <c r="A103" s="7"/>
      <c r="B103" s="7"/>
      <c r="C103" s="7"/>
      <c r="D103" s="7"/>
      <c r="E103" s="7"/>
      <c r="F103" s="7"/>
      <c r="G103" s="7"/>
      <c r="H103" s="7"/>
      <c r="I103" s="7"/>
      <c r="J103" s="7"/>
      <c r="K103" s="7"/>
      <c r="L103" s="7"/>
      <c r="M103" s="7"/>
      <c r="N103" s="7"/>
      <c r="O103" s="7"/>
      <c r="P103" s="7"/>
      <c r="Q103" s="7"/>
      <c r="R103" s="7"/>
      <c r="S103" s="7"/>
      <c r="T103" s="7"/>
      <c r="U103" s="7"/>
      <c r="V103" s="7"/>
      <c r="W103" s="7"/>
      <c r="X103" s="7"/>
      <c r="Y103" s="7"/>
    </row>
    <row r="104" spans="1:54" x14ac:dyDescent="0.25">
      <c r="A104" s="7"/>
      <c r="B104" s="7"/>
      <c r="C104" s="7"/>
      <c r="D104" s="7"/>
      <c r="E104" s="7"/>
      <c r="F104" s="7"/>
      <c r="G104" s="7"/>
      <c r="H104" s="7"/>
      <c r="I104" s="7"/>
      <c r="J104" s="7"/>
      <c r="K104" s="7"/>
      <c r="L104" s="7"/>
      <c r="M104" s="7"/>
      <c r="N104" s="7"/>
      <c r="O104" s="7"/>
      <c r="P104" s="7"/>
      <c r="Q104" s="7"/>
      <c r="R104" s="7"/>
      <c r="S104" s="7"/>
      <c r="T104" s="7"/>
      <c r="U104" s="7"/>
      <c r="V104" s="7"/>
      <c r="W104" s="7"/>
      <c r="X104" s="7"/>
      <c r="Y104" s="7"/>
    </row>
    <row r="105" spans="1:54" ht="15" thickBot="1"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row>
    <row r="106" spans="1:54" ht="15.6" thickTop="1" thickBot="1"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BB106" s="43">
        <f>IF(AV110=0,0,X26/POWER(2,(AV110-1)))</f>
        <v>0</v>
      </c>
    </row>
    <row r="107" spans="1:54" ht="15" thickTop="1" x14ac:dyDescent="0.25">
      <c r="A107" s="7"/>
      <c r="B107" s="7"/>
      <c r="C107" s="7"/>
      <c r="D107" s="7"/>
      <c r="E107" s="7"/>
      <c r="F107" s="7"/>
      <c r="G107" s="7"/>
      <c r="H107" s="7"/>
      <c r="I107" s="7"/>
      <c r="J107" s="7"/>
      <c r="K107" s="7"/>
      <c r="L107" s="7"/>
      <c r="M107" s="7"/>
      <c r="N107" s="7"/>
      <c r="O107" s="7"/>
      <c r="P107" s="7"/>
      <c r="Q107" s="7"/>
      <c r="R107" s="7"/>
      <c r="S107" s="7"/>
      <c r="T107" s="7"/>
      <c r="U107" s="7"/>
      <c r="V107" s="7"/>
      <c r="W107" s="7"/>
      <c r="X107" s="7"/>
      <c r="Y107" s="7"/>
    </row>
    <row r="108" spans="1:54" x14ac:dyDescent="0.25">
      <c r="A108" s="7"/>
      <c r="B108" s="7"/>
      <c r="C108" s="7"/>
      <c r="D108" s="7"/>
      <c r="E108" s="7"/>
      <c r="F108" s="7"/>
      <c r="G108" s="7"/>
      <c r="H108" s="7"/>
      <c r="I108" s="7"/>
      <c r="J108" s="7"/>
      <c r="K108" s="7"/>
      <c r="L108" s="7"/>
      <c r="M108" s="7"/>
      <c r="N108" s="7"/>
      <c r="O108" s="7"/>
      <c r="P108" s="7"/>
      <c r="Q108" s="7"/>
      <c r="R108" s="7"/>
      <c r="S108" s="7"/>
      <c r="T108" s="7"/>
      <c r="U108" s="7"/>
      <c r="V108" s="7"/>
      <c r="W108" s="7"/>
      <c r="X108" s="7"/>
      <c r="Y108" s="7"/>
    </row>
    <row r="109" spans="1:54" ht="15" thickBot="1"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row>
    <row r="110" spans="1:54" ht="15.6" thickTop="1" thickBot="1"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AV110" s="59">
        <v>0</v>
      </c>
    </row>
    <row r="111" spans="1:54" ht="15" thickTop="1" x14ac:dyDescent="0.25">
      <c r="A111" s="7"/>
      <c r="B111" s="7"/>
      <c r="C111" s="7"/>
      <c r="D111" s="7"/>
      <c r="E111" s="7"/>
      <c r="F111" s="7"/>
      <c r="G111" s="7"/>
      <c r="H111" s="7"/>
      <c r="I111" s="7"/>
      <c r="J111" s="7"/>
      <c r="K111" s="7"/>
      <c r="L111" s="7"/>
      <c r="M111" s="7"/>
      <c r="N111" s="7"/>
      <c r="O111" s="7"/>
      <c r="P111" s="7"/>
      <c r="Q111" s="7"/>
      <c r="R111" s="7"/>
      <c r="S111" s="7"/>
      <c r="T111" s="7"/>
      <c r="U111" s="7"/>
      <c r="V111" s="7"/>
      <c r="W111" s="7"/>
      <c r="X111" s="7"/>
      <c r="Y111" s="7"/>
    </row>
    <row r="112" spans="1:54" x14ac:dyDescent="0.25">
      <c r="A112" s="7"/>
      <c r="B112" s="7"/>
      <c r="C112" s="7"/>
      <c r="D112" s="7"/>
      <c r="E112" s="7"/>
      <c r="F112" s="7"/>
      <c r="G112" s="7"/>
      <c r="H112" s="7"/>
      <c r="I112" s="7"/>
      <c r="J112" s="7"/>
      <c r="K112" s="7"/>
      <c r="L112" s="7"/>
      <c r="M112" s="7"/>
      <c r="N112" s="7"/>
      <c r="O112" s="7"/>
      <c r="P112" s="7"/>
      <c r="Q112" s="7"/>
      <c r="R112" s="7"/>
      <c r="S112" s="7"/>
      <c r="T112" s="7"/>
      <c r="U112" s="7"/>
      <c r="V112" s="7"/>
      <c r="W112" s="7"/>
      <c r="X112" s="7"/>
      <c r="Y112" s="7"/>
    </row>
    <row r="113" spans="1:54" x14ac:dyDescent="0.25">
      <c r="A113" s="7"/>
      <c r="B113" s="7"/>
      <c r="C113" s="7"/>
      <c r="D113" s="7"/>
      <c r="E113" s="7"/>
      <c r="F113" s="7"/>
      <c r="G113" s="7"/>
      <c r="H113" s="7"/>
      <c r="I113" s="7"/>
      <c r="J113" s="7"/>
      <c r="K113" s="7"/>
      <c r="L113" s="7"/>
      <c r="M113" s="7"/>
      <c r="N113" s="7"/>
      <c r="O113" s="7"/>
      <c r="P113" s="7"/>
      <c r="Q113" s="7"/>
      <c r="R113" s="7"/>
      <c r="S113" s="7"/>
      <c r="T113" s="7"/>
      <c r="U113" s="7"/>
      <c r="V113" s="7"/>
      <c r="W113" s="7"/>
      <c r="X113" s="7"/>
      <c r="Y113" s="7"/>
    </row>
    <row r="114" spans="1:54" x14ac:dyDescent="0.25">
      <c r="A114" s="7"/>
      <c r="B114" s="7"/>
      <c r="C114" s="7"/>
      <c r="D114" s="7"/>
      <c r="E114" s="7"/>
      <c r="F114" s="7"/>
      <c r="G114" s="7"/>
      <c r="H114" s="7"/>
      <c r="I114" s="7"/>
      <c r="J114" s="7"/>
      <c r="K114" s="7"/>
      <c r="L114" s="7"/>
      <c r="M114" s="7"/>
      <c r="N114" s="7"/>
      <c r="O114" s="7"/>
      <c r="P114" s="7"/>
      <c r="Q114" s="7"/>
      <c r="R114" s="7"/>
      <c r="S114" s="7"/>
      <c r="T114" s="7"/>
      <c r="U114" s="7"/>
      <c r="V114" s="7"/>
      <c r="W114" s="7"/>
      <c r="X114" s="7"/>
      <c r="Y114" s="7"/>
    </row>
    <row r="115" spans="1:54" x14ac:dyDescent="0.25">
      <c r="A115" s="7"/>
      <c r="B115" s="7"/>
      <c r="C115" s="7"/>
      <c r="D115" s="7"/>
      <c r="E115" s="7"/>
      <c r="F115" s="7"/>
      <c r="G115" s="7"/>
      <c r="H115" s="7"/>
      <c r="I115" s="7"/>
      <c r="J115" s="7"/>
      <c r="K115" s="7"/>
      <c r="L115" s="7"/>
      <c r="M115" s="7"/>
      <c r="N115" s="7"/>
      <c r="O115" s="7"/>
      <c r="P115" s="7"/>
      <c r="Q115" s="7"/>
      <c r="R115" s="7"/>
      <c r="S115" s="7"/>
      <c r="T115" s="7"/>
      <c r="U115" s="7"/>
      <c r="V115" s="7"/>
      <c r="W115" s="7"/>
      <c r="X115" s="7"/>
      <c r="Y115" s="7"/>
    </row>
    <row r="116" spans="1:54" x14ac:dyDescent="0.25">
      <c r="A116" s="7"/>
      <c r="B116" s="7"/>
      <c r="C116" s="7"/>
      <c r="D116" s="7"/>
      <c r="E116" s="7"/>
      <c r="F116" s="7"/>
      <c r="G116" s="7"/>
      <c r="H116" s="7"/>
      <c r="I116" s="7"/>
      <c r="J116" s="7"/>
      <c r="K116" s="7"/>
      <c r="L116" s="7"/>
      <c r="M116" s="7"/>
      <c r="N116" s="7"/>
      <c r="O116" s="7"/>
      <c r="P116" s="7"/>
      <c r="Q116" s="7"/>
      <c r="R116" s="7"/>
      <c r="S116" s="7"/>
      <c r="T116" s="7"/>
      <c r="U116" s="7"/>
      <c r="V116" s="7"/>
      <c r="W116" s="7"/>
      <c r="X116" s="7"/>
      <c r="Y116" s="7"/>
    </row>
    <row r="117" spans="1:54" x14ac:dyDescent="0.25">
      <c r="A117" s="7"/>
      <c r="B117" s="7"/>
      <c r="C117" s="7"/>
      <c r="D117" s="7"/>
      <c r="E117" s="7"/>
      <c r="F117" s="7"/>
      <c r="G117" s="7"/>
      <c r="H117" s="7"/>
      <c r="I117" s="7"/>
      <c r="J117" s="7"/>
      <c r="K117" s="7"/>
      <c r="L117" s="7"/>
      <c r="M117" s="7"/>
      <c r="N117" s="7"/>
      <c r="O117" s="7"/>
      <c r="P117" s="7"/>
      <c r="Q117" s="7"/>
      <c r="R117" s="7"/>
      <c r="S117" s="7"/>
      <c r="T117" s="7"/>
      <c r="U117" s="7"/>
      <c r="V117" s="7"/>
      <c r="W117" s="7"/>
      <c r="X117" s="7"/>
      <c r="Y117" s="7"/>
    </row>
    <row r="118" spans="1:54" x14ac:dyDescent="0.25">
      <c r="A118" s="7"/>
      <c r="B118" s="7"/>
      <c r="C118" s="7"/>
      <c r="D118" s="7"/>
      <c r="E118" s="7"/>
      <c r="F118" s="7"/>
      <c r="G118" s="7"/>
      <c r="H118" s="7"/>
      <c r="I118" s="7"/>
      <c r="J118" s="7"/>
      <c r="K118" s="7"/>
      <c r="L118" s="7"/>
      <c r="M118" s="7"/>
      <c r="N118" s="7"/>
      <c r="O118" s="7"/>
      <c r="P118" s="7"/>
      <c r="Q118" s="7"/>
      <c r="R118" s="7"/>
      <c r="S118" s="7"/>
      <c r="T118" s="7"/>
      <c r="U118" s="7"/>
      <c r="V118" s="7"/>
      <c r="W118" s="7"/>
      <c r="X118" s="7"/>
      <c r="Y118" s="7"/>
    </row>
    <row r="119" spans="1:54" ht="15" thickBot="1" x14ac:dyDescent="0.3">
      <c r="A119" s="7"/>
      <c r="B119" s="7"/>
      <c r="C119" s="7"/>
      <c r="D119" s="7"/>
      <c r="E119" s="7"/>
      <c r="F119" s="7"/>
      <c r="G119" s="7"/>
      <c r="H119" s="7"/>
      <c r="I119" s="7"/>
      <c r="J119" s="7"/>
      <c r="K119" s="7"/>
      <c r="L119" s="7"/>
      <c r="M119" s="7"/>
      <c r="N119" s="7"/>
      <c r="O119" s="7"/>
      <c r="P119" s="7"/>
      <c r="Q119" s="7"/>
      <c r="R119" s="7"/>
      <c r="S119" s="7"/>
      <c r="T119" s="7"/>
      <c r="U119" s="7"/>
      <c r="V119" s="7"/>
      <c r="W119" s="7"/>
      <c r="X119" s="7"/>
      <c r="Y119" s="7"/>
    </row>
    <row r="120" spans="1:54" ht="15.6" thickTop="1" thickBot="1" x14ac:dyDescent="0.3">
      <c r="A120" s="7"/>
      <c r="B120" s="7"/>
      <c r="C120" s="7"/>
      <c r="D120" s="7"/>
      <c r="E120" s="7"/>
      <c r="F120" s="7"/>
      <c r="G120" s="7"/>
      <c r="H120" s="7"/>
      <c r="I120" s="7"/>
      <c r="J120" s="7"/>
      <c r="K120" s="7"/>
      <c r="L120" s="7"/>
      <c r="M120" s="7"/>
      <c r="N120" s="7"/>
      <c r="O120" s="7"/>
      <c r="P120" s="7"/>
      <c r="Q120" s="7"/>
      <c r="R120" s="7"/>
      <c r="S120" s="7"/>
      <c r="T120" s="7"/>
      <c r="U120" s="7"/>
      <c r="V120" s="7"/>
      <c r="W120" s="7"/>
      <c r="X120" s="7"/>
      <c r="Y120" s="7"/>
      <c r="BB120" s="43">
        <f>IF(AV123=0,0,N41/POWER(2,(AV123-1)))</f>
        <v>0</v>
      </c>
    </row>
    <row r="121" spans="1:54" ht="15" thickTop="1" x14ac:dyDescent="0.25">
      <c r="A121" s="7"/>
      <c r="B121" s="7"/>
      <c r="C121" s="7"/>
      <c r="D121" s="7"/>
      <c r="E121" s="7"/>
      <c r="F121" s="7"/>
      <c r="G121" s="7"/>
      <c r="H121" s="7"/>
      <c r="I121" s="7"/>
      <c r="J121" s="7"/>
      <c r="K121" s="7"/>
      <c r="L121" s="7"/>
      <c r="M121" s="7"/>
      <c r="N121" s="7"/>
      <c r="O121" s="7"/>
      <c r="P121" s="7"/>
      <c r="Q121" s="7"/>
      <c r="R121" s="7"/>
      <c r="S121" s="7"/>
      <c r="T121" s="7"/>
      <c r="U121" s="7"/>
      <c r="V121" s="7"/>
      <c r="W121" s="7"/>
      <c r="X121" s="7"/>
      <c r="Y121" s="7"/>
    </row>
    <row r="122" spans="1:54" ht="15" thickBot="1" x14ac:dyDescent="0.3">
      <c r="A122" s="7"/>
      <c r="B122" s="7"/>
      <c r="C122" s="7"/>
      <c r="D122" s="7"/>
      <c r="E122" s="7"/>
      <c r="F122" s="7"/>
      <c r="G122" s="7"/>
      <c r="H122" s="7"/>
      <c r="I122" s="7"/>
      <c r="J122" s="7"/>
      <c r="K122" s="7"/>
      <c r="L122" s="7"/>
      <c r="M122" s="7"/>
      <c r="N122" s="7"/>
      <c r="O122" s="7"/>
      <c r="P122" s="7"/>
      <c r="Q122" s="7"/>
      <c r="R122" s="7"/>
      <c r="S122" s="7"/>
      <c r="T122" s="7"/>
      <c r="U122" s="7"/>
      <c r="V122" s="7"/>
      <c r="W122" s="7"/>
      <c r="X122" s="7"/>
      <c r="Y122" s="7"/>
    </row>
    <row r="123" spans="1:54" ht="15.6" thickTop="1" thickBot="1" x14ac:dyDescent="0.3">
      <c r="AV123" s="59">
        <v>0</v>
      </c>
    </row>
    <row r="124" spans="1:54" ht="15" thickTop="1" x14ac:dyDescent="0.25"/>
    <row r="131" spans="48:54" ht="15" thickBot="1" x14ac:dyDescent="0.3"/>
    <row r="132" spans="48:54" ht="15.6" thickTop="1" thickBot="1" x14ac:dyDescent="0.3">
      <c r="BB132" s="43">
        <f>IF(AV136=0,0,N41/POWER(2,(AV136-1)))</f>
        <v>0</v>
      </c>
    </row>
    <row r="133" spans="48:54" ht="15" thickTop="1" x14ac:dyDescent="0.25"/>
    <row r="135" spans="48:54" ht="15" thickBot="1" x14ac:dyDescent="0.3"/>
    <row r="136" spans="48:54" ht="15.6" thickTop="1" thickBot="1" x14ac:dyDescent="0.3">
      <c r="AV136" s="59">
        <v>0</v>
      </c>
    </row>
    <row r="137" spans="48:54" ht="15" thickTop="1" x14ac:dyDescent="0.25"/>
    <row r="144" spans="48:54" ht="15" thickBot="1" x14ac:dyDescent="0.3"/>
    <row r="145" spans="42:67" ht="15.6" thickTop="1" thickBot="1" x14ac:dyDescent="0.3">
      <c r="AR145" s="37">
        <f>IF(AP149=0,AX31,IF(AP149=1,N41,IF(AP149=2,X26,IF(AP149=3,U11,IF(AP149=6,AI14,0)))))</f>
        <v>48</v>
      </c>
    </row>
    <row r="146" spans="42:67" ht="15.6" thickTop="1" thickBot="1" x14ac:dyDescent="0.3">
      <c r="BI146" s="37">
        <f>'QSPI Clocking'!$AH$46</f>
        <v>0</v>
      </c>
    </row>
    <row r="147" spans="42:67" ht="15.6" thickTop="1" thickBot="1" x14ac:dyDescent="0.3"/>
    <row r="148" spans="42:67" ht="15.6" thickTop="1" thickBot="1" x14ac:dyDescent="0.3">
      <c r="BI148" s="37">
        <f>'QSPI Clocking'!$Y$24</f>
        <v>0</v>
      </c>
    </row>
    <row r="149" spans="42:67" ht="15.6" thickTop="1" thickBot="1" x14ac:dyDescent="0.3">
      <c r="AP149" s="59">
        <v>3</v>
      </c>
    </row>
    <row r="150" spans="42:67" ht="15.6" thickTop="1" thickBot="1" x14ac:dyDescent="0.3">
      <c r="BI150" s="37">
        <f>'QSPI Clocking'!AM44</f>
        <v>0</v>
      </c>
    </row>
    <row r="151" spans="42:67" ht="15.6" thickTop="1" thickBot="1" x14ac:dyDescent="0.3"/>
    <row r="152" spans="42:67" ht="15.6" thickTop="1" thickBot="1" x14ac:dyDescent="0.3">
      <c r="BI152" s="37">
        <f>'QSPI Clocking'!AK34</f>
        <v>0</v>
      </c>
    </row>
    <row r="153" spans="42:67" ht="15" thickTop="1" x14ac:dyDescent="0.25"/>
    <row r="158" spans="42:67" ht="15" thickBot="1" x14ac:dyDescent="0.3"/>
    <row r="159" spans="42:67" ht="15.6" thickTop="1" thickBot="1" x14ac:dyDescent="0.3">
      <c r="BG159" s="37">
        <f>IF(BE165=0,AR145,IF(BE165=2,BB132,IF(BE165=4,BB106,IF(BE165=6,BB80,IF(BE165=8,BB55,IF(BE165=10,E58,IF(BE165=12,BH184,IF(BE165=14,AR174,IF(BE165=9,BB24,IF(BE165=5,BI146,IF(BE165=11,BI148,IF(BE165=13,BI150,IF(BE165=15,BI152,0)))))))))))))</f>
        <v>48</v>
      </c>
      <c r="BK159" s="37">
        <f>BG159/(BI163+1)</f>
        <v>48</v>
      </c>
      <c r="BO159" s="43">
        <f>IF(BM163=0,0,BK159)</f>
        <v>0</v>
      </c>
    </row>
    <row r="160" spans="42:67" ht="15" thickTop="1" x14ac:dyDescent="0.25"/>
    <row r="162" spans="17:65" ht="15" thickBot="1" x14ac:dyDescent="0.3"/>
    <row r="163" spans="17:65" ht="15.6" thickTop="1" thickBot="1" x14ac:dyDescent="0.3">
      <c r="BI163" s="59">
        <v>0</v>
      </c>
      <c r="BM163" s="59">
        <v>0</v>
      </c>
    </row>
    <row r="164" spans="17:65" ht="15.6" thickTop="1" thickBot="1" x14ac:dyDescent="0.3"/>
    <row r="165" spans="17:65" ht="15.6" thickTop="1" thickBot="1" x14ac:dyDescent="0.3">
      <c r="BE165" s="59">
        <v>0</v>
      </c>
    </row>
    <row r="166" spans="17:65" ht="15" thickTop="1" x14ac:dyDescent="0.25"/>
    <row r="173" spans="17:65" ht="15" thickBot="1" x14ac:dyDescent="0.3"/>
    <row r="174" spans="17:65" ht="15.6" thickTop="1" thickBot="1" x14ac:dyDescent="0.3">
      <c r="AR174" s="37">
        <f>IF(AP178=0,BB120,IF(AP178=1,S175,IF(AP178=2,C65,IF(AP178=3,BB68,0))))</f>
        <v>0</v>
      </c>
    </row>
    <row r="175" spans="17:65" ht="15.6" thickTop="1" thickBot="1" x14ac:dyDescent="0.3">
      <c r="Q175" s="59">
        <v>1</v>
      </c>
      <c r="S175" s="37">
        <f>IF(Q175=1,E58/4,0)</f>
        <v>3.2687500000000001E-2</v>
      </c>
    </row>
    <row r="176" spans="17:65" ht="15" thickTop="1" x14ac:dyDescent="0.25"/>
    <row r="177" spans="37:60" ht="15" thickBot="1" x14ac:dyDescent="0.3"/>
    <row r="178" spans="37:60" ht="15.6" thickTop="1" thickBot="1" x14ac:dyDescent="0.3">
      <c r="AP178" s="59">
        <v>0</v>
      </c>
    </row>
    <row r="179" spans="37:60" ht="15" thickTop="1" x14ac:dyDescent="0.25"/>
    <row r="183" spans="37:60" ht="15" thickBot="1" x14ac:dyDescent="0.3"/>
    <row r="184" spans="37:60" ht="15.6" thickTop="1" thickBot="1" x14ac:dyDescent="0.3">
      <c r="BH184" s="43">
        <f>IF(AY188=0,E58,IF(AY188=1,0,IF(AY188=2,S175,IF(AY188=3,AM186,0))))</f>
        <v>0.13075000000000001</v>
      </c>
    </row>
    <row r="185" spans="37:60" ht="15.6" thickTop="1" thickBot="1" x14ac:dyDescent="0.3"/>
    <row r="186" spans="37:60" ht="15.6" thickTop="1" thickBot="1" x14ac:dyDescent="0.3">
      <c r="AM186" s="37">
        <f>IF(AK189=1,S175/32,0)</f>
        <v>1.021484375E-3</v>
      </c>
    </row>
    <row r="187" spans="37:60" ht="15.6" thickTop="1" thickBot="1" x14ac:dyDescent="0.3"/>
    <row r="188" spans="37:60" ht="15.6" thickTop="1" thickBot="1" x14ac:dyDescent="0.3">
      <c r="AY188" s="59">
        <v>0</v>
      </c>
    </row>
    <row r="189" spans="37:60" ht="15.6" thickTop="1" thickBot="1" x14ac:dyDescent="0.3">
      <c r="AK189" s="59">
        <v>1</v>
      </c>
    </row>
    <row r="190" spans="37:60" ht="15" thickTop="1" x14ac:dyDescent="0.25"/>
    <row r="194" spans="47:55" x14ac:dyDescent="0.25">
      <c r="AW194" s="28"/>
    </row>
    <row r="195" spans="47:55" x14ac:dyDescent="0.25">
      <c r="AW195" s="28"/>
    </row>
    <row r="196" spans="47:55" ht="15" thickBot="1" x14ac:dyDescent="0.3"/>
    <row r="197" spans="47:55" ht="15.6" thickTop="1" thickBot="1" x14ac:dyDescent="0.3">
      <c r="AY197" s="43">
        <f>'Module Domains'!D185</f>
        <v>0</v>
      </c>
      <c r="BC197" s="35"/>
    </row>
    <row r="198" spans="47:55" ht="15" thickTop="1" x14ac:dyDescent="0.25">
      <c r="AW198" s="28"/>
    </row>
    <row r="200" spans="47:55" x14ac:dyDescent="0.25">
      <c r="AU200" s="28"/>
    </row>
    <row r="201" spans="47:55" x14ac:dyDescent="0.25">
      <c r="BA201" s="28"/>
    </row>
    <row r="202" spans="47:55" x14ac:dyDescent="0.25">
      <c r="AW202" s="28"/>
    </row>
    <row r="212" spans="53:53" x14ac:dyDescent="0.25">
      <c r="BA212" s="28"/>
    </row>
  </sheetData>
  <phoneticPr fontId="11" type="noConversion"/>
  <conditionalFormatting sqref="AI14">
    <cfRule type="expression" dxfId="63" priority="17">
      <formula>OR($AG$16="VLPR",$AG$16="VLPS")</formula>
    </cfRule>
  </conditionalFormatting>
  <conditionalFormatting sqref="BB16">
    <cfRule type="expression" dxfId="62" priority="4">
      <formula>$BB$16&lt;$BB$24</formula>
    </cfRule>
  </conditionalFormatting>
  <conditionalFormatting sqref="BB18">
    <cfRule type="expression" dxfId="61" priority="3">
      <formula>$BB$18&lt;$BB$24</formula>
    </cfRule>
  </conditionalFormatting>
  <dataValidations count="35">
    <dataValidation type="list" allowBlank="1" showInputMessage="1" showErrorMessage="1" sqref="N34">
      <formula1>$A$151:$A$278</formula1>
    </dataValidation>
    <dataValidation type="list" allowBlank="1" showInputMessage="1" showErrorMessage="1" sqref="K15">
      <formula1>"0,1,2,4,15"</formula1>
    </dataValidation>
    <dataValidation type="list" allowBlank="1" showInputMessage="1" showErrorMessage="1" sqref="O16 M57">
      <formula1>$A$151:$A$214</formula1>
    </dataValidation>
    <dataValidation type="list" showInputMessage="1" showErrorMessage="1" sqref="E14">
      <formula1>"1,3"</formula1>
    </dataValidation>
    <dataValidation type="list" showInputMessage="1" showErrorMessage="1" sqref="E22">
      <formula1>"0,1"</formula1>
    </dataValidation>
    <dataValidation type="list" allowBlank="1" showInputMessage="1" showErrorMessage="1" sqref="N22 M80 M66 F53">
      <formula1>$A$151:$A$166</formula1>
    </dataValidation>
    <dataValidation type="list" allowBlank="1" showInputMessage="1" showErrorMessage="1" sqref="N25 N28 N43 M54">
      <formula1>$A$151:$A$182</formula1>
    </dataValidation>
    <dataValidation type="list" allowBlank="1" showInputMessage="1" showErrorMessage="1" sqref="K28">
      <formula1>"0,1,2"</formula1>
    </dataValidation>
    <dataValidation type="list" allowBlank="1" showInputMessage="1" showErrorMessage="1" sqref="K37">
      <formula1>"0,1,2,4"</formula1>
    </dataValidation>
    <dataValidation type="list" allowBlank="1" showInputMessage="1" showErrorMessage="1" sqref="K46">
      <formula1>"1,2,5"</formula1>
    </dataValidation>
    <dataValidation type="list" allowBlank="1" showInputMessage="1" showErrorMessage="1" sqref="K69 K83">
      <formula1>"0,1,2,3,4,5"</formula1>
    </dataValidation>
    <dataValidation type="decimal" allowBlank="1" showInputMessage="1" showErrorMessage="1" sqref="B22">
      <formula1>8</formula1>
      <formula2>44</formula2>
    </dataValidation>
    <dataValidation type="list" allowBlank="1" showInputMessage="1" showErrorMessage="1" sqref="B10 B25 G14 BM163 G29 G44 K29 N29 BA201 BA212 AK189 Q175">
      <formula1>"0,1"</formula1>
    </dataValidation>
    <dataValidation type="list" allowBlank="1" showInputMessage="1" showErrorMessage="1" sqref="AY188 AP178">
      <formula1>"0,1,2,3"</formula1>
    </dataValidation>
    <dataValidation type="whole" allowBlank="1" showInputMessage="1" showErrorMessage="1" errorTitle="Invalid Core Divider" error="The core divide value can be any integer from 1 to 16. User inputs any integer from 0 to 15. Divide_Value = 1+User_Input." promptTitle="Core Divider" prompt="The core divide value can be any integer from 1 to 16. User inputs any integer from 0 to 15. Divide_Value = 1+User_Input." sqref="AS20">
      <formula1>0</formula1>
      <formula2>15</formula2>
    </dataValidation>
    <dataValidation type="whole" allowBlank="1" showInputMessage="1" showErrorMessage="1" errorTitle="Invalid Bus Divider" error="The bus divide value can be any integer from 1 to 16. User inputs any integer from 0 to 15. Divide_Value = 1+User_Input." promptTitle="Bus Divider" prompt="The bus divide value can be any integer from 1 to 16. User inputs any integer from 0 to 15. Divide_Value = 1+User_Input." sqref="AV27">
      <formula1>0</formula1>
      <formula2>15</formula2>
    </dataValidation>
    <dataValidation type="whole" allowBlank="1" showInputMessage="1" showErrorMessage="1" errorTitle="Invalid Flash Clock Divider" error="The flash clock divide value can be any integer from 1 to 8. User inputs any integer from 0 to 7. Divide_Value = 1+User_Input." promptTitle="Flash Clock Divider" prompt="The flash clock divide value can be any integer from 1 to 8. User inputs any integer from 0 to 7. Divide_Value = 1+User_Input." sqref="AV34">
      <formula1>0</formula1>
      <formula2>7</formula2>
    </dataValidation>
    <dataValidation type="list" allowBlank="1" showInputMessage="1" showErrorMessage="1" sqref="AV45 AV58 AV71 AV84 AV97 AV110 AV123 AV136 AW202">
      <formula1>"0,1,2,3,4,5,6,7"</formula1>
    </dataValidation>
    <dataValidation allowBlank="1" showInputMessage="1" showErrorMessage="1" promptTitle="CORE_CLK Limits" prompt="CORE_CLK supports up to 80 MHz in Run mode, 112 MHz in HSRUN, and 4 MHz in VLPR mode.  This clock is disabled in STOPx and VLPS modes. Must not be less than BUS_CLK." sqref="BB16"/>
    <dataValidation allowBlank="1" showInputMessage="1" showErrorMessage="1" promptTitle="SYS_CLK Limits" prompt="SYS_CLK supports up to 80 MHz in Run mode, 112 MHz in HSRUN, and 4 MHz in VLPR mode.  This clock is disabled in STOPx and VLPS modes. Must not be less than BUS_CLK." sqref="BB18"/>
    <dataValidation allowBlank="1" showInputMessage="1" showErrorMessage="1" promptTitle="BUS_CLK Limits" prompt="BUS_CLK supports up to 48 MHz in Run and STOP2 modes, 56 MHz in HSRUN, and 4 MHz in VLPR.  Not available in STOP1 and VLPS modes." sqref="BB24"/>
    <dataValidation type="list" allowBlank="1" showInputMessage="1" showErrorMessage="1" promptTitle="What is biasing?" prompt="For low power modes; has no effect in full power mode.  When set, enables biasing for slower core logic operation to achieve reduced power consumption. MUST be set to 1 when using SIRC in LP modes." sqref="Q29">
      <formula1>"0,1"</formula1>
    </dataValidation>
    <dataValidation type="list" allowBlank="1" showInputMessage="1" showErrorMessage="1" promptTitle="What is this?" prompt="This option disables FIRC, SIRC, and SPLL bias currents and reference voltages in VLPS to save more power. FIRC and SPLL always off in VLPS in S32K. SIRC must be turned off manually in VLPS for CLKBIASDIS to be used correctly, lest severe malfunction." sqref="S29">
      <formula1>IF(AND($G$29=1,$K$29=1),SIRC_Enabled,SIRC_Disabled)</formula1>
    </dataValidation>
    <dataValidation allowBlank="1" showInputMessage="1" showErrorMessage="1" promptTitle="FLASH_CLK Limits" prompt="FLASH_CLK supports up to 26.67 MHz in Run and STOP2 modes, 28 MHz in HSRUN and 1 MHz in VLPR. Off in STOP1 and VLPS. When in parallel boot operation, FLASH_CLK must be no more than 25 MHz." sqref="BB31"/>
    <dataValidation type="list" allowBlank="1" showInputMessage="1" showErrorMessage="1" promptTitle="S32K14x vs S32K11x" prompt="SPLL_CLK only supported in S32K14x." sqref="AP149">
      <formula1>IF(Selected_Device="S32K14x",SCG_CLKOUT_S32K14x,SCG_CLKOUT_S32K11x)</formula1>
    </dataValidation>
    <dataValidation type="whole" allowBlank="1" showInputMessage="1" showErrorMessage="1" errorTitle="Invalid CLKOUT Divide" error="CLKOUT signal can be divided by any integer from 1 to 8." promptTitle="CLKOUT Divide" prompt="CLKOUT signal can be divided by any integer from 1 to 8." sqref="BI163">
      <formula1>0</formula1>
      <formula2>7</formula2>
    </dataValidation>
    <dataValidation allowBlank="1" showInputMessage="1" showErrorMessage="1" promptTitle="What is this?" prompt="RTC_CLKIN is an external pin that you can use to drive a clock signal to be used as RTC_CLK" sqref="C65"/>
    <dataValidation allowBlank="1" showErrorMessage="1" promptTitle="RTC Power Mode Operation" prompt="RTC runs in asynchronous operation in STOP1 and is off in VLPS.  Full functionality in all other modes." sqref="AW198 AW195"/>
    <dataValidation type="list" allowBlank="1" showInputMessage="1" showErrorMessage="1" promptTitle="FIRC Range" prompt="FIRC has a range selection but S32K only supports trimming to 48 MHz. SCG_FIRCCFG[RANGE] must be set to 0." sqref="C14">
      <formula1>"0"</formula1>
    </dataValidation>
    <dataValidation type="list" allowBlank="1" showInputMessage="1" showErrorMessage="1" sqref="BE165">
      <formula1>IF(Selected_Device="S32K14x",CLKOUT_S32K14x,CLKOUT_S32K11x)</formula1>
    </dataValidation>
    <dataValidation type="list" allowBlank="1" showInputMessage="1" showErrorMessage="1" sqref="C29">
      <formula1>"1"</formula1>
    </dataValidation>
    <dataValidation allowBlank="1" showInputMessage="1" showErrorMessage="1" promptTitle="What is this?" prompt="This signal is only relevant to QSPI on S32K148. Must be 2 * SYS_CLK to work, i.e. DIVCORE must be 1 to work." sqref="BB11"/>
    <dataValidation allowBlank="1" showInputMessage="1" showErrorMessage="1" promptTitle="Note" prompt="Available in S32K148 only." sqref="BI146 BI148 BI150"/>
    <dataValidation allowBlank="1" showInputMessage="1" showErrorMessage="1" promptTitle="Note" prompt="Available on S32K148 only." sqref="BI152"/>
    <dataValidation allowBlank="1" showInputMessage="1" showErrorMessage="1" promptTitle="S32K14x vs S32K11x" prompt="S32K14x only." sqref="BB42 BB5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Button_Reset">
                <anchor moveWithCells="1" sizeWithCells="1">
                  <from>
                    <xdr:col>1</xdr:col>
                    <xdr:colOff>243840</xdr:colOff>
                    <xdr:row>1</xdr:row>
                    <xdr:rowOff>175260</xdr:rowOff>
                  </from>
                  <to>
                    <xdr:col>3</xdr:col>
                    <xdr:colOff>525780</xdr:colOff>
                    <xdr:row>3</xdr:row>
                    <xdr:rowOff>106680</xdr:rowOff>
                  </to>
                </anchor>
              </controlPr>
            </control>
          </mc:Choice>
        </mc:AlternateContent>
        <mc:AlternateContent xmlns:mc="http://schemas.openxmlformats.org/markup-compatibility/2006">
          <mc:Choice Requires="x14">
            <control shapeId="1037" r:id="rId5" name="Button 13">
              <controlPr defaultSize="0" print="0" autoFill="0" autoPict="0" macro="[0]!Button_Max">
                <anchor moveWithCells="1" sizeWithCells="1">
                  <from>
                    <xdr:col>1</xdr:col>
                    <xdr:colOff>243840</xdr:colOff>
                    <xdr:row>4</xdr:row>
                    <xdr:rowOff>175260</xdr:rowOff>
                  </from>
                  <to>
                    <xdr:col>3</xdr:col>
                    <xdr:colOff>518160</xdr:colOff>
                    <xdr:row>7</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6EFD1813-D495-4FD3-97B9-C85B95FC1254}">
            <xm:f>'Device Select'!$G$17="S32K11x"</xm:f>
            <x14:dxf>
              <fill>
                <patternFill patternType="none">
                  <bgColor auto="1"/>
                </patternFill>
              </fill>
            </x14:dxf>
          </x14:cfRule>
          <xm:sqref>AI14</xm:sqref>
        </x14:conditionalFormatting>
        <x14:conditionalFormatting xmlns:xm="http://schemas.microsoft.com/office/excel/2006/main">
          <x14:cfRule type="expression" priority="35" id="{1A0063B0-DD07-482F-AD29-97101421390E}">
            <xm:f>$S$10&gt;Limits!$B$15</xm:f>
            <x14:dxf>
              <fill>
                <patternFill>
                  <bgColor rgb="FFFF0000"/>
                </patternFill>
              </fill>
            </x14:dxf>
          </x14:cfRule>
          <xm:sqref>S10</xm:sqref>
        </x14:conditionalFormatting>
        <x14:conditionalFormatting xmlns:xm="http://schemas.microsoft.com/office/excel/2006/main">
          <x14:cfRule type="expression" priority="33" id="{C16DC63E-E42D-4CAC-B481-A23EF810A9E0}">
            <xm:f>$P$21 &gt; Limits!$B$17</xm:f>
            <x14:dxf>
              <fill>
                <patternFill>
                  <bgColor rgb="FFFF0000"/>
                </patternFill>
              </fill>
            </x14:dxf>
          </x14:cfRule>
          <xm:sqref>P21</xm:sqref>
        </x14:conditionalFormatting>
        <x14:conditionalFormatting xmlns:xm="http://schemas.microsoft.com/office/excel/2006/main">
          <x14:cfRule type="expression" priority="32" id="{A13D8320-3819-43F1-AA0F-37B8EA5E9A6A}">
            <xm:f>$S$12 &gt; Limits!$B$18</xm:f>
            <x14:dxf>
              <fill>
                <patternFill>
                  <bgColor rgb="FFFF0000"/>
                </patternFill>
              </fill>
            </x14:dxf>
          </x14:cfRule>
          <xm:sqref>S12</xm:sqref>
        </x14:conditionalFormatting>
        <x14:conditionalFormatting xmlns:xm="http://schemas.microsoft.com/office/excel/2006/main">
          <x14:cfRule type="expression" priority="30" id="{898CF90B-A7FE-49CC-AACE-9D800DF1E072}">
            <xm:f>$P$27 &gt; Limits!$B$27</xm:f>
            <x14:dxf>
              <fill>
                <patternFill>
                  <bgColor rgb="FFFF0000"/>
                </patternFill>
              </fill>
            </x14:dxf>
          </x14:cfRule>
          <xm:sqref>P27</xm:sqref>
        </x14:conditionalFormatting>
        <x14:conditionalFormatting xmlns:xm="http://schemas.microsoft.com/office/excel/2006/main">
          <x14:cfRule type="expression" priority="47" id="{AB1B5763-4E5C-4A38-84B0-4AAF10F52CBE}">
            <xm:f>$P$24 &gt; Limits!#REF!</xm:f>
            <x14:dxf>
              <fill>
                <patternFill>
                  <bgColor rgb="FFFF0000"/>
                </patternFill>
              </fill>
            </x14:dxf>
          </x14:cfRule>
          <xm:sqref>P24</xm:sqref>
        </x14:conditionalFormatting>
        <x14:conditionalFormatting xmlns:xm="http://schemas.microsoft.com/office/excel/2006/main">
          <x14:cfRule type="expression" priority="48" id="{351274EC-E6D3-4AA7-8D02-7CAD6675210C}">
            <xm:f>$P$43 &gt; Limits!#REF!</xm:f>
            <x14:dxf>
              <fill>
                <patternFill>
                  <bgColor rgb="FFFF0000"/>
                </patternFill>
              </fill>
            </x14:dxf>
          </x14:cfRule>
          <xm:sqref>P42</xm:sqref>
        </x14:conditionalFormatting>
        <x14:conditionalFormatting xmlns:xm="http://schemas.microsoft.com/office/excel/2006/main">
          <x14:cfRule type="expression" priority="49" id="{7264D7C0-C883-416F-AE03-34D1115949B9}">
            <xm:f>$P$52 &gt; Limits!#REF!</xm:f>
            <x14:dxf>
              <fill>
                <patternFill>
                  <bgColor rgb="FFFF0000"/>
                </patternFill>
              </fill>
            </x14:dxf>
          </x14:cfRule>
          <xm:sqref>P52</xm:sqref>
        </x14:conditionalFormatting>
        <x14:conditionalFormatting xmlns:xm="http://schemas.microsoft.com/office/excel/2006/main">
          <x14:cfRule type="expression" priority="50" id="{C0F7B5B2-FB90-48CA-9CD1-810DCDD127BA}">
            <xm:f>$P$56 &gt; Limits!#REF!</xm:f>
            <x14:dxf>
              <fill>
                <patternFill>
                  <bgColor rgb="FFFF0000"/>
                </patternFill>
              </fill>
            </x14:dxf>
          </x14:cfRule>
          <xm:sqref>P56</xm:sqref>
        </x14:conditionalFormatting>
        <x14:conditionalFormatting xmlns:xm="http://schemas.microsoft.com/office/excel/2006/main">
          <x14:cfRule type="expression" priority="51" id="{9E3CEC5A-36FC-4F8F-B49B-07C1ABD7826A}">
            <xm:f>$B$52 &gt; Limits!#REF!</xm:f>
            <x14:dxf>
              <fill>
                <patternFill>
                  <bgColor rgb="FFFF0000"/>
                </patternFill>
              </fill>
            </x14:dxf>
          </x14:cfRule>
          <xm:sqref>B52</xm:sqref>
        </x14:conditionalFormatting>
        <x14:conditionalFormatting xmlns:xm="http://schemas.microsoft.com/office/excel/2006/main">
          <x14:cfRule type="expression" priority="52" id="{3F0BC7F6-921B-4094-B2E4-7364AB076F7B}">
            <xm:f>$P$65 &gt; Limits!#REF!</xm:f>
            <x14:dxf>
              <fill>
                <patternFill>
                  <bgColor rgb="FFFF0000"/>
                </patternFill>
              </fill>
            </x14:dxf>
          </x14:cfRule>
          <xm:sqref>P65</xm:sqref>
        </x14:conditionalFormatting>
        <x14:conditionalFormatting xmlns:xm="http://schemas.microsoft.com/office/excel/2006/main">
          <x14:cfRule type="expression" priority="53" id="{8C1D1472-2F1E-4457-8E1E-28F4920D58D6}">
            <xm:f>$P$79 &gt; Limits!#REF!</xm:f>
            <x14:dxf>
              <fill>
                <patternFill>
                  <bgColor rgb="FFFF0000"/>
                </patternFill>
              </fill>
            </x14:dxf>
          </x14:cfRule>
          <xm:sqref>P79</xm:sqref>
        </x14:conditionalFormatting>
        <x14:conditionalFormatting xmlns:xm="http://schemas.microsoft.com/office/excel/2006/main">
          <x14:cfRule type="expression" priority="18" id="{A893FB36-3AA3-4DF9-8A8A-33DC373F51B9}">
            <xm:f>SPLL!$D$21=0</xm:f>
            <x14:dxf>
              <fill>
                <patternFill patternType="none">
                  <bgColor auto="1"/>
                </patternFill>
              </fill>
            </x14:dxf>
          </x14:cfRule>
          <x14:cfRule type="expression" priority="19" id="{83D013C8-529B-4201-9B4C-C9C8C8B87191}">
            <xm:f>OR($AI$14&lt;Limits!$B$7,$AI$14&gt;Limits!$B$8)</xm:f>
            <x14:dxf>
              <fill>
                <patternFill>
                  <bgColor rgb="FFFF0000"/>
                </patternFill>
              </fill>
            </x14:dxf>
          </x14:cfRule>
          <xm:sqref>AI14</xm:sqref>
        </x14:conditionalFormatting>
        <x14:conditionalFormatting xmlns:xm="http://schemas.microsoft.com/office/excel/2006/main">
          <x14:cfRule type="expression" priority="328" id="{002C178A-6C1E-42A5-A3C7-34DC0E411B39}">
            <xm:f>OR(AND($AW$20="Run",$BB$16&gt;Limits!$B$15),AND($AW$20="HSRUN",$BB$16&gt;Limits!$B$31),AND($AW$20="VLPR",$BB$16&gt;Limits!$B$47),AND($AW$20="STOP1",$BB$16&gt;Limits!$B$64),AND($AW$20="STOP2",$BB$16&gt;Limits!$B$80),AND($AW$20="VLPS",$BB$16&gt;Limits!$B$96))</xm:f>
            <x14:dxf>
              <fill>
                <patternFill>
                  <bgColor rgb="FFFF0000"/>
                </patternFill>
              </fill>
            </x14:dxf>
          </x14:cfRule>
          <xm:sqref>BB16</xm:sqref>
        </x14:conditionalFormatting>
        <x14:conditionalFormatting xmlns:xm="http://schemas.microsoft.com/office/excel/2006/main">
          <x14:cfRule type="expression" priority="329" id="{73336426-464E-4DD8-B518-08066CA8C343}">
            <xm:f>OR(AND($AW$20="Run",$BB$18&gt;Limits!$B$16),AND($AW$20="HSRUN",$BB$18&gt;Limits!$B$32),AND($AW$20="VLPR",$BB$18&gt;Limits!$B$32),AND($AW$20="STOP1",$BB$18&gt;Limits!$B$48),AND($AW$20="STOP2",$BB$18&gt;Limits!$B$81),AND($AW$20="VLPS",$BB$18&gt;Limits!$B$97))</xm:f>
            <x14:dxf>
              <fill>
                <patternFill>
                  <bgColor rgb="FFFF0000"/>
                </patternFill>
              </fill>
            </x14:dxf>
          </x14:cfRule>
          <xm:sqref>BB18</xm:sqref>
        </x14:conditionalFormatting>
        <x14:conditionalFormatting xmlns:xm="http://schemas.microsoft.com/office/excel/2006/main">
          <x14:cfRule type="expression" priority="330" id="{2150C48F-CFEA-44D1-9C9D-116351FBE433}">
            <xm:f>OR(AND($AZ$27="Run",$BB$24&gt;Limits!$B$17),AND($AZ$27="HSRUN",$BB$24&gt;Limits!$B$33),AND($AZ$27="VLPR",$BB$24&gt;Limits!$B$49),AND($AZ$27="STOP1",$BB$24&gt;Limits!$B$66),AND($AZ$27="STOP2",$BB$24&gt;Limits!$B$82),AND($AZ$27="VLPS",$BB$24&gt;Limits!$B$98))</xm:f>
            <x14:dxf>
              <fill>
                <patternFill>
                  <bgColor rgb="FFFF0000"/>
                </patternFill>
              </fill>
            </x14:dxf>
          </x14:cfRule>
          <xm:sqref>BB24</xm:sqref>
        </x14:conditionalFormatting>
        <x14:conditionalFormatting xmlns:xm="http://schemas.microsoft.com/office/excel/2006/main">
          <x14:cfRule type="expression" priority="331" id="{FAAEC6E9-D039-43FB-B033-E4F82B84A5BD}">
            <xm:f>OR(AND($AZ$34="Run",$BB$31&gt;Limits!$B$18),AND($AZ$34="HSRUN",$BB$31&gt;Limits!$B$34),AND($AZ$34="VLPR",$BB$31&gt;Limits!$B$50),AND($AZ$34="STOP1",$BB$31&gt;Limits!$B$67),AND($AZ$34="STOP2",$BB$31&gt;Limits!$B$83),AND($AZ$34="VLPS",$BB$31&gt;Limits!$B$99))</xm:f>
            <x14:dxf>
              <fill>
                <patternFill>
                  <bgColor rgb="FFFF0000"/>
                </patternFill>
              </fill>
            </x14:dxf>
          </x14:cfRule>
          <xm:sqref>BB31</xm:sqref>
        </x14:conditionalFormatting>
        <x14:conditionalFormatting xmlns:xm="http://schemas.microsoft.com/office/excel/2006/main">
          <x14:cfRule type="expression" priority="332" id="{FFA9CA69-2D3F-467D-AC13-CB3E16A678BE}">
            <xm:f>OR(AND('Power Mode Control'!$M$25="Run",$BB$42&gt;Limits!$B$19),AND('Power Mode Control'!$M$25="HSRUN",$BB$42&gt;Limits!$B$35),AND('Power Mode Control'!$M$25="VLPR",$BB$42&gt;Limits!$B$51),AND('Power Mode Control'!$M$25="STOP1",$BB$42&gt;Limits!$B$68),AND('Power Mode Control'!$M$25="STOP2",$BB$42&gt;Limits!$B$84),AND('Power Mode Control'!$M$25="VLPS",$BB$42&gt;Limits!$B$100))</xm:f>
            <x14:dxf>
              <fill>
                <patternFill>
                  <bgColor rgb="FFFF0000"/>
                </patternFill>
              </fill>
            </x14:dxf>
          </x14:cfRule>
          <xm:sqref>BB42</xm:sqref>
        </x14:conditionalFormatting>
        <x14:conditionalFormatting xmlns:xm="http://schemas.microsoft.com/office/excel/2006/main">
          <x14:cfRule type="expression" priority="333" id="{72524B32-BEA2-4718-828F-346BC9CB595D}">
            <xm:f>OR(AND('Power Mode Control'!$M$25="Run",$BB$55&gt;Limits!$B$20),AND('Power Mode Control'!$M$25="HSRUN",$BB$55&gt;Limits!$B$36),AND('Power Mode Control'!$M$25="VLPR",$BB$55&gt;Limits!$B$52),AND('Power Mode Control'!$M$25="STOP1",$BB$55&gt;Limits!$B$69),AND('Power Mode Control'!$M$25="STOP2",$BB$55&gt;Limits!$B$85),AND('Power Mode Control'!$M$25="VLPS",$BB$55&gt;Limits!$B$101))</xm:f>
            <x14:dxf>
              <fill>
                <patternFill>
                  <bgColor rgb="FFFF0000"/>
                </patternFill>
              </fill>
            </x14:dxf>
          </x14:cfRule>
          <xm:sqref>BB55</xm:sqref>
        </x14:conditionalFormatting>
        <x14:conditionalFormatting xmlns:xm="http://schemas.microsoft.com/office/excel/2006/main">
          <x14:cfRule type="expression" priority="334" id="{A2AA5365-A499-44E8-A6FD-B0358CDF3C14}">
            <xm:f>OR(AND('Power Mode Control'!$M$25="Run",$BB$68&gt;Limits!$B$21),AND('Power Mode Control'!$M$25="HSRUN",$BB$68&gt;Limits!$B$37),AND('Power Mode Control'!$M$25="VLPR",$BB$68&gt;Limits!$B$53),AND('Power Mode Control'!$M$25="STOP1",$BB$68&gt;Limits!$B$70),AND('Power Mode Control'!M25="STOP2",BB68&gt;Limits!B86),AND('Power Mode Control'!M25="VLPS",BB68&gt;Limits!B102))</xm:f>
            <x14:dxf>
              <fill>
                <patternFill>
                  <bgColor rgb="FFFF0000"/>
                </patternFill>
              </fill>
            </x14:dxf>
          </x14:cfRule>
          <xm:sqref>BB68</xm:sqref>
        </x14:conditionalFormatting>
        <x14:conditionalFormatting xmlns:xm="http://schemas.microsoft.com/office/excel/2006/main">
          <x14:cfRule type="expression" priority="335" id="{4CE66AB1-C797-4E57-A931-260AE56D7F88}">
            <xm:f>OR(AND('Power Mode Control'!$M$25="Run",$BB$80&gt;Limits!$B$22),AND('Power Mode Control'!$M$25="HSRUN",$BB$80&gt;Limits!$B$38),AND('Power Mode Control'!$M$25="VLPR",$BB$80&gt;Limits!$B$54),AND('Power Mode Control'!$M$25="STOP1",$BB$80&gt;Limits!$B$71),AND('Power Mode Control'!M25="STOP2",BB80&gt;Limits!B87),AND('Power Mode Control'!M25="VLPS",BB80&gt;Limits!B103))</xm:f>
            <x14:dxf>
              <fill>
                <patternFill>
                  <bgColor rgb="FFFF0000"/>
                </patternFill>
              </fill>
            </x14:dxf>
          </x14:cfRule>
          <xm:sqref>BB80</xm:sqref>
        </x14:conditionalFormatting>
        <x14:conditionalFormatting xmlns:xm="http://schemas.microsoft.com/office/excel/2006/main">
          <x14:cfRule type="expression" priority="336" id="{367CC9BC-9DB8-42B3-8115-82DF6ECB0658}">
            <xm:f>OR(AND('Power Mode Control'!$M$25="Run",$BB$94&gt;Limits!$B$23),AND('Power Mode Control'!$M$25="HSRUN",$BB$94&gt;Limits!$B$39),AND('Power Mode Control'!$M$25="VLPR",$BB$94&gt;Limits!$B$55),AND('Power Mode Control'!$M$25="STOP1",$BB$94&gt;Limits!$B$72),AND('Power Mode Control'!M25="STOP2",BB94&gt;Limits!B88),AND('Power Mode Control'!M25="VLPS",BB94&gt;Limits!B104))</xm:f>
            <x14:dxf>
              <fill>
                <patternFill>
                  <bgColor rgb="FFFF0000"/>
                </patternFill>
              </fill>
            </x14:dxf>
          </x14:cfRule>
          <xm:sqref>BB94</xm:sqref>
        </x14:conditionalFormatting>
        <x14:conditionalFormatting xmlns:xm="http://schemas.microsoft.com/office/excel/2006/main">
          <x14:cfRule type="expression" priority="337" id="{4ACA2703-B483-4222-AA0E-EB31E8A07E9D}">
            <xm:f>OR(AND('Power Mode Control'!$M$25="Run",$BB$106&gt;Limits!$B$24),AND('Power Mode Control'!$M$25="HSRUN",$BB$106&gt;Limits!$B$40),AND('Power Mode Control'!$M$25="VLPR",$BB$106&gt;Limits!$B$56),AND('Power Mode Control'!$M$25="STOP1",$BB$106&gt;Limits!$B$73),AND('Power Mode Control'!M25="STOP2",BB106&gt;Limits!B89),AND('Power Mode Control'!M25="VLPS",BB106&gt;Limits!B105))</xm:f>
            <x14:dxf>
              <fill>
                <patternFill>
                  <bgColor rgb="FFFF0000"/>
                </patternFill>
              </fill>
            </x14:dxf>
          </x14:cfRule>
          <xm:sqref>BB106</xm:sqref>
        </x14:conditionalFormatting>
        <x14:conditionalFormatting xmlns:xm="http://schemas.microsoft.com/office/excel/2006/main">
          <x14:cfRule type="expression" priority="338" id="{C182EEBA-7419-40F3-9D3A-52DA8F83DEAD}">
            <xm:f>OR(AND('Power Mode Control'!$M$25="Run",$BB$120&gt;Limits!$B$25),AND('Power Mode Control'!$M$25="HSRUN",$BB$120&gt;Limits!$B$41),AND('Power Mode Control'!$M$25="VLPR",$BB$120&gt;Limits!$B$57),AND('Power Mode Control'!$M$25="STOP1",$BB$120&gt;Limits!$B$74),AND('Power Mode Control'!M25="STOP2",BB120&gt;Limits!B90),AND('Power Mode Control'!M25="VLPS",BB120&gt;Limits!B106))</xm:f>
            <x14:dxf>
              <fill>
                <patternFill>
                  <bgColor rgb="FFFF0000"/>
                </patternFill>
              </fill>
            </x14:dxf>
          </x14:cfRule>
          <xm:sqref>BB120</xm:sqref>
        </x14:conditionalFormatting>
        <x14:conditionalFormatting xmlns:xm="http://schemas.microsoft.com/office/excel/2006/main">
          <x14:cfRule type="expression" priority="339" id="{09DD4E33-652D-4094-9209-7D739D4F8FBD}">
            <xm:f>OR(AND('Power Mode Control'!$M$25="Run",$BB$132&gt;Limits!$B$26),AND('Power Mode Control'!$M$25="HSRUN",$BB$132&gt;Limits!$B$42),AND('Power Mode Control'!$M$25="VLPR",$BB$132&gt;Limits!$B$58),AND('Power Mode Control'!$M$25="STOP1",$BB$132&gt;Limits!$B$75),AND('Power Mode Control'!M25="STOP2",BB132&gt;Limits!B91),AND('Power Mode Control'!M25="VLPS",BB132&gt;Limits!B107))</xm:f>
            <x14:dxf>
              <fill>
                <patternFill>
                  <bgColor rgb="FFFF0000"/>
                </patternFill>
              </fill>
            </x14:dxf>
          </x14:cfRule>
          <xm:sqref>BB132</xm:sqref>
        </x14:conditionalFormatting>
        <x14:conditionalFormatting xmlns:xm="http://schemas.microsoft.com/office/excel/2006/main">
          <x14:cfRule type="expression" priority="2" id="{86C7864A-1B35-43CA-886F-FC2A707EE77F}">
            <xm:f>AND($R$15="HSRUN",'Device Select'!$G$17="S32K11x")</xm:f>
            <x14:dxf>
              <fill>
                <patternFill patternType="lightDown">
                  <bgColor rgb="FFFF0000"/>
                </patternFill>
              </fill>
            </x14:dxf>
          </x14:cfRule>
          <xm:sqref>R15 V29 L44 AG16 AZ27 AZ34 AW20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promptTitle="What is this?" prompt="This selects the source of the system clock.  In low power modes (VLPR/VLPS), only SIRC_CLK is selectable. SPLL_CLK available only in S32K14x.">
          <x14:formula1>
            <xm:f>IF(OR($AG$16="VLPR",$AG$16="VLPS"),LP_Mode,IF('Device Select'!$G$17="S32K14x",RUN_HSRUN,Run_S32K11x))</xm:f>
          </x14:formula1>
          <xm:sqref>AL24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G16:G18"/>
  <sheetViews>
    <sheetView workbookViewId="0">
      <selection activeCell="G17" sqref="G17"/>
    </sheetView>
  </sheetViews>
  <sheetFormatPr defaultRowHeight="14.4" x14ac:dyDescent="0.25"/>
  <sheetData>
    <row r="16" ht="15" thickBot="1" x14ac:dyDescent="0.3"/>
    <row r="17" spans="7:7" ht="15.6" thickTop="1" thickBot="1" x14ac:dyDescent="0.3">
      <c r="G17" s="59" t="s">
        <v>3170</v>
      </c>
    </row>
    <row r="18" spans="7:7" ht="15" thickTop="1" x14ac:dyDescent="0.25"/>
  </sheetData>
  <phoneticPr fontId="11" type="noConversion"/>
  <dataValidations count="1">
    <dataValidation type="list" allowBlank="1" showInputMessage="1" showErrorMessage="1" sqref="G17">
      <formula1>"S32K14x,S32K11x"</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8:U45"/>
  <sheetViews>
    <sheetView topLeftCell="B4" zoomScale="145" zoomScaleNormal="145" workbookViewId="0">
      <selection activeCell="I59" sqref="I59"/>
    </sheetView>
  </sheetViews>
  <sheetFormatPr defaultRowHeight="14.4" x14ac:dyDescent="0.25"/>
  <sheetData>
    <row r="8" spans="3:6" x14ac:dyDescent="0.25">
      <c r="C8" s="28"/>
    </row>
    <row r="12" spans="3:6" ht="15" thickBot="1" x14ac:dyDescent="0.3"/>
    <row r="13" spans="3:6" ht="15.6" thickTop="1" thickBot="1" x14ac:dyDescent="0.3">
      <c r="D13" s="58">
        <v>8</v>
      </c>
      <c r="F13" s="28"/>
    </row>
    <row r="14" spans="3:6" ht="15" thickTop="1" x14ac:dyDescent="0.25"/>
    <row r="22" spans="4:21" ht="15" thickBot="1" x14ac:dyDescent="0.3"/>
    <row r="23" spans="4:21" ht="15.6" thickTop="1" thickBot="1" x14ac:dyDescent="0.3">
      <c r="U23" s="43">
        <f>IF(R26=1,O24,D13)</f>
        <v>8</v>
      </c>
    </row>
    <row r="24" spans="4:21" ht="15.6" thickTop="1" thickBot="1" x14ac:dyDescent="0.3">
      <c r="O24" s="37">
        <f>IF(M26=1,J26,0)</f>
        <v>0</v>
      </c>
    </row>
    <row r="25" spans="4:21" ht="15.6" thickTop="1" thickBot="1" x14ac:dyDescent="0.3"/>
    <row r="26" spans="4:21" ht="15.6" thickTop="1" thickBot="1" x14ac:dyDescent="0.3">
      <c r="D26" s="59">
        <v>1</v>
      </c>
      <c r="J26" s="59">
        <v>8</v>
      </c>
      <c r="M26" s="59">
        <v>0</v>
      </c>
      <c r="R26" s="59">
        <v>0</v>
      </c>
    </row>
    <row r="27" spans="4:21" ht="15" thickTop="1" x14ac:dyDescent="0.25"/>
    <row r="40" spans="6:16" ht="15" thickBot="1" x14ac:dyDescent="0.3"/>
    <row r="41" spans="6:16" ht="15.6" thickTop="1" thickBot="1" x14ac:dyDescent="0.3">
      <c r="F41" s="37">
        <v>0.128</v>
      </c>
      <c r="J41" s="37">
        <f>IF(H44&gt;0,F41-0.001*H44,F41-0.0006875*H44)</f>
        <v>0.13075000000000001</v>
      </c>
      <c r="P41" s="43">
        <f>IF(L44=0,J41,0)</f>
        <v>0.13075000000000001</v>
      </c>
    </row>
    <row r="42" spans="6:16" ht="15" thickTop="1" x14ac:dyDescent="0.25"/>
    <row r="43" spans="6:16" ht="15" thickBot="1" x14ac:dyDescent="0.3"/>
    <row r="44" spans="6:16" ht="15.6" thickTop="1" thickBot="1" x14ac:dyDescent="0.3">
      <c r="H44" s="59">
        <v>-4</v>
      </c>
      <c r="L44" s="59">
        <v>0</v>
      </c>
    </row>
    <row r="45" spans="6:16" ht="15" thickTop="1" x14ac:dyDescent="0.25"/>
  </sheetData>
  <phoneticPr fontId="11" type="noConversion"/>
  <dataValidations count="7">
    <dataValidation type="custom" allowBlank="1" showInputMessage="1" showErrorMessage="1" errorTitle="Invalid SOSC Frequency" error="When &quot;SOSC RANGE&quot; block is 2, enter frequency between 4 and 8 MHz. When &quot;SOSC RANGE&quot; block is 3, enter between 8 and 40 MHz." promptTitle="Valid SOSC Values" prompt="When &quot;SOSC RANGE&quot; block is 2, enter frequency between 4 and 8 MHz. When &quot;SOSC RANGE&quot; block is 3, enter between 8 and 40 MHz." sqref="J26">
      <formula1>IF(D26=2,NOT(OR(J26&lt;4,J26&gt;8)),IF(D26=3,NOT(OR(J26&lt;8,J26&gt;40)),0))</formula1>
    </dataValidation>
    <dataValidation type="decimal" operator="lessThanOrEqual" allowBlank="1" showInputMessage="1" showErrorMessage="1" errorTitle="Invalid EXTAL Frequency" error="You can drive into the EXTAL pin a frequency up to 50 MHz." promptTitle="EXTAL Range" prompt="You can drive into the EXTAL pin a frequency up to 50 MHz." sqref="D13">
      <formula1>50</formula1>
    </dataValidation>
    <dataValidation type="list" allowBlank="1" showInputMessage="1" showErrorMessage="1" promptTitle="External Reference Select" prompt="This mux selects between the system oscillator (XTAL) and the EXTAL pin.  When EXTAL is selected, S32K uses whatever signal that is driven into the EXTAL pin. When XTAL is selected, S32K uses the (typically) on-board external oscillator." sqref="R26">
      <formula1>"0,1"</formula1>
    </dataValidation>
    <dataValidation type="list" allowBlank="1" showInputMessage="1" showErrorMessage="1" sqref="M26 L44">
      <formula1>"0,1"</formula1>
    </dataValidation>
    <dataValidation type="whole" allowBlank="1" showInputMessage="1" showErrorMessage="1" errorTitle="Invalid LPO Trim value" error="LPO can be trimmed between 113 kHz and 139 kHz. Trim value is between -16 and +15. Trim value of 0 represents 128 kHz, -16 means 139 kHz (lowest period), and +15 means 113 kHz (highest period). Step sizes are linear." promptTitle="What is this?" prompt="LPO can be trimmed between 113 kHz and 139 kHz. Trim value is between -16 and +15. Trim value of 0 represents 128 kHz, -16 means 139 kHz (lowest period), and +15 means 113 kHz (highest period). Step sizes are linear. These are rated values." sqref="H44">
      <formula1>-16</formula1>
      <formula2>15</formula2>
    </dataValidation>
    <dataValidation type="decimal" operator="equal" allowBlank="1" showInputMessage="1" showErrorMessage="1" errorTitle="Incorrect LPO Frequency" error="The Power Management Controller (PMC) hosts a 128 kHz oscillator.  Only 128 kHz allowed in this cell." promptTitle="Low Power Oscillator" prompt="The Power Management Controller (PMC) hosts a 128 kHz oscillator.  Only 128 kHz allowed in this cell." sqref="F41">
      <formula1>0.128</formula1>
    </dataValidation>
    <dataValidation allowBlank="1" showInputMessage="1" showErrorMessage="1" promptTitle="Note" prompt="These are rated values. Actual LPO frequency varies slightly between parts." sqref="J41"/>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Title="What is SOSC Range?" prompt="S32K supports the mid-range 4-8 MHz and the high range 8-40 MHz oscillator.  When SPLL is enabled, only high range should be selected.">
          <x14:formula1>
            <xm:f>IF(SPLL!D21=0,SPLL_Disabled,SPLL_Enabled)</xm:f>
          </x14:formula1>
          <xm:sqref>D26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17:M27"/>
  <sheetViews>
    <sheetView tabSelected="1" workbookViewId="0">
      <selection activeCell="L86" sqref="L86"/>
    </sheetView>
  </sheetViews>
  <sheetFormatPr defaultRowHeight="14.4" x14ac:dyDescent="0.25"/>
  <sheetData>
    <row r="17" spans="5:13" ht="15" thickBot="1" x14ac:dyDescent="0.3"/>
    <row r="18" spans="5:13" ht="15.6" thickTop="1" thickBot="1" x14ac:dyDescent="0.3">
      <c r="E18" s="59">
        <v>1</v>
      </c>
    </row>
    <row r="19" spans="5:13" ht="15" thickTop="1" x14ac:dyDescent="0.25"/>
    <row r="24" spans="5:13" ht="15" thickBot="1" x14ac:dyDescent="0.3"/>
    <row r="25" spans="5:13" ht="15.6" thickTop="1" thickBot="1" x14ac:dyDescent="0.3">
      <c r="M25" s="59" t="s">
        <v>13</v>
      </c>
    </row>
    <row r="26" spans="5:13" ht="15.6" thickTop="1" thickBot="1" x14ac:dyDescent="0.3">
      <c r="E26" s="59">
        <v>1</v>
      </c>
    </row>
    <row r="27" spans="5:13" ht="15" thickTop="1" x14ac:dyDescent="0.25"/>
  </sheetData>
  <phoneticPr fontId="11" type="noConversion"/>
  <dataValidations count="2">
    <dataValidation type="list" allowBlank="1" showInputMessage="1" showErrorMessage="1" promptTitle="What does this do?" prompt="Setting this field enables low power modes VLPR and VLPS. &quot;S32K Power Mode&quot; block options change based on value of this block and value of &quot;HSRUN Enable&quot; block." sqref="E26">
      <formula1>"0,1"</formula1>
    </dataValidation>
    <dataValidation type="list" allowBlank="1" showInputMessage="1" showErrorMessage="1" promptTitle="What does this do?" prompt="Setting this field enables HSRUN. &quot;S32K Power Mode&quot; block options change based on value of this block and value of &quot;VLPR/VLPS Enable&quot; block." sqref="E18">
      <formula1>"0,1"</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F7E8E80E-3A5F-4A35-A47E-E76B18523F57}">
            <xm:f>AND($M$25="HSRUN",'Device Select'!$G$17="S32K11x")</xm:f>
            <x14:dxf>
              <fill>
                <patternFill patternType="lightDown">
                  <bgColor rgb="FFFF0000"/>
                </patternFill>
              </fill>
            </x14:dxf>
          </x14:cfRule>
          <xm:sqref>M25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IF('Device Select'!$G$17="S32K14x",IF(AND($E$18=0,$E$26=0),Run_Only,IF(AND($E$18=1,$E$26=0),HSRUN_Enabled,IF(AND($E$18=0,$E$26=1),LP_Enabled,IF(AND($E$18=1,$E$26=1),All_Enabled,0)))),IF($E$26=0,Run_Only,LP_Enabled))</xm:f>
          </x14:formula1>
          <xm:sqref>M25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6:BE537"/>
  <sheetViews>
    <sheetView topLeftCell="A31" zoomScale="85" zoomScaleNormal="85" workbookViewId="0">
      <selection activeCell="C66" sqref="C66"/>
    </sheetView>
  </sheetViews>
  <sheetFormatPr defaultColWidth="9.21875" defaultRowHeight="14.4" x14ac:dyDescent="0.25"/>
  <cols>
    <col min="1" max="16384" width="9.21875" style="7"/>
  </cols>
  <sheetData>
    <row r="6" spans="4:44" x14ac:dyDescent="0.25">
      <c r="G6" s="35"/>
      <c r="J6" s="35"/>
      <c r="M6" s="35"/>
      <c r="P6" s="35"/>
      <c r="R6" s="35"/>
    </row>
    <row r="7" spans="4:44" x14ac:dyDescent="0.25">
      <c r="O7" s="6"/>
      <c r="P7" t="s">
        <v>7</v>
      </c>
    </row>
    <row r="11" spans="4:44" ht="15" thickBot="1" x14ac:dyDescent="0.3"/>
    <row r="12" spans="4:44" ht="15.6" thickTop="1" thickBot="1" x14ac:dyDescent="0.3">
      <c r="K12" s="42">
        <f>Tree!$BB$24</f>
        <v>112</v>
      </c>
      <c r="M12" s="42">
        <f>Tree!$BB$18</f>
        <v>112</v>
      </c>
      <c r="O12" s="42">
        <f>Tree!$BB$42</f>
        <v>0</v>
      </c>
      <c r="Q12" s="42">
        <f>Tree!$BB$55</f>
        <v>0</v>
      </c>
      <c r="S12" s="42">
        <f>Tree!$BB$68</f>
        <v>0</v>
      </c>
      <c r="U12" s="42">
        <f>Tree!$BB$80</f>
        <v>0</v>
      </c>
      <c r="W12" s="42">
        <f>Tree!$BB$94</f>
        <v>0</v>
      </c>
      <c r="Y12" s="42">
        <f>Tree!$BB$106</f>
        <v>0</v>
      </c>
      <c r="AA12" s="42">
        <f>Tree!$BB$120</f>
        <v>0</v>
      </c>
      <c r="AC12" s="42">
        <f>Tree!$BB$132</f>
        <v>0</v>
      </c>
    </row>
    <row r="13" spans="4:44" ht="15" thickTop="1" x14ac:dyDescent="0.25"/>
    <row r="14" spans="4:44" ht="15" thickBot="1" x14ac:dyDescent="0.3"/>
    <row r="15" spans="4:44" ht="15.6" thickTop="1" thickBot="1" x14ac:dyDescent="0.3">
      <c r="D15" s="42">
        <f>IF(F16=1,K12,0)</f>
        <v>0</v>
      </c>
      <c r="E15" s="35"/>
    </row>
    <row r="16" spans="4:44" ht="15.6" thickTop="1" thickBot="1" x14ac:dyDescent="0.3">
      <c r="F16" s="60">
        <v>0</v>
      </c>
      <c r="AN16" s="42">
        <f>IF('Device Select'!G17="S32K14x",IF(AK18=0,0,M12),0)</f>
        <v>0</v>
      </c>
      <c r="AR16" s="35"/>
    </row>
    <row r="17" spans="4:43" ht="15.6" thickTop="1" thickBot="1" x14ac:dyDescent="0.3"/>
    <row r="18" spans="4:43" ht="15.6" thickTop="1" thickBot="1" x14ac:dyDescent="0.3">
      <c r="AK18" s="60">
        <v>0</v>
      </c>
      <c r="AO18" s="35"/>
    </row>
    <row r="19" spans="4:43" ht="15" thickTop="1" x14ac:dyDescent="0.25"/>
    <row r="20" spans="4:43" ht="15" thickBot="1" x14ac:dyDescent="0.3"/>
    <row r="21" spans="4:43" ht="15.6" thickTop="1" thickBot="1" x14ac:dyDescent="0.3">
      <c r="D21" s="42">
        <f>IF('Power Mode Control'!M25="VLPS",0,IF(F24=1,AC12,IF(F24=2,Y12,IF(F24=3,U12,IF(F24=6,Q12,0)))))</f>
        <v>0</v>
      </c>
    </row>
    <row r="22" spans="4:43" ht="15.6" thickTop="1" thickBot="1" x14ac:dyDescent="0.3"/>
    <row r="23" spans="4:43" ht="15.6" thickTop="1" thickBot="1" x14ac:dyDescent="0.3">
      <c r="AN23" s="42">
        <f>IF(AK25=0,0,K12)</f>
        <v>0</v>
      </c>
    </row>
    <row r="24" spans="4:43" ht="15.6" thickTop="1" thickBot="1" x14ac:dyDescent="0.3">
      <c r="F24" s="60">
        <v>0</v>
      </c>
    </row>
    <row r="25" spans="4:43" ht="15.6" thickTop="1" thickBot="1" x14ac:dyDescent="0.3">
      <c r="R25" s="35"/>
      <c r="AK25" s="60">
        <v>0</v>
      </c>
    </row>
    <row r="26" spans="4:43" ht="15.6" thickTop="1" thickBot="1" x14ac:dyDescent="0.3">
      <c r="AQ26" s="42" t="str">
        <f>IF(OR('Power Mode Control'!M25="STOP1",'Power Mode Control'!M25="STOP2",'Power Mode Control'!M25="VLPR",'Power Mode Control'!M25="VLPS"),"Static","Full Functionality")</f>
        <v>Full Functionality</v>
      </c>
    </row>
    <row r="27" spans="4:43" ht="15" thickTop="1" x14ac:dyDescent="0.25"/>
    <row r="30" spans="4:43" ht="15" thickBot="1" x14ac:dyDescent="0.3"/>
    <row r="31" spans="4:43" ht="15.6" thickTop="1" thickBot="1" x14ac:dyDescent="0.3">
      <c r="AN31" s="42">
        <f>IF(AK32=0,0,K12)</f>
        <v>0</v>
      </c>
    </row>
    <row r="32" spans="4:43" ht="15.6" thickTop="1" thickBot="1" x14ac:dyDescent="0.3">
      <c r="R32" s="35"/>
      <c r="AK32" s="60">
        <v>0</v>
      </c>
    </row>
    <row r="33" spans="4:43" ht="15.6" thickTop="1" thickBot="1" x14ac:dyDescent="0.3">
      <c r="D33" s="42">
        <f>IF(F35=0,0,K12)</f>
        <v>0</v>
      </c>
      <c r="R33" s="35"/>
    </row>
    <row r="34" spans="4:43" ht="15.6" thickTop="1" thickBot="1" x14ac:dyDescent="0.3">
      <c r="E34" s="35"/>
      <c r="AQ34" s="42" t="str">
        <f>IF(OR('Power Mode Control'!M25="Run",'Power Mode Control'!M25="HSRUN",'Power Mode Control'!M25="STOP2"),"Full Functionality",IF(OR('Power Mode Control'!M25="VLPS",'Power Mode Control'!M25="VLPR"),"LS Compare Only",IF('Power Mode Control'!M25="STOP1","HS or LS Compare",0)))</f>
        <v>Full Functionality</v>
      </c>
    </row>
    <row r="35" spans="4:43" ht="15.6" thickTop="1" thickBot="1" x14ac:dyDescent="0.3">
      <c r="F35" s="60">
        <v>0</v>
      </c>
      <c r="AN35" s="42">
        <f>IF('Power Mode Control'!M25="VLPS",0,IF(AK39=0,0,K12))</f>
        <v>0</v>
      </c>
    </row>
    <row r="36" spans="4:43" ht="15" thickTop="1" x14ac:dyDescent="0.25">
      <c r="E36" s="35"/>
    </row>
    <row r="38" spans="4:43" ht="15" thickBot="1" x14ac:dyDescent="0.3"/>
    <row r="39" spans="4:43" ht="15.6" thickTop="1" thickBot="1" x14ac:dyDescent="0.3">
      <c r="AK39" s="60">
        <v>0</v>
      </c>
    </row>
    <row r="40" spans="4:43" ht="15.6" thickTop="1" thickBot="1" x14ac:dyDescent="0.3"/>
    <row r="41" spans="4:43" ht="15.6" thickTop="1" thickBot="1" x14ac:dyDescent="0.3">
      <c r="D41" s="42">
        <f>IF('Power Mode Control'!M25="VLPS",0,IF(F43=1,AC12,IF(F43=2,Y12,IF(F43=3,U12,IF(F43=6,Q12,0)))))</f>
        <v>0</v>
      </c>
    </row>
    <row r="42" spans="4:43" ht="15.6" thickTop="1" thickBot="1" x14ac:dyDescent="0.3"/>
    <row r="43" spans="4:43" ht="15.6" thickTop="1" thickBot="1" x14ac:dyDescent="0.3">
      <c r="F43" s="60">
        <v>0</v>
      </c>
      <c r="J43" s="35"/>
      <c r="M43" s="35"/>
    </row>
    <row r="44" spans="4:43" ht="15" thickTop="1" x14ac:dyDescent="0.25"/>
    <row r="45" spans="4:43" x14ac:dyDescent="0.25">
      <c r="R45" s="35"/>
    </row>
    <row r="46" spans="4:43" ht="15" thickBot="1" x14ac:dyDescent="0.3"/>
    <row r="47" spans="4:43" ht="15.6" thickTop="1" thickBot="1" x14ac:dyDescent="0.3">
      <c r="AK47" s="42">
        <f>IF(AI50=0,0,K12)</f>
        <v>0</v>
      </c>
    </row>
    <row r="48" spans="4:43" ht="15" thickTop="1" x14ac:dyDescent="0.25"/>
    <row r="49" spans="2:41" ht="15" thickBot="1" x14ac:dyDescent="0.3"/>
    <row r="50" spans="2:41" ht="15.6" thickTop="1" thickBot="1" x14ac:dyDescent="0.3">
      <c r="AI50" s="60">
        <v>0</v>
      </c>
      <c r="AO50" s="42">
        <f>IF('Power Mode Control'!M25="VLPS",0,IF(AM54=0,AK47,AF53))</f>
        <v>0</v>
      </c>
    </row>
    <row r="51" spans="2:41" ht="15.6" thickTop="1" thickBot="1" x14ac:dyDescent="0.3"/>
    <row r="52" spans="2:41" ht="15.6" thickTop="1" thickBot="1" x14ac:dyDescent="0.3">
      <c r="D52" s="42">
        <f>IF(I55=0,0,K12)</f>
        <v>0</v>
      </c>
    </row>
    <row r="53" spans="2:41" ht="15.6" thickTop="1" thickBot="1" x14ac:dyDescent="0.3">
      <c r="AF53" s="42">
        <f>Tree!$E$58</f>
        <v>0.13075000000000001</v>
      </c>
    </row>
    <row r="54" spans="2:41" ht="15.6" thickTop="1" thickBot="1" x14ac:dyDescent="0.3">
      <c r="AM54" s="60">
        <v>0</v>
      </c>
    </row>
    <row r="55" spans="2:41" ht="15.6" thickTop="1" thickBot="1" x14ac:dyDescent="0.3">
      <c r="D55" s="42">
        <f>IF('Power Mode Control'!M25="VLPS",0,IF(I62=1,AC12,IF(I62=2,Y12,IF(I62=3,U12,IF(I62=6,Q12,0)))))</f>
        <v>0</v>
      </c>
      <c r="I55" s="60">
        <v>0</v>
      </c>
    </row>
    <row r="56" spans="2:41" ht="15.6" thickTop="1" thickBot="1" x14ac:dyDescent="0.3">
      <c r="B56" s="7" t="str">
        <f>"0x"&amp;DEC2HEX((A1),8)</f>
        <v>0x00000000</v>
      </c>
    </row>
    <row r="57" spans="2:41" ht="15.6" thickTop="1" thickBot="1" x14ac:dyDescent="0.3">
      <c r="F57" s="60">
        <v>0</v>
      </c>
      <c r="AK57" s="42">
        <f>IF(AI60=1,M12,0)</f>
        <v>0</v>
      </c>
    </row>
    <row r="58" spans="2:41" ht="15" thickTop="1" x14ac:dyDescent="0.25"/>
    <row r="59" spans="2:41" ht="15" thickBot="1" x14ac:dyDescent="0.3"/>
    <row r="60" spans="2:41" ht="15.6" thickTop="1" thickBot="1" x14ac:dyDescent="0.3">
      <c r="AI60" s="60">
        <v>0</v>
      </c>
    </row>
    <row r="61" spans="2:41" ht="15.6" thickTop="1" thickBot="1" x14ac:dyDescent="0.3"/>
    <row r="62" spans="2:41" ht="15.6" thickTop="1" thickBot="1" x14ac:dyDescent="0.3">
      <c r="I62" s="60">
        <v>0</v>
      </c>
    </row>
    <row r="63" spans="2:41" ht="15" thickTop="1" x14ac:dyDescent="0.25"/>
    <row r="66" spans="4:40" x14ac:dyDescent="0.25">
      <c r="R66" s="35"/>
    </row>
    <row r="67" spans="4:40" x14ac:dyDescent="0.25">
      <c r="G67" s="35"/>
      <c r="J67" s="35"/>
      <c r="R67" s="35"/>
    </row>
    <row r="68" spans="4:40" ht="15" thickBot="1" x14ac:dyDescent="0.3"/>
    <row r="69" spans="4:40" ht="15.6" thickTop="1" thickBot="1" x14ac:dyDescent="0.3">
      <c r="AN69" s="42">
        <f>IF('Power Mode Control'!M25="VLPS",0,IF(AL71=0,AC12,M12))</f>
        <v>0</v>
      </c>
    </row>
    <row r="70" spans="4:40" ht="15.6" thickTop="1" thickBot="1" x14ac:dyDescent="0.3">
      <c r="D70" s="42">
        <f>IF(F72=0,0,K12)</f>
        <v>0</v>
      </c>
      <c r="M70" s="35"/>
      <c r="P70" s="35"/>
    </row>
    <row r="71" spans="4:40" ht="15.6" thickTop="1" thickBot="1" x14ac:dyDescent="0.3">
      <c r="AL71" s="60">
        <v>0</v>
      </c>
    </row>
    <row r="72" spans="4:40" ht="15.6" thickTop="1" thickBot="1" x14ac:dyDescent="0.3">
      <c r="F72" s="60">
        <v>0</v>
      </c>
    </row>
    <row r="73" spans="4:40" ht="15.6" thickTop="1" thickBot="1" x14ac:dyDescent="0.3"/>
    <row r="74" spans="4:40" ht="15.6" thickTop="1" thickBot="1" x14ac:dyDescent="0.3">
      <c r="AL74" s="42">
        <f>IF(AI78=1,M12,0)</f>
        <v>112</v>
      </c>
    </row>
    <row r="75" spans="4:40" ht="15" thickTop="1" x14ac:dyDescent="0.25"/>
    <row r="76" spans="4:40" ht="15" thickBot="1" x14ac:dyDescent="0.3"/>
    <row r="77" spans="4:40" ht="15.6" thickTop="1" thickBot="1" x14ac:dyDescent="0.3">
      <c r="D77" s="42">
        <f>IF('Power Mode Control'!M25="VLPS",0,IF(F79=1,AC12,IF(F79=2,Y12,IF(F79=3,U12,IF(F79=6,Q12,0)))))</f>
        <v>0</v>
      </c>
    </row>
    <row r="78" spans="4:40" ht="15.6" thickTop="1" thickBot="1" x14ac:dyDescent="0.3">
      <c r="AI78" s="60">
        <v>1</v>
      </c>
    </row>
    <row r="79" spans="4:40" ht="15.6" thickTop="1" thickBot="1" x14ac:dyDescent="0.3">
      <c r="F79" s="60">
        <v>0</v>
      </c>
    </row>
    <row r="80" spans="4:40" ht="15" thickTop="1" x14ac:dyDescent="0.25"/>
    <row r="81" spans="4:38" ht="15" thickBot="1" x14ac:dyDescent="0.3"/>
    <row r="82" spans="4:38" ht="15.6" thickTop="1" thickBot="1" x14ac:dyDescent="0.3">
      <c r="AL82" s="42">
        <f>IF(AI86=1,M12,0)</f>
        <v>112</v>
      </c>
    </row>
    <row r="83" spans="4:38" ht="15" thickTop="1" x14ac:dyDescent="0.25"/>
    <row r="85" spans="4:38" ht="15" thickBot="1" x14ac:dyDescent="0.3"/>
    <row r="86" spans="4:38" ht="15.6" thickTop="1" thickBot="1" x14ac:dyDescent="0.3">
      <c r="AI86" s="60">
        <v>1</v>
      </c>
    </row>
    <row r="87" spans="4:38" ht="15.6" thickTop="1" thickBot="1" x14ac:dyDescent="0.3"/>
    <row r="88" spans="4:38" ht="15.6" thickTop="1" thickBot="1" x14ac:dyDescent="0.3">
      <c r="D88" s="42">
        <f>IF(F90=0,0,K12)</f>
        <v>0</v>
      </c>
    </row>
    <row r="89" spans="4:38" ht="15.6" thickTop="1" thickBot="1" x14ac:dyDescent="0.3"/>
    <row r="90" spans="4:38" ht="15.6" thickTop="1" thickBot="1" x14ac:dyDescent="0.3">
      <c r="F90" s="60">
        <v>0</v>
      </c>
      <c r="AL90" s="42">
        <f>IF(AI94=1,M12,0)</f>
        <v>112</v>
      </c>
    </row>
    <row r="91" spans="4:38" ht="15" thickTop="1" x14ac:dyDescent="0.25"/>
    <row r="93" spans="4:38" ht="15" thickBot="1" x14ac:dyDescent="0.3"/>
    <row r="94" spans="4:38" ht="15.6" thickTop="1" thickBot="1" x14ac:dyDescent="0.3">
      <c r="AI94" s="60">
        <v>1</v>
      </c>
    </row>
    <row r="95" spans="4:38" ht="15.6" thickTop="1" thickBot="1" x14ac:dyDescent="0.3">
      <c r="D95" s="42">
        <f>IF('Power Mode Control'!M25="VLPS",0,IF(F97=1,AC12,IF(F97=2,Y12,IF(F97=3,U12,IF(F97=6,Q12,0)))))</f>
        <v>0</v>
      </c>
    </row>
    <row r="96" spans="4:38" ht="15.6" thickTop="1" thickBot="1" x14ac:dyDescent="0.3"/>
    <row r="97" spans="4:38" ht="15.6" thickTop="1" thickBot="1" x14ac:dyDescent="0.3">
      <c r="F97" s="60">
        <v>0</v>
      </c>
    </row>
    <row r="98" spans="4:38" ht="15.6" thickTop="1" thickBot="1" x14ac:dyDescent="0.3"/>
    <row r="99" spans="4:38" ht="15.6" thickTop="1" thickBot="1" x14ac:dyDescent="0.3">
      <c r="AL99" s="42">
        <f>IF(AI102=1,M12,0)</f>
        <v>112</v>
      </c>
    </row>
    <row r="100" spans="4:38" ht="15" thickTop="1" x14ac:dyDescent="0.25"/>
    <row r="101" spans="4:38" ht="15" thickBot="1" x14ac:dyDescent="0.3"/>
    <row r="102" spans="4:38" ht="15.6" thickTop="1" thickBot="1" x14ac:dyDescent="0.3">
      <c r="AI102" s="60">
        <v>1</v>
      </c>
    </row>
    <row r="103" spans="4:38" ht="15" thickTop="1" x14ac:dyDescent="0.25"/>
    <row r="107" spans="4:38" ht="15" thickBot="1" x14ac:dyDescent="0.3"/>
    <row r="108" spans="4:38" ht="15.6" thickTop="1" thickBot="1" x14ac:dyDescent="0.3">
      <c r="D108" s="42">
        <f>IF(F108=1,K12,0)</f>
        <v>0</v>
      </c>
      <c r="F108" s="60">
        <v>0</v>
      </c>
      <c r="AL108" s="42">
        <f>IF(AI111=1,M12,0)</f>
        <v>112</v>
      </c>
    </row>
    <row r="109" spans="4:38" ht="15.6" thickTop="1" thickBot="1" x14ac:dyDescent="0.3">
      <c r="H109" s="42">
        <f>Tree!BH184</f>
        <v>0.13075000000000001</v>
      </c>
    </row>
    <row r="110" spans="4:38" ht="15.6" thickTop="1" thickBot="1" x14ac:dyDescent="0.3"/>
    <row r="111" spans="4:38" ht="15.6" thickTop="1" thickBot="1" x14ac:dyDescent="0.3">
      <c r="AI111" s="60">
        <v>1</v>
      </c>
    </row>
    <row r="112" spans="4:38" ht="15.6" thickTop="1" thickBot="1" x14ac:dyDescent="0.3">
      <c r="D112" s="42">
        <f>IF(OR('Power Mode Control'!M25="STOP1",'Power Mode Control'!M25="VLPS"),0,H109)</f>
        <v>0.13075000000000001</v>
      </c>
    </row>
    <row r="113" spans="4:43" ht="15" thickTop="1" x14ac:dyDescent="0.25"/>
    <row r="114" spans="4:43" x14ac:dyDescent="0.25">
      <c r="G114" s="35"/>
      <c r="J114" s="35"/>
      <c r="M114" s="35"/>
      <c r="P114" s="35"/>
    </row>
    <row r="117" spans="4:43" x14ac:dyDescent="0.25">
      <c r="AO117" s="35"/>
    </row>
    <row r="120" spans="4:43" ht="15" thickBot="1" x14ac:dyDescent="0.3"/>
    <row r="121" spans="4:43" ht="15.6" thickTop="1" thickBot="1" x14ac:dyDescent="0.3">
      <c r="D121" s="42">
        <f>IF(OR('Power Mode Control'!M25="STOP1",'Power Mode Control'!M25="VLPS"),IF('Module Domains'!B129=0,0,D127),D127)</f>
        <v>0.13075000000000001</v>
      </c>
    </row>
    <row r="122" spans="4:43" ht="15.6" thickTop="1" thickBot="1" x14ac:dyDescent="0.3">
      <c r="I122" s="42">
        <f>Tree!N41</f>
        <v>8</v>
      </c>
    </row>
    <row r="123" spans="4:43" ht="15.6" thickTop="1" thickBot="1" x14ac:dyDescent="0.3">
      <c r="I123" s="42">
        <f>Tree!$X$26</f>
        <v>8</v>
      </c>
    </row>
    <row r="124" spans="4:43" ht="15.6" thickTop="1" thickBot="1" x14ac:dyDescent="0.3">
      <c r="F124" s="60">
        <v>1</v>
      </c>
      <c r="AO124" s="35"/>
    </row>
    <row r="125" spans="4:43" ht="15" thickTop="1" x14ac:dyDescent="0.25"/>
    <row r="126" spans="4:43" ht="15" thickBot="1" x14ac:dyDescent="0.3"/>
    <row r="127" spans="4:43" ht="15.6" thickTop="1" thickBot="1" x14ac:dyDescent="0.3">
      <c r="D127" s="42">
        <f>IF(F124=0,K12,IF(F124=1,H109,IF(F124=2,I122,IF(F124=3,I123,0))))</f>
        <v>0.13075000000000001</v>
      </c>
      <c r="AQ127" s="42" t="s">
        <v>66</v>
      </c>
    </row>
    <row r="128" spans="4:43" ht="15.6" thickTop="1" thickBot="1" x14ac:dyDescent="0.3"/>
    <row r="129" spans="2:43" ht="15.6" thickTop="1" thickBot="1" x14ac:dyDescent="0.3">
      <c r="B129" s="60">
        <v>0</v>
      </c>
    </row>
    <row r="130" spans="2:43" ht="15" thickTop="1" x14ac:dyDescent="0.25"/>
    <row r="131" spans="2:43" x14ac:dyDescent="0.25">
      <c r="D131" s="35"/>
      <c r="AO131" s="35"/>
    </row>
    <row r="134" spans="2:43" ht="15" thickBot="1" x14ac:dyDescent="0.3"/>
    <row r="135" spans="2:43" ht="15.6" thickTop="1" thickBot="1" x14ac:dyDescent="0.3">
      <c r="D135" s="42">
        <f>IF(F138=0,0,IF(F138=1,K12,IF(F138=2,I136,0)))</f>
        <v>0</v>
      </c>
      <c r="AQ135" s="42" t="str">
        <f>IF(OR('Power Mode Control'!M25="STOP1",'Power Mode Control'!M25="STOP2",'Power Mode Control'!M25="VLPR",'Power Mode Control'!M25="VLPS"),"Static","Full Functionality")</f>
        <v>Full Functionality</v>
      </c>
    </row>
    <row r="136" spans="2:43" ht="15.6" thickTop="1" thickBot="1" x14ac:dyDescent="0.3">
      <c r="I136" s="42">
        <f>Tree!$E$58</f>
        <v>0.13075000000000001</v>
      </c>
    </row>
    <row r="137" spans="2:43" ht="15.6" thickTop="1" thickBot="1" x14ac:dyDescent="0.3">
      <c r="B137" s="42" t="s">
        <v>66</v>
      </c>
    </row>
    <row r="138" spans="2:43" ht="15.6" thickTop="1" thickBot="1" x14ac:dyDescent="0.3">
      <c r="F138" s="60">
        <v>0</v>
      </c>
    </row>
    <row r="139" spans="2:43" ht="15" thickTop="1" x14ac:dyDescent="0.25"/>
    <row r="141" spans="2:43" ht="15" thickBot="1" x14ac:dyDescent="0.3"/>
    <row r="142" spans="2:43" ht="15.6" thickTop="1" thickBot="1" x14ac:dyDescent="0.3">
      <c r="AQ142" s="42" t="str">
        <f>IF(OR('Power Mode Control'!M25="Run",'Power Mode Control'!M25="HSRUN"),"Full Functionality",IF(OR('Power Mode Control'!M25="VLPS",'Power Mode Control'!M25="STOP1",'Power Mode Control'!M25="STOP2"),"Low Power, No Read/Write",IF('Power Mode Control'!M25="VLPR","Low Power, Read/Write",0)))</f>
        <v>Full Functionality</v>
      </c>
    </row>
    <row r="143" spans="2:43" ht="15.6" thickTop="1" thickBot="1" x14ac:dyDescent="0.3">
      <c r="D143" s="42">
        <f>IF(OR('Power Mode Control'!M25="VLPR",'Power Mode Control'!M25="VLPS",'Power Mode Control'!M25="STOP1",'Power Mode Control'!M25="STOP2"),0,IF(F146=1,I143,0))</f>
        <v>56</v>
      </c>
      <c r="I143" s="42">
        <f>Tree!$BB$31</f>
        <v>56</v>
      </c>
    </row>
    <row r="144" spans="2:43" ht="15.6" thickTop="1" thickBot="1" x14ac:dyDescent="0.3">
      <c r="AL144" s="42">
        <f>IF(AI146=1,K12,0)</f>
        <v>0</v>
      </c>
    </row>
    <row r="145" spans="6:41" ht="15.6" thickTop="1" thickBot="1" x14ac:dyDescent="0.3"/>
    <row r="146" spans="6:41" ht="15.6" thickTop="1" thickBot="1" x14ac:dyDescent="0.3">
      <c r="F146" s="60">
        <v>1</v>
      </c>
      <c r="AI146" s="60">
        <v>0</v>
      </c>
    </row>
    <row r="147" spans="6:41" ht="15" thickTop="1" x14ac:dyDescent="0.25"/>
    <row r="150" spans="6:41" ht="15" thickBot="1" x14ac:dyDescent="0.3"/>
    <row r="151" spans="6:41" ht="15.6" thickTop="1" thickBot="1" x14ac:dyDescent="0.3">
      <c r="AG151" s="42">
        <f>IF(AE154=1,AC12,IF(AE154=2,Y12,IF(AE154=3,U12,IF(AE154=6,Q12,0))))</f>
        <v>0</v>
      </c>
      <c r="AK151" s="42">
        <f>IF(AI154=0,AG151,0)</f>
        <v>0</v>
      </c>
      <c r="AO151" s="42">
        <f>IF('Power Mode Control'!M25="VLPS",0,AK151/POWER(2,AM154))</f>
        <v>0</v>
      </c>
    </row>
    <row r="152" spans="6:41" ht="15.6" thickTop="1" thickBot="1" x14ac:dyDescent="0.3"/>
    <row r="153" spans="6:41" ht="15.6" thickTop="1" thickBot="1" x14ac:dyDescent="0.3">
      <c r="I153" s="42">
        <f>Tree!$BB$16</f>
        <v>112</v>
      </c>
    </row>
    <row r="154" spans="6:41" ht="15.6" thickTop="1" thickBot="1" x14ac:dyDescent="0.3">
      <c r="AE154" s="60">
        <v>0</v>
      </c>
      <c r="AI154" s="60">
        <v>0</v>
      </c>
      <c r="AM154" s="60">
        <v>0</v>
      </c>
    </row>
    <row r="155" spans="6:41" ht="15" thickTop="1" x14ac:dyDescent="0.25"/>
    <row r="161" spans="2:49" ht="15" thickBot="1" x14ac:dyDescent="0.3"/>
    <row r="162" spans="2:49" ht="15.6" thickTop="1" thickBot="1" x14ac:dyDescent="0.3">
      <c r="B162" s="42" t="s">
        <v>66</v>
      </c>
    </row>
    <row r="163" spans="2:49" ht="15" thickTop="1" x14ac:dyDescent="0.25"/>
    <row r="165" spans="2:49" ht="15" thickBot="1" x14ac:dyDescent="0.3"/>
    <row r="166" spans="2:49" ht="15.6" thickTop="1" thickBot="1" x14ac:dyDescent="0.3">
      <c r="AL166" s="42">
        <f>IF(AI169=1,M12,0)</f>
        <v>0</v>
      </c>
    </row>
    <row r="167" spans="2:49" ht="15.6" thickTop="1" thickBot="1" x14ac:dyDescent="0.3">
      <c r="D167" s="35"/>
    </row>
    <row r="168" spans="2:49" ht="15.6" thickTop="1" thickBot="1" x14ac:dyDescent="0.3">
      <c r="B168" s="42" t="str">
        <f>IF(OR('Power Mode Control'!M25="Run",'Power Mode Control'!M25="HSRUN"),"Full Functionality",IF(OR('Power Mode Control'!M25="VLPS",'Power Mode Control'!M25="STOP1",'Power Mode Control'!M25="STOP2"),"Low Power, No Read/Write",IF('Power Mode Control'!M25="VLPR","Low Power, Read/Write",0)))</f>
        <v>Full Functionality</v>
      </c>
    </row>
    <row r="169" spans="2:49" ht="15.6" thickTop="1" thickBot="1" x14ac:dyDescent="0.3">
      <c r="AI169" s="60">
        <v>0</v>
      </c>
    </row>
    <row r="170" spans="2:49" ht="15" thickTop="1" x14ac:dyDescent="0.25">
      <c r="E170" s="35"/>
    </row>
    <row r="172" spans="2:49" ht="15" thickBot="1" x14ac:dyDescent="0.3">
      <c r="D172" s="35"/>
      <c r="I172" s="35"/>
    </row>
    <row r="173" spans="2:49" ht="15.6" thickTop="1" thickBot="1" x14ac:dyDescent="0.3">
      <c r="AE173" s="60">
        <v>0</v>
      </c>
      <c r="AL173" s="42">
        <f>Tree!$AR$174</f>
        <v>0</v>
      </c>
      <c r="AS173" s="42">
        <f>IF(OR('Power Mode Control'!M25="STOP1",'Power Mode Control'!M25="STOP2",'Power Mode Control'!M25="VLPS"),0,IF(AQ176=1,AL166,IF(AQ176=2,AL173,IF(AQ176=3,AN181,0))))</f>
        <v>0</v>
      </c>
      <c r="AW173" s="42">
        <f>AS173/POWER(2,AU176)</f>
        <v>0</v>
      </c>
    </row>
    <row r="174" spans="2:49" ht="15.6" thickTop="1" thickBot="1" x14ac:dyDescent="0.3">
      <c r="AE174" s="60">
        <v>0</v>
      </c>
    </row>
    <row r="175" spans="2:49" ht="15.6" thickTop="1" thickBot="1" x14ac:dyDescent="0.3">
      <c r="D175" s="35"/>
      <c r="AE175" s="60">
        <v>0</v>
      </c>
    </row>
    <row r="176" spans="2:49" ht="15.6" thickTop="1" thickBot="1" x14ac:dyDescent="0.3">
      <c r="I176" s="35"/>
      <c r="AQ176" s="60">
        <v>0</v>
      </c>
      <c r="AU176" s="60">
        <v>0</v>
      </c>
    </row>
    <row r="177" spans="2:48" ht="15.6" thickTop="1" thickBot="1" x14ac:dyDescent="0.3">
      <c r="G177" s="35"/>
      <c r="AG177" s="60">
        <v>0</v>
      </c>
    </row>
    <row r="178" spans="2:48" ht="15.6" thickTop="1" thickBot="1" x14ac:dyDescent="0.3">
      <c r="AI178" s="42">
        <f>IF(AG177=0,AE173,IF(AG177=1,AE174,IF(AG177=2,AE175,0)))</f>
        <v>0</v>
      </c>
    </row>
    <row r="179" spans="2:48" ht="15" thickTop="1" x14ac:dyDescent="0.25">
      <c r="I179" s="35"/>
    </row>
    <row r="180" spans="2:48" ht="15" thickBot="1" x14ac:dyDescent="0.3">
      <c r="E180" s="35"/>
      <c r="I180" s="35"/>
    </row>
    <row r="181" spans="2:48" ht="15.6" thickTop="1" thickBot="1" x14ac:dyDescent="0.3">
      <c r="AN181" s="42">
        <f>IF(AL185=0,AI178,IF(AL185=1,AA12,IF(AL185=2,W12,IF(AL185=3,S12,IF(AL185=6,O12,0)))))</f>
        <v>0</v>
      </c>
    </row>
    <row r="182" spans="2:48" ht="15" thickTop="1" x14ac:dyDescent="0.25"/>
    <row r="183" spans="2:48" x14ac:dyDescent="0.25">
      <c r="C183" s="35"/>
    </row>
    <row r="184" spans="2:48" ht="15" thickBot="1" x14ac:dyDescent="0.3"/>
    <row r="185" spans="2:48" ht="15.6" thickTop="1" thickBot="1" x14ac:dyDescent="0.3">
      <c r="D185" s="42">
        <f>'RTC Clocking'!$AK$10</f>
        <v>0</v>
      </c>
      <c r="I185" s="42">
        <f>Tree!$AM$186</f>
        <v>1.021484375E-3</v>
      </c>
      <c r="AL185" s="60">
        <v>0</v>
      </c>
    </row>
    <row r="186" spans="2:48" ht="15.6" thickTop="1" thickBot="1" x14ac:dyDescent="0.3"/>
    <row r="187" spans="2:48" ht="15.6" thickTop="1" thickBot="1" x14ac:dyDescent="0.3">
      <c r="B187" s="35"/>
      <c r="I187" s="42">
        <f>Tree!$AR$174</f>
        <v>0</v>
      </c>
    </row>
    <row r="188" spans="2:48" ht="15.6" thickTop="1" thickBot="1" x14ac:dyDescent="0.3">
      <c r="E188" s="35"/>
      <c r="G188" s="42" t="str">
        <f>IF(OR('Power Mode Control'!M25="Run",'Power Mode Control'!M25="HSRUN",'Power Mode Control'!M25="VLPR",'Power Mode Control'!M25="STOP2"),"Full Functionality",IF('Power Mode Control'!M25="VLPS","Off",IF('Power Mode Control'!M25="STOP1","Asynchronous Operation",0)))</f>
        <v>Full Functionality</v>
      </c>
    </row>
    <row r="189" spans="2:48" ht="15" thickTop="1" x14ac:dyDescent="0.25">
      <c r="B189" s="35"/>
    </row>
    <row r="190" spans="2:48" x14ac:dyDescent="0.25">
      <c r="G190" s="35"/>
    </row>
    <row r="191" spans="2:48" ht="15" thickBot="1" x14ac:dyDescent="0.3">
      <c r="D191" s="35"/>
      <c r="G191" s="35"/>
    </row>
    <row r="192" spans="2:48" ht="15.6" thickTop="1" thickBot="1" x14ac:dyDescent="0.3">
      <c r="AV192" s="42">
        <f>IF(AS196=0,0,K12)</f>
        <v>0</v>
      </c>
    </row>
    <row r="193" spans="2:55" ht="15" thickTop="1" x14ac:dyDescent="0.25">
      <c r="C193" s="35"/>
    </row>
    <row r="194" spans="2:55" ht="15" thickBot="1" x14ac:dyDescent="0.3">
      <c r="E194" s="35"/>
      <c r="I194" s="35"/>
    </row>
    <row r="195" spans="2:55" ht="15.6" thickTop="1" thickBot="1" x14ac:dyDescent="0.3">
      <c r="D195" s="42">
        <f>IF(F196=0,0,K12)</f>
        <v>0</v>
      </c>
    </row>
    <row r="196" spans="2:55" ht="15.6" thickTop="1" thickBot="1" x14ac:dyDescent="0.3">
      <c r="F196" s="60">
        <v>0</v>
      </c>
      <c r="H196" s="35"/>
      <c r="AI196" s="42">
        <f>IF(AG199=1,AC12,IF(AG199=2,Y12,IF(AG199=3,U12,IF(AG199=6,Q12,0))))</f>
        <v>0</v>
      </c>
      <c r="AP196" s="42">
        <f>IF(AND(AK199=1,AN199=0),0,AI196*((AK199+1)/(AN199+1)))</f>
        <v>0</v>
      </c>
      <c r="AS196" s="60">
        <v>0</v>
      </c>
      <c r="BC196" s="42">
        <f>IF(BA199=0,AY207,AU207)</f>
        <v>0</v>
      </c>
    </row>
    <row r="197" spans="2:55" ht="15" thickTop="1" x14ac:dyDescent="0.25"/>
    <row r="198" spans="2:55" ht="15" thickBot="1" x14ac:dyDescent="0.3">
      <c r="E198" s="35"/>
    </row>
    <row r="199" spans="2:55" ht="15.6" thickTop="1" thickBot="1" x14ac:dyDescent="0.3">
      <c r="B199" s="35"/>
      <c r="AG199" s="60">
        <v>0</v>
      </c>
      <c r="AK199" s="60">
        <v>0</v>
      </c>
      <c r="AN199" s="60">
        <v>0</v>
      </c>
      <c r="BA199" s="60">
        <v>0</v>
      </c>
    </row>
    <row r="200" spans="2:55" ht="15.6" thickTop="1" thickBot="1" x14ac:dyDescent="0.3">
      <c r="B200" s="64"/>
    </row>
    <row r="201" spans="2:55" ht="15.6" thickTop="1" thickBot="1" x14ac:dyDescent="0.3">
      <c r="D201" s="42">
        <f>IF(F204=0,0,IF(F204=1,AC12,IF(F204=2,Y536,IF(F204=3,U536,IF(F204=6,Q536,0)))))</f>
        <v>0</v>
      </c>
    </row>
    <row r="202" spans="2:55" ht="15" thickTop="1" x14ac:dyDescent="0.25">
      <c r="I202" s="35"/>
    </row>
    <row r="203" spans="2:55" ht="15" thickBot="1" x14ac:dyDescent="0.3">
      <c r="C203" s="35"/>
      <c r="G203" s="35"/>
    </row>
    <row r="204" spans="2:55" ht="15.6" thickTop="1" thickBot="1" x14ac:dyDescent="0.3">
      <c r="F204" s="60">
        <v>0</v>
      </c>
    </row>
    <row r="205" spans="2:55" ht="15" thickTop="1" x14ac:dyDescent="0.25"/>
    <row r="206" spans="2:55" ht="15" thickBot="1" x14ac:dyDescent="0.3"/>
    <row r="207" spans="2:55" ht="15.6" thickTop="1" thickBot="1" x14ac:dyDescent="0.3">
      <c r="G207" s="35"/>
      <c r="AU207" s="42">
        <f>IF(AS211=0,Y12,IF(AS211=1,AI208,IF(AS211=2,AI209,IF(AS211=3,AP196,0))))</f>
        <v>0</v>
      </c>
      <c r="AY207" s="42">
        <f>AU207/POWER(2,(AW211+1))</f>
        <v>0</v>
      </c>
    </row>
    <row r="208" spans="2:55" ht="15.6" thickTop="1" thickBot="1" x14ac:dyDescent="0.3">
      <c r="E208" s="35"/>
      <c r="AI208" s="42">
        <f>Tree!$AM$186</f>
        <v>1.021484375E-3</v>
      </c>
    </row>
    <row r="209" spans="2:57" ht="15.6" thickTop="1" thickBot="1" x14ac:dyDescent="0.3">
      <c r="AI209" s="42">
        <f>Tree!AR174</f>
        <v>0</v>
      </c>
      <c r="BA209" s="60">
        <v>0</v>
      </c>
      <c r="BE209" s="42">
        <f>IF(BC213=0,BA209,IF(BC213=1,BA210,IF(BC213=2,BA211,IF(BC213=3,BA212,0))))</f>
        <v>0</v>
      </c>
    </row>
    <row r="210" spans="2:57" ht="15.6" thickTop="1" thickBot="1" x14ac:dyDescent="0.3">
      <c r="B210" s="35"/>
      <c r="C210" s="35"/>
      <c r="E210" s="35"/>
      <c r="I210" s="35"/>
      <c r="BA210" s="60">
        <v>0</v>
      </c>
    </row>
    <row r="211" spans="2:57" ht="15.6" thickTop="1" thickBot="1" x14ac:dyDescent="0.3">
      <c r="AS211" s="60">
        <v>0</v>
      </c>
      <c r="AW211" s="60">
        <v>0</v>
      </c>
      <c r="BA211" s="60">
        <v>0</v>
      </c>
    </row>
    <row r="212" spans="2:57" ht="15.6" thickTop="1" thickBot="1" x14ac:dyDescent="0.3">
      <c r="BA212" s="60">
        <v>0</v>
      </c>
    </row>
    <row r="213" spans="2:57" ht="15.6" thickTop="1" thickBot="1" x14ac:dyDescent="0.3">
      <c r="BC213" s="60">
        <v>0</v>
      </c>
    </row>
    <row r="214" spans="2:57" ht="15.6" thickTop="1" thickBot="1" x14ac:dyDescent="0.3">
      <c r="AI214" s="42">
        <f>IF('Device Select'!G17="S32K14x",IF(AG216=0,0,M536),0)</f>
        <v>0</v>
      </c>
      <c r="AO214" s="42">
        <f>IF(AL217="S32K14x",AI214,0)</f>
        <v>0</v>
      </c>
    </row>
    <row r="215" spans="2:57" ht="15.6" thickTop="1" thickBot="1" x14ac:dyDescent="0.3">
      <c r="H215" s="42">
        <f>Tree!BB31</f>
        <v>56</v>
      </c>
    </row>
    <row r="216" spans="2:57" ht="15.6" thickTop="1" thickBot="1" x14ac:dyDescent="0.3">
      <c r="D216" s="42">
        <f>IF('Power Mode Control'!M25="STOP2",0,H215)</f>
        <v>56</v>
      </c>
      <c r="AG216" s="60">
        <v>0</v>
      </c>
      <c r="AK216" s="7">
        <v>0</v>
      </c>
    </row>
    <row r="217" spans="2:57" ht="15.6" thickTop="1" thickBot="1" x14ac:dyDescent="0.3">
      <c r="AL217" s="42" t="str">
        <f>Selected_Device</f>
        <v>S32K14x</v>
      </c>
    </row>
    <row r="218" spans="2:57" ht="15.6" thickTop="1" thickBot="1" x14ac:dyDescent="0.3"/>
    <row r="219" spans="2:57" ht="15.6" thickTop="1" thickBot="1" x14ac:dyDescent="0.3">
      <c r="AK219" s="42">
        <f>IF(AI222=0,0,K536)</f>
        <v>0</v>
      </c>
    </row>
    <row r="220" spans="2:57" ht="15.6" thickTop="1" thickBot="1" x14ac:dyDescent="0.3"/>
    <row r="221" spans="2:57" ht="15.6" thickTop="1" thickBot="1" x14ac:dyDescent="0.3">
      <c r="B221" s="42" t="str">
        <f>IF('Power Mode Control'!M25="VLPR","Low Power, Read Only",IF(OR('Power Mode Control'!M25="STOP1",'Power Mode Control'!M25="STOP2",'Power Mode Control'!M25="VLPS"),"Low Power, No Read/Erase",IF('Power Mode Control'!M25="Run","Full Functionality",IF('Power Mode Control'!M25="HSRUN","Read Only",0))))</f>
        <v>Read Only</v>
      </c>
    </row>
    <row r="222" spans="2:57" ht="15.6" thickTop="1" thickBot="1" x14ac:dyDescent="0.3">
      <c r="D222" s="42">
        <f>IF('Power Mode Control'!M25="STOP2",0,H215)</f>
        <v>56</v>
      </c>
      <c r="AI222" s="60">
        <v>0</v>
      </c>
      <c r="AO222" s="42">
        <f>IF(AM226=0,AK219,AF224)</f>
        <v>0</v>
      </c>
    </row>
    <row r="223" spans="2:57" ht="15.6" thickTop="1" thickBot="1" x14ac:dyDescent="0.3"/>
    <row r="224" spans="2:57" ht="15.6" thickTop="1" thickBot="1" x14ac:dyDescent="0.3">
      <c r="AF224" s="42">
        <f>Tree!E58</f>
        <v>0.13075000000000001</v>
      </c>
    </row>
    <row r="225" spans="2:41" ht="15.6" thickTop="1" thickBot="1" x14ac:dyDescent="0.3"/>
    <row r="226" spans="2:41" ht="15.6" thickTop="1" thickBot="1" x14ac:dyDescent="0.3">
      <c r="AM226" s="60">
        <v>0</v>
      </c>
    </row>
    <row r="227" spans="2:41" ht="15.6" thickTop="1" thickBot="1" x14ac:dyDescent="0.3">
      <c r="B227" s="42" t="str">
        <f>IF(OR('Power Mode Control'!M25="STOP1",'Power Mode Control'!M25="STOP2",'Power Mode Control'!M25="VLPS"),"Low Power, No Read/Write",IF('Power Mode Control'!M25="VLPR","Low Power, Read/Write",IF(OR('Power Mode Control'!M25="Run",'Power Mode Control'!M25="HSRUN"),"Full Functionality",0)))</f>
        <v>Full Functionality</v>
      </c>
    </row>
    <row r="228" spans="2:41" ht="15.6" thickTop="1" thickBot="1" x14ac:dyDescent="0.3">
      <c r="H228" s="42" t="s">
        <v>64</v>
      </c>
    </row>
    <row r="229" spans="2:41" ht="15.6" thickTop="1" thickBot="1" x14ac:dyDescent="0.3">
      <c r="AK229" s="42">
        <f>IF(AI232=0,0,K536)</f>
        <v>0</v>
      </c>
    </row>
    <row r="230" spans="2:41" ht="15" thickTop="1" x14ac:dyDescent="0.25"/>
    <row r="231" spans="2:41" ht="15" thickBot="1" x14ac:dyDescent="0.3"/>
    <row r="232" spans="2:41" ht="15.6" thickTop="1" thickBot="1" x14ac:dyDescent="0.3">
      <c r="AI232" s="60">
        <v>0</v>
      </c>
      <c r="AO232" s="42">
        <f>IF(AM236=0,AK229,AF234)</f>
        <v>0</v>
      </c>
    </row>
    <row r="233" spans="2:41" ht="15.6" thickTop="1" thickBot="1" x14ac:dyDescent="0.3"/>
    <row r="234" spans="2:41" ht="15.6" thickTop="1" thickBot="1" x14ac:dyDescent="0.3">
      <c r="AF234" s="42">
        <f>Tree!E58</f>
        <v>0.13075000000000001</v>
      </c>
    </row>
    <row r="235" spans="2:41" ht="15.6" thickTop="1" thickBot="1" x14ac:dyDescent="0.3">
      <c r="B235" s="42" t="str">
        <f>IF(OR('Power Mode Control'!M25="STOP1",'Power Mode Control'!M25="STOP2",'Power Mode Control'!M25="Run",'Power Mode Control'!M25="HSRUN"),"Run Regulation","Stop Regulation")</f>
        <v>Run Regulation</v>
      </c>
    </row>
    <row r="236" spans="2:41" ht="15.6" thickTop="1" thickBot="1" x14ac:dyDescent="0.3">
      <c r="AM236" s="60">
        <v>0</v>
      </c>
    </row>
    <row r="237" spans="2:41" ht="15" thickTop="1" x14ac:dyDescent="0.25"/>
    <row r="238" spans="2:41" ht="15" thickBot="1" x14ac:dyDescent="0.3"/>
    <row r="239" spans="2:41" ht="15.6" thickTop="1" thickBot="1" x14ac:dyDescent="0.3">
      <c r="AK239" s="42">
        <f>IF(AI242=0,0,K536)</f>
        <v>0</v>
      </c>
    </row>
    <row r="240" spans="2:41" ht="15" thickTop="1" x14ac:dyDescent="0.25"/>
    <row r="241" spans="2:41" ht="15" thickBot="1" x14ac:dyDescent="0.3"/>
    <row r="242" spans="2:41" ht="15.6" thickTop="1" thickBot="1" x14ac:dyDescent="0.3">
      <c r="AI242" s="60">
        <v>0</v>
      </c>
    </row>
    <row r="243" spans="2:41" ht="15.6" thickTop="1" thickBot="1" x14ac:dyDescent="0.3">
      <c r="B243" s="42" t="str">
        <f>IF(OR('Power Mode Control'!M25="STOP1",'Power Mode Control'!M25="STOP2",'Power Mode Control'!M25="Run",'Power Mode Control'!M25="HSRUN"),"LVD and LVR Active","Only LVR Active")</f>
        <v>LVD and LVR Active</v>
      </c>
    </row>
    <row r="244" spans="2:41" ht="15.6" thickTop="1" thickBot="1" x14ac:dyDescent="0.3">
      <c r="AF244" s="42">
        <f>Tree!E58</f>
        <v>0.13075000000000001</v>
      </c>
      <c r="AO244" s="42">
        <f>IF(AM246=0,AK239,AF244)</f>
        <v>0</v>
      </c>
    </row>
    <row r="245" spans="2:41" ht="15.6" thickTop="1" thickBot="1" x14ac:dyDescent="0.3"/>
    <row r="246" spans="2:41" ht="15.6" thickTop="1" thickBot="1" x14ac:dyDescent="0.3">
      <c r="AM246" s="60">
        <v>0</v>
      </c>
    </row>
    <row r="247" spans="2:41" ht="15" thickTop="1" x14ac:dyDescent="0.25"/>
    <row r="248" spans="2:41" ht="15" thickBot="1" x14ac:dyDescent="0.3"/>
    <row r="249" spans="2:41" ht="15.6" thickTop="1" thickBot="1" x14ac:dyDescent="0.3">
      <c r="B249" s="42" t="str">
        <f>"Full Functionality"</f>
        <v>Full Functionality</v>
      </c>
      <c r="AK249" s="42">
        <f>IF(AI252=0,0,K536)</f>
        <v>0</v>
      </c>
    </row>
    <row r="250" spans="2:41" ht="15" thickTop="1" x14ac:dyDescent="0.25"/>
    <row r="251" spans="2:41" ht="15" thickBot="1" x14ac:dyDescent="0.3"/>
    <row r="252" spans="2:41" ht="15.6" thickTop="1" thickBot="1" x14ac:dyDescent="0.3">
      <c r="AI252" s="60">
        <v>0</v>
      </c>
    </row>
    <row r="253" spans="2:41" ht="15.6" thickTop="1" thickBot="1" x14ac:dyDescent="0.3">
      <c r="D253" s="42">
        <f>IF(F254=0,0,K536)</f>
        <v>0</v>
      </c>
    </row>
    <row r="254" spans="2:41" ht="15.6" thickTop="1" thickBot="1" x14ac:dyDescent="0.3">
      <c r="F254" s="60">
        <v>0</v>
      </c>
      <c r="AF254" s="42">
        <f>Tree!E58</f>
        <v>0.13075000000000001</v>
      </c>
      <c r="AO254" s="42">
        <f>IF(AM256=0,AK249,AF254)</f>
        <v>0</v>
      </c>
    </row>
    <row r="255" spans="2:41" ht="15.6" thickTop="1" thickBot="1" x14ac:dyDescent="0.3"/>
    <row r="256" spans="2:41" ht="15.6" thickTop="1" thickBot="1" x14ac:dyDescent="0.3">
      <c r="AM256" s="60">
        <v>0</v>
      </c>
    </row>
    <row r="257" spans="4:37" ht="15" thickTop="1" x14ac:dyDescent="0.25"/>
    <row r="259" spans="4:37" ht="15" thickBot="1" x14ac:dyDescent="0.3"/>
    <row r="260" spans="4:37" ht="15.6" thickTop="1" thickBot="1" x14ac:dyDescent="0.3">
      <c r="D260" s="42">
        <f>IF(F263=0,0,IF(F263=1,AC536,IF(F263=2,Y536,IF(F263=3,U536,IF(F263=6,Q536,0)))))</f>
        <v>0</v>
      </c>
    </row>
    <row r="261" spans="4:37" ht="15.6" thickTop="1" thickBot="1" x14ac:dyDescent="0.3"/>
    <row r="262" spans="4:37" ht="15.6" thickTop="1" thickBot="1" x14ac:dyDescent="0.3">
      <c r="AK262" s="42">
        <f>IF(AI265=0,0,M536)</f>
        <v>0</v>
      </c>
    </row>
    <row r="263" spans="4:37" ht="15.6" thickTop="1" thickBot="1" x14ac:dyDescent="0.3">
      <c r="F263" s="60">
        <v>0</v>
      </c>
    </row>
    <row r="264" spans="4:37" ht="15.6" thickTop="1" thickBot="1" x14ac:dyDescent="0.3"/>
    <row r="265" spans="4:37" ht="15.6" thickTop="1" thickBot="1" x14ac:dyDescent="0.3">
      <c r="AI265" s="60">
        <v>0</v>
      </c>
    </row>
    <row r="266" spans="4:37" ht="15" thickTop="1" x14ac:dyDescent="0.25"/>
    <row r="271" spans="4:37" ht="15" thickBot="1" x14ac:dyDescent="0.3"/>
    <row r="272" spans="4:37" ht="15.6" thickTop="1" thickBot="1" x14ac:dyDescent="0.3">
      <c r="D272" s="42">
        <f>IF(F274=0,0,K536)</f>
        <v>0</v>
      </c>
    </row>
    <row r="273" spans="4:40" ht="15.6" thickTop="1" thickBot="1" x14ac:dyDescent="0.3">
      <c r="AN273" s="42">
        <f>IF(AL276=0,AC536,M536)</f>
        <v>112</v>
      </c>
    </row>
    <row r="274" spans="4:40" ht="15.6" thickTop="1" thickBot="1" x14ac:dyDescent="0.3">
      <c r="F274" s="60">
        <v>0</v>
      </c>
    </row>
    <row r="275" spans="4:40" ht="15.6" thickTop="1" thickBot="1" x14ac:dyDescent="0.3"/>
    <row r="276" spans="4:40" ht="15.6" thickTop="1" thickBot="1" x14ac:dyDescent="0.3">
      <c r="AI276" s="7">
        <v>0</v>
      </c>
      <c r="AL276" s="60">
        <v>1</v>
      </c>
    </row>
    <row r="277" spans="4:40" ht="15.6" thickTop="1" thickBot="1" x14ac:dyDescent="0.3"/>
    <row r="278" spans="4:40" ht="15.6" thickTop="1" thickBot="1" x14ac:dyDescent="0.3">
      <c r="D278" s="42">
        <f>IF(F282=0,0,IF(F282=1,AC536,IF(F282=2,Y536,IF(F282=3,U536,IF(F282=6,Q536,0)))))</f>
        <v>0</v>
      </c>
    </row>
    <row r="279" spans="4:40" ht="15.6" thickTop="1" thickBot="1" x14ac:dyDescent="0.3">
      <c r="AK279" s="42">
        <f>IF(AI282=0,0,M536)</f>
        <v>0</v>
      </c>
    </row>
    <row r="280" spans="4:40" ht="15" thickTop="1" x14ac:dyDescent="0.25"/>
    <row r="281" spans="4:40" ht="15" thickBot="1" x14ac:dyDescent="0.3"/>
    <row r="282" spans="4:40" ht="15.6" thickTop="1" thickBot="1" x14ac:dyDescent="0.3">
      <c r="F282" s="60">
        <v>0</v>
      </c>
      <c r="AI282" s="60">
        <v>0</v>
      </c>
    </row>
    <row r="283" spans="4:40" ht="15" thickTop="1" x14ac:dyDescent="0.25"/>
    <row r="289" spans="2:40" ht="15" thickBot="1" x14ac:dyDescent="0.3"/>
    <row r="290" spans="2:40" ht="15.6" thickTop="1" thickBot="1" x14ac:dyDescent="0.3">
      <c r="AN290" s="42">
        <f>IF(AL293=0,AC536,M536)</f>
        <v>0</v>
      </c>
    </row>
    <row r="291" spans="2:40" ht="15" thickTop="1" x14ac:dyDescent="0.25"/>
    <row r="292" spans="2:40" ht="15" thickBot="1" x14ac:dyDescent="0.3"/>
    <row r="293" spans="2:40" ht="15.6" thickTop="1" thickBot="1" x14ac:dyDescent="0.3">
      <c r="D293" s="42">
        <f>IF(F294=0,0,K536)</f>
        <v>0</v>
      </c>
      <c r="AL293" s="60">
        <v>0</v>
      </c>
    </row>
    <row r="294" spans="2:40" ht="15.6" thickTop="1" thickBot="1" x14ac:dyDescent="0.3">
      <c r="F294" s="60">
        <v>0</v>
      </c>
    </row>
    <row r="295" spans="2:40" ht="15" thickTop="1" x14ac:dyDescent="0.25"/>
    <row r="298" spans="2:40" ht="15" thickBot="1" x14ac:dyDescent="0.3"/>
    <row r="299" spans="2:40" ht="15.6" thickTop="1" thickBot="1" x14ac:dyDescent="0.3">
      <c r="D299" s="42">
        <f>IF(F302=0,0,IF(F302=1,AC536,IF(F302=2,Y536,IF(F302=3,U536,IF(F302=6,Q536,0)))))</f>
        <v>0</v>
      </c>
    </row>
    <row r="300" spans="2:40" ht="15.6" thickTop="1" thickBot="1" x14ac:dyDescent="0.3"/>
    <row r="301" spans="2:40" ht="15.6" thickTop="1" thickBot="1" x14ac:dyDescent="0.3">
      <c r="AL301" s="42">
        <f>IF(AI302=0,0,K536)</f>
        <v>0</v>
      </c>
    </row>
    <row r="302" spans="2:40" ht="15.6" thickTop="1" thickBot="1" x14ac:dyDescent="0.3">
      <c r="B302" s="7">
        <v>0</v>
      </c>
      <c r="F302" s="60">
        <v>6</v>
      </c>
      <c r="AI302" s="60">
        <v>0</v>
      </c>
    </row>
    <row r="303" spans="2:40" ht="15" thickTop="1" x14ac:dyDescent="0.25"/>
    <row r="306" spans="4:41" ht="15" thickBot="1" x14ac:dyDescent="0.3"/>
    <row r="307" spans="4:41" ht="15.6" thickTop="1" thickBot="1" x14ac:dyDescent="0.3">
      <c r="AG307" s="42">
        <f>IF(AE310=0,0,IF(AE310=1,AC536,IF(AE310=2,Y536,IF(AE310=3,U536,IF(AE310=6,Q536,0)))))</f>
        <v>0</v>
      </c>
      <c r="AK307" s="42">
        <f>IF(AI310=0,AG307,0)</f>
        <v>0</v>
      </c>
      <c r="AO307" s="42">
        <f>AK307/POWER(2,AM310)</f>
        <v>0</v>
      </c>
    </row>
    <row r="308" spans="4:41" ht="15" thickTop="1" x14ac:dyDescent="0.25"/>
    <row r="309" spans="4:41" ht="15" thickBot="1" x14ac:dyDescent="0.3"/>
    <row r="310" spans="4:41" ht="15.6" thickTop="1" thickBot="1" x14ac:dyDescent="0.3">
      <c r="AE310" s="60">
        <v>0</v>
      </c>
      <c r="AI310" s="60">
        <v>0</v>
      </c>
      <c r="AM310" s="60">
        <v>0</v>
      </c>
    </row>
    <row r="311" spans="4:41" ht="15" thickTop="1" x14ac:dyDescent="0.25"/>
    <row r="314" spans="4:41" ht="15" thickBot="1" x14ac:dyDescent="0.3"/>
    <row r="315" spans="4:41" ht="15.6" thickTop="1" thickBot="1" x14ac:dyDescent="0.3">
      <c r="D315" s="42">
        <f>IF(F316=0,0,K536)</f>
        <v>0</v>
      </c>
    </row>
    <row r="316" spans="4:41" ht="15.6" thickTop="1" thickBot="1" x14ac:dyDescent="0.3">
      <c r="F316" s="60">
        <v>0</v>
      </c>
    </row>
    <row r="317" spans="4:41" ht="15" thickTop="1" x14ac:dyDescent="0.25"/>
    <row r="318" spans="4:41" ht="15" thickBot="1" x14ac:dyDescent="0.3"/>
    <row r="319" spans="4:41" ht="15.6" thickTop="1" thickBot="1" x14ac:dyDescent="0.3">
      <c r="AL319" s="42">
        <f>IF(AI322=0,0,M536)</f>
        <v>0</v>
      </c>
    </row>
    <row r="320" spans="4:41" ht="15" thickTop="1" x14ac:dyDescent="0.25"/>
    <row r="321" spans="4:49" ht="15" thickBot="1" x14ac:dyDescent="0.3"/>
    <row r="322" spans="4:49" ht="15.6" thickTop="1" thickBot="1" x14ac:dyDescent="0.3">
      <c r="D322" s="42">
        <f>IF(F325=0,0,IF(F325=1,AC536,IF(F325=2,Y536,IF(F325=3,U536,IF(F325=6,Q536,0)))))</f>
        <v>0</v>
      </c>
      <c r="AI322" s="60">
        <v>0</v>
      </c>
    </row>
    <row r="323" spans="4:49" ht="15" thickTop="1" x14ac:dyDescent="0.25"/>
    <row r="324" spans="4:49" ht="15" thickBot="1" x14ac:dyDescent="0.3"/>
    <row r="325" spans="4:49" ht="15.6" thickTop="1" thickBot="1" x14ac:dyDescent="0.3">
      <c r="F325" s="60">
        <v>0</v>
      </c>
    </row>
    <row r="326" spans="4:49" ht="15.6" thickTop="1" thickBot="1" x14ac:dyDescent="0.3">
      <c r="AE326" s="42">
        <f>$AE$173</f>
        <v>0</v>
      </c>
      <c r="AL326" s="42">
        <f>Tree!AR174</f>
        <v>0</v>
      </c>
      <c r="AS326" s="42">
        <f>IF(AQ329=0,0,IF(AQ329=1,AL319,IF(AQ329=2,AL326,IF(AQ329=3,AN335,0))))</f>
        <v>0</v>
      </c>
      <c r="AW326" s="42">
        <f>AS326/POWER(2,AU329)</f>
        <v>0</v>
      </c>
    </row>
    <row r="327" spans="4:49" ht="15.6" thickTop="1" thickBot="1" x14ac:dyDescent="0.3">
      <c r="AE327" s="42">
        <f>$AE$174</f>
        <v>0</v>
      </c>
    </row>
    <row r="328" spans="4:49" ht="15.6" thickTop="1" thickBot="1" x14ac:dyDescent="0.3">
      <c r="AE328" s="42">
        <f>$AE$175</f>
        <v>0</v>
      </c>
    </row>
    <row r="329" spans="4:49" ht="15.6" thickTop="1" thickBot="1" x14ac:dyDescent="0.3">
      <c r="AQ329" s="60">
        <v>0</v>
      </c>
      <c r="AU329" s="60">
        <v>0</v>
      </c>
    </row>
    <row r="330" spans="4:49" ht="15.6" thickTop="1" thickBot="1" x14ac:dyDescent="0.3">
      <c r="AG330" s="60">
        <v>0</v>
      </c>
    </row>
    <row r="331" spans="4:49" ht="15.6" thickTop="1" thickBot="1" x14ac:dyDescent="0.3"/>
    <row r="332" spans="4:49" ht="15.6" thickTop="1" thickBot="1" x14ac:dyDescent="0.3">
      <c r="AI332" s="42">
        <f>IF(AG330=0,AE326,IF(AG330=1,AE327,IF(AG330=2,AE328,0)))</f>
        <v>0</v>
      </c>
    </row>
    <row r="333" spans="4:49" ht="15" thickTop="1" x14ac:dyDescent="0.25"/>
    <row r="334" spans="4:49" ht="15" thickBot="1" x14ac:dyDescent="0.3"/>
    <row r="335" spans="4:49" ht="15.6" thickTop="1" thickBot="1" x14ac:dyDescent="0.3">
      <c r="E335" s="60">
        <v>0</v>
      </c>
      <c r="AN335" s="42">
        <f>IF(AL339=0,AI332,IF(AL339=1,AA536,IF(AL339=2,W536,IF(AL339=3,S536,IF(AL339=6,O536,0)))))</f>
        <v>0</v>
      </c>
    </row>
    <row r="336" spans="4:49" ht="15.6" thickTop="1" thickBot="1" x14ac:dyDescent="0.3">
      <c r="H336" s="60">
        <v>0</v>
      </c>
      <c r="J336" s="60">
        <v>0</v>
      </c>
    </row>
    <row r="337" spans="5:41" ht="15" thickTop="1" x14ac:dyDescent="0.25"/>
    <row r="338" spans="5:41" ht="15" thickBot="1" x14ac:dyDescent="0.3"/>
    <row r="339" spans="5:41" ht="15.6" thickTop="1" thickBot="1" x14ac:dyDescent="0.3">
      <c r="AL339" s="60">
        <v>0</v>
      </c>
    </row>
    <row r="340" spans="5:41" ht="15" thickTop="1" x14ac:dyDescent="0.25"/>
    <row r="344" spans="5:41" ht="15" thickBot="1" x14ac:dyDescent="0.3"/>
    <row r="345" spans="5:41" ht="15.6" thickTop="1" thickBot="1" x14ac:dyDescent="0.3">
      <c r="AO345" s="42">
        <f>IF(AI348=0,0,M536)</f>
        <v>0</v>
      </c>
    </row>
    <row r="346" spans="5:41" ht="15" thickTop="1" x14ac:dyDescent="0.25"/>
    <row r="347" spans="5:41" ht="15" thickBot="1" x14ac:dyDescent="0.3"/>
    <row r="348" spans="5:41" ht="15.6" thickTop="1" thickBot="1" x14ac:dyDescent="0.3">
      <c r="E348" s="60">
        <v>0</v>
      </c>
      <c r="AI348" s="60">
        <v>0</v>
      </c>
    </row>
    <row r="349" spans="5:41" ht="15" thickTop="1" x14ac:dyDescent="0.25"/>
    <row r="351" spans="5:41" ht="15" thickBot="1" x14ac:dyDescent="0.3"/>
    <row r="352" spans="5:41" ht="15.6" thickTop="1" thickBot="1" x14ac:dyDescent="0.3">
      <c r="AL352" s="42">
        <f>Tree!AR174</f>
        <v>0</v>
      </c>
    </row>
    <row r="353" spans="5:49" ht="15.6" thickTop="1" thickBot="1" x14ac:dyDescent="0.3">
      <c r="AE353" s="42">
        <f>AE173</f>
        <v>0</v>
      </c>
      <c r="AS353" s="42">
        <f>IF(AQ356=0,0,IF(AQ356=1,AO345,IF(AQ356=2,AL352,IF(AQ356=3,AN362,0))))</f>
        <v>0</v>
      </c>
      <c r="AW353" s="42">
        <f>AS353/POWER(2,AU356)</f>
        <v>0</v>
      </c>
    </row>
    <row r="354" spans="5:49" ht="15.6" thickTop="1" thickBot="1" x14ac:dyDescent="0.3">
      <c r="AE354" s="42">
        <f t="shared" ref="AE354:AE355" si="0">AE174</f>
        <v>0</v>
      </c>
    </row>
    <row r="355" spans="5:49" ht="15.6" thickTop="1" thickBot="1" x14ac:dyDescent="0.3">
      <c r="AE355" s="42">
        <f t="shared" si="0"/>
        <v>0</v>
      </c>
    </row>
    <row r="356" spans="5:49" ht="15.6" thickTop="1" thickBot="1" x14ac:dyDescent="0.3">
      <c r="AQ356" s="60">
        <v>0</v>
      </c>
      <c r="AU356" s="60">
        <v>0</v>
      </c>
    </row>
    <row r="357" spans="5:49" ht="15.6" thickTop="1" thickBot="1" x14ac:dyDescent="0.3">
      <c r="AG357" s="60">
        <v>0</v>
      </c>
    </row>
    <row r="358" spans="5:49" ht="15.6" thickTop="1" thickBot="1" x14ac:dyDescent="0.3"/>
    <row r="359" spans="5:49" ht="15.6" thickTop="1" thickBot="1" x14ac:dyDescent="0.3">
      <c r="E359" s="35"/>
      <c r="AI359" s="42">
        <f>IF(AG357=0,AE353,IF(AG357=1,AE354,IF(AG357=2,AE355,0)))</f>
        <v>0</v>
      </c>
    </row>
    <row r="360" spans="5:49" ht="15" thickTop="1" x14ac:dyDescent="0.25"/>
    <row r="361" spans="5:49" ht="15" thickBot="1" x14ac:dyDescent="0.3"/>
    <row r="362" spans="5:49" ht="15.6" thickTop="1" thickBot="1" x14ac:dyDescent="0.3">
      <c r="E362" s="60">
        <v>2.5</v>
      </c>
      <c r="AN362" s="42">
        <f>IF(AL366=0,AI359,IF(AL366=1,AA536,IF(AL366=2,W536,IF(AL366=3,S536,IF(AL366=6,O536,0)))))</f>
        <v>0</v>
      </c>
    </row>
    <row r="363" spans="5:49" ht="15" thickTop="1" x14ac:dyDescent="0.25"/>
    <row r="365" spans="5:49" ht="15" thickBot="1" x14ac:dyDescent="0.3"/>
    <row r="366" spans="5:49" ht="15.6" thickTop="1" thickBot="1" x14ac:dyDescent="0.3">
      <c r="AL366" s="60">
        <v>0</v>
      </c>
    </row>
    <row r="367" spans="5:49" ht="15" thickTop="1" x14ac:dyDescent="0.25"/>
    <row r="370" spans="5:49" ht="15" thickBot="1" x14ac:dyDescent="0.3"/>
    <row r="371" spans="5:49" ht="15.6" thickTop="1" thickBot="1" x14ac:dyDescent="0.3">
      <c r="E371" s="60">
        <v>2.5</v>
      </c>
    </row>
    <row r="372" spans="5:49" ht="15" thickTop="1" x14ac:dyDescent="0.25"/>
    <row r="373" spans="5:49" ht="15" thickBot="1" x14ac:dyDescent="0.3"/>
    <row r="374" spans="5:49" ht="15.6" thickTop="1" thickBot="1" x14ac:dyDescent="0.3">
      <c r="AO374" s="42">
        <f>IF(AI377=0,0,M536)</f>
        <v>0</v>
      </c>
    </row>
    <row r="375" spans="5:49" ht="15" thickTop="1" x14ac:dyDescent="0.25"/>
    <row r="376" spans="5:49" ht="15" thickBot="1" x14ac:dyDescent="0.3"/>
    <row r="377" spans="5:49" ht="15.6" thickTop="1" thickBot="1" x14ac:dyDescent="0.3">
      <c r="AI377" s="60">
        <v>0</v>
      </c>
    </row>
    <row r="378" spans="5:49" ht="15" thickTop="1" x14ac:dyDescent="0.25"/>
    <row r="379" spans="5:49" ht="15" thickBot="1" x14ac:dyDescent="0.3"/>
    <row r="380" spans="5:49" ht="15.6" thickTop="1" thickBot="1" x14ac:dyDescent="0.3">
      <c r="AS380" s="42">
        <f>IF(AQ384=0,0,IF(AQ384=1,AO374,IF(AQ384=2,AL381,IF(AQ384=3,AN391,0))))</f>
        <v>0</v>
      </c>
    </row>
    <row r="381" spans="5:49" ht="15.6" thickTop="1" thickBot="1" x14ac:dyDescent="0.3">
      <c r="AL381" s="42">
        <f>Tree!AR174</f>
        <v>0</v>
      </c>
      <c r="AW381" s="42">
        <f>AS380/POWER(2,AU384)</f>
        <v>0</v>
      </c>
    </row>
    <row r="382" spans="5:49" ht="15.6" thickTop="1" thickBot="1" x14ac:dyDescent="0.3">
      <c r="AE382" s="42">
        <f>AE173</f>
        <v>0</v>
      </c>
    </row>
    <row r="383" spans="5:49" ht="15.6" thickTop="1" thickBot="1" x14ac:dyDescent="0.3">
      <c r="AE383" s="42">
        <f t="shared" ref="AE383:AE384" si="1">AE174</f>
        <v>0</v>
      </c>
    </row>
    <row r="384" spans="5:49" ht="15.6" thickTop="1" thickBot="1" x14ac:dyDescent="0.3">
      <c r="AE384" s="42">
        <f t="shared" si="1"/>
        <v>0</v>
      </c>
      <c r="AQ384" s="60">
        <v>0</v>
      </c>
      <c r="AU384" s="60">
        <v>0</v>
      </c>
    </row>
    <row r="385" spans="33:40" ht="15.6" thickTop="1" thickBot="1" x14ac:dyDescent="0.3"/>
    <row r="386" spans="33:40" ht="15.6" thickTop="1" thickBot="1" x14ac:dyDescent="0.3">
      <c r="AG386" s="60">
        <v>0</v>
      </c>
    </row>
    <row r="387" spans="33:40" ht="15" thickTop="1" x14ac:dyDescent="0.25"/>
    <row r="388" spans="33:40" ht="15" thickBot="1" x14ac:dyDescent="0.3"/>
    <row r="389" spans="33:40" ht="15.6" thickTop="1" thickBot="1" x14ac:dyDescent="0.3">
      <c r="AI389" s="42">
        <f>IF(AG386=0,AE382,IF(AG386=1,AE383,IF(AG386=2,AE384,0)))</f>
        <v>0</v>
      </c>
    </row>
    <row r="390" spans="33:40" ht="15.6" thickTop="1" thickBot="1" x14ac:dyDescent="0.3"/>
    <row r="391" spans="33:40" ht="15.6" thickTop="1" thickBot="1" x14ac:dyDescent="0.3">
      <c r="AN391" s="42">
        <f>IF(AL397=0,AI389,IF(AL397=1,AA536,IF(AL397=2,W536,IF(AL397=3,S536,IF(AL397=6,O536,0)))))</f>
        <v>0</v>
      </c>
    </row>
    <row r="392" spans="33:40" ht="15" thickTop="1" x14ac:dyDescent="0.25"/>
    <row r="396" spans="33:40" ht="15" thickBot="1" x14ac:dyDescent="0.3"/>
    <row r="397" spans="33:40" ht="15.6" thickTop="1" thickBot="1" x14ac:dyDescent="0.3">
      <c r="AL397" s="60">
        <v>0</v>
      </c>
    </row>
    <row r="398" spans="33:40" ht="15" thickTop="1" x14ac:dyDescent="0.25"/>
    <row r="403" spans="31:49" ht="15" thickBot="1" x14ac:dyDescent="0.3"/>
    <row r="404" spans="31:49" ht="15.6" thickTop="1" thickBot="1" x14ac:dyDescent="0.3">
      <c r="AO404" s="42">
        <f>IF(AI407=0,0,M536)</f>
        <v>0</v>
      </c>
    </row>
    <row r="405" spans="31:49" ht="15" thickTop="1" x14ac:dyDescent="0.25"/>
    <row r="406" spans="31:49" ht="15" thickBot="1" x14ac:dyDescent="0.3"/>
    <row r="407" spans="31:49" ht="15.6" thickTop="1" thickBot="1" x14ac:dyDescent="0.3">
      <c r="AI407" s="60">
        <v>0</v>
      </c>
    </row>
    <row r="408" spans="31:49" ht="15" thickTop="1" x14ac:dyDescent="0.25"/>
    <row r="410" spans="31:49" ht="15" thickBot="1" x14ac:dyDescent="0.3"/>
    <row r="411" spans="31:49" ht="15.6" thickTop="1" thickBot="1" x14ac:dyDescent="0.3">
      <c r="AL411" s="42">
        <f>Tree!AR174</f>
        <v>0</v>
      </c>
      <c r="AS411" s="42">
        <f>IF(AQ415=0,0,IF(AQ415=1,AO404,IF(AQ415=2,AL411,IF(AQ415=3,AN422,0))))</f>
        <v>0</v>
      </c>
    </row>
    <row r="412" spans="31:49" ht="15.6" thickTop="1" thickBot="1" x14ac:dyDescent="0.3">
      <c r="AE412" s="42">
        <f>AE173</f>
        <v>0</v>
      </c>
      <c r="AW412" s="42">
        <f>AS411/POWER(2,AU415)</f>
        <v>0</v>
      </c>
    </row>
    <row r="413" spans="31:49" ht="15.6" thickTop="1" thickBot="1" x14ac:dyDescent="0.3">
      <c r="AE413" s="42">
        <f t="shared" ref="AE413:AE414" si="2">AE174</f>
        <v>0</v>
      </c>
    </row>
    <row r="414" spans="31:49" ht="15.6" thickTop="1" thickBot="1" x14ac:dyDescent="0.3">
      <c r="AE414" s="42">
        <f t="shared" si="2"/>
        <v>0</v>
      </c>
    </row>
    <row r="415" spans="31:49" ht="15.6" thickTop="1" thickBot="1" x14ac:dyDescent="0.3">
      <c r="AQ415" s="60">
        <v>0</v>
      </c>
      <c r="AU415" s="60">
        <v>0</v>
      </c>
    </row>
    <row r="416" spans="31:49" ht="15.6" thickTop="1" thickBot="1" x14ac:dyDescent="0.3"/>
    <row r="417" spans="33:40" ht="15.6" thickTop="1" thickBot="1" x14ac:dyDescent="0.3">
      <c r="AG417" s="60">
        <v>0</v>
      </c>
    </row>
    <row r="418" spans="33:40" ht="15" thickTop="1" x14ac:dyDescent="0.25"/>
    <row r="419" spans="33:40" ht="15" thickBot="1" x14ac:dyDescent="0.3"/>
    <row r="420" spans="33:40" ht="15.6" thickTop="1" thickBot="1" x14ac:dyDescent="0.3">
      <c r="AI420" s="42">
        <f>IF(AG417=0,AE412,IF(AG417=1,AE413,IF(AG417=2,AE414,0)))</f>
        <v>0</v>
      </c>
    </row>
    <row r="421" spans="33:40" ht="15.6" thickTop="1" thickBot="1" x14ac:dyDescent="0.3"/>
    <row r="422" spans="33:40" ht="15.6" thickTop="1" thickBot="1" x14ac:dyDescent="0.3">
      <c r="AN422" s="42">
        <f>IF(AL428=0,AI420,IF(AL428=1,AA536,IF(AL428=2,W536,IF(AL428=3,S536,IF(AL428=6,O536,0)))))</f>
        <v>0</v>
      </c>
    </row>
    <row r="423" spans="33:40" ht="15" thickTop="1" x14ac:dyDescent="0.25"/>
    <row r="427" spans="33:40" ht="15" thickBot="1" x14ac:dyDescent="0.3"/>
    <row r="428" spans="33:40" ht="15.6" thickTop="1" thickBot="1" x14ac:dyDescent="0.3">
      <c r="AL428" s="60">
        <v>0</v>
      </c>
    </row>
    <row r="429" spans="33:40" ht="15" thickTop="1" x14ac:dyDescent="0.25"/>
    <row r="433" spans="31:49" ht="15" thickBot="1" x14ac:dyDescent="0.3"/>
    <row r="434" spans="31:49" ht="15.6" thickTop="1" thickBot="1" x14ac:dyDescent="0.3">
      <c r="AO434" s="42">
        <f>IF(AI437=0,0,M536)</f>
        <v>0</v>
      </c>
    </row>
    <row r="435" spans="31:49" ht="15" thickTop="1" x14ac:dyDescent="0.25"/>
    <row r="436" spans="31:49" ht="15" thickBot="1" x14ac:dyDescent="0.3"/>
    <row r="437" spans="31:49" ht="15.6" thickTop="1" thickBot="1" x14ac:dyDescent="0.3">
      <c r="AI437" s="60">
        <v>0</v>
      </c>
    </row>
    <row r="438" spans="31:49" ht="15" thickTop="1" x14ac:dyDescent="0.25"/>
    <row r="440" spans="31:49" ht="15" thickBot="1" x14ac:dyDescent="0.3"/>
    <row r="441" spans="31:49" ht="15.6" thickTop="1" thickBot="1" x14ac:dyDescent="0.3">
      <c r="AL441" s="42">
        <f>Tree!AR174</f>
        <v>0</v>
      </c>
      <c r="AS441" s="42">
        <f>IF(AQ445=0,0,IF(AQ445=1,AO434,IF(AQ445=2,AL441,IF(AQ445=3,AN453,0))))</f>
        <v>0</v>
      </c>
    </row>
    <row r="442" spans="31:49" ht="15.6" thickTop="1" thickBot="1" x14ac:dyDescent="0.3">
      <c r="AE442" s="42">
        <f>AE173</f>
        <v>0</v>
      </c>
      <c r="AW442" s="42">
        <f>AS441/POWER(2,AU445)</f>
        <v>0</v>
      </c>
    </row>
    <row r="443" spans="31:49" ht="15.6" thickTop="1" thickBot="1" x14ac:dyDescent="0.3">
      <c r="AE443" s="42">
        <f t="shared" ref="AE443:AE444" si="3">AE174</f>
        <v>0</v>
      </c>
    </row>
    <row r="444" spans="31:49" ht="15.6" thickTop="1" thickBot="1" x14ac:dyDescent="0.3">
      <c r="AE444" s="42">
        <f t="shared" si="3"/>
        <v>0</v>
      </c>
    </row>
    <row r="445" spans="31:49" ht="15.6" thickTop="1" thickBot="1" x14ac:dyDescent="0.3">
      <c r="AQ445" s="60">
        <v>0</v>
      </c>
      <c r="AU445" s="60">
        <v>0</v>
      </c>
    </row>
    <row r="446" spans="31:49" ht="15.6" thickTop="1" thickBot="1" x14ac:dyDescent="0.3"/>
    <row r="447" spans="31:49" ht="15.6" thickTop="1" thickBot="1" x14ac:dyDescent="0.3">
      <c r="AG447" s="60">
        <v>0</v>
      </c>
    </row>
    <row r="448" spans="31:49" ht="15" thickTop="1" x14ac:dyDescent="0.25"/>
    <row r="450" spans="35:40" ht="15" thickBot="1" x14ac:dyDescent="0.3"/>
    <row r="451" spans="35:40" ht="15.6" thickTop="1" thickBot="1" x14ac:dyDescent="0.3">
      <c r="AI451" s="42"/>
    </row>
    <row r="452" spans="35:40" ht="15.6" thickTop="1" thickBot="1" x14ac:dyDescent="0.3"/>
    <row r="453" spans="35:40" ht="15.6" thickTop="1" thickBot="1" x14ac:dyDescent="0.3">
      <c r="AN453" s="42">
        <f>IF(AL460=0,AI451,IF(AL460=1,AA536,IF(AL460=2,W536,IF(AL460=3,S536,IF(AL460=6,O536,0)))))</f>
        <v>0</v>
      </c>
    </row>
    <row r="454" spans="35:40" ht="15" thickTop="1" x14ac:dyDescent="0.25"/>
    <row r="459" spans="35:40" ht="15" thickBot="1" x14ac:dyDescent="0.3"/>
    <row r="460" spans="35:40" ht="15.6" thickTop="1" thickBot="1" x14ac:dyDescent="0.3">
      <c r="AL460" s="60">
        <v>0</v>
      </c>
    </row>
    <row r="461" spans="35:40" ht="15" thickTop="1" x14ac:dyDescent="0.25"/>
    <row r="465" spans="31:49" ht="15" thickBot="1" x14ac:dyDescent="0.3"/>
    <row r="466" spans="31:49" ht="15.6" thickTop="1" thickBot="1" x14ac:dyDescent="0.3">
      <c r="AO466" s="42">
        <f>IF(AI469=0,0,M536)</f>
        <v>0</v>
      </c>
    </row>
    <row r="467" spans="31:49" ht="15" thickTop="1" x14ac:dyDescent="0.25"/>
    <row r="468" spans="31:49" ht="15" thickBot="1" x14ac:dyDescent="0.3"/>
    <row r="469" spans="31:49" ht="15.6" thickTop="1" thickBot="1" x14ac:dyDescent="0.3">
      <c r="AI469" s="60">
        <v>0</v>
      </c>
    </row>
    <row r="470" spans="31:49" ht="15" thickTop="1" x14ac:dyDescent="0.25"/>
    <row r="472" spans="31:49" ht="15" thickBot="1" x14ac:dyDescent="0.3"/>
    <row r="473" spans="31:49" ht="15.6" thickTop="1" thickBot="1" x14ac:dyDescent="0.3">
      <c r="AS473" s="42">
        <f>IF(AQ478=0,0,IF(AQ478=1,AO466,IF(AQ478=2,AL474,IF(AQ478=3,AN486,0))))</f>
        <v>0</v>
      </c>
    </row>
    <row r="474" spans="31:49" ht="15.6" thickTop="1" thickBot="1" x14ac:dyDescent="0.3">
      <c r="AL474" s="42">
        <f>Tree!AR174</f>
        <v>0</v>
      </c>
      <c r="AW474" s="42">
        <f>AS473/POWER(2,AU478)</f>
        <v>0</v>
      </c>
    </row>
    <row r="475" spans="31:49" ht="15.6" thickTop="1" thickBot="1" x14ac:dyDescent="0.3">
      <c r="AE475" s="42">
        <f>AE173</f>
        <v>0</v>
      </c>
    </row>
    <row r="476" spans="31:49" ht="15.6" thickTop="1" thickBot="1" x14ac:dyDescent="0.3">
      <c r="AE476" s="42">
        <f t="shared" ref="AE476:AE477" si="4">AE174</f>
        <v>0</v>
      </c>
    </row>
    <row r="477" spans="31:49" ht="15.6" thickTop="1" thickBot="1" x14ac:dyDescent="0.3">
      <c r="AE477" s="42">
        <f t="shared" si="4"/>
        <v>0</v>
      </c>
    </row>
    <row r="478" spans="31:49" ht="15.6" thickTop="1" thickBot="1" x14ac:dyDescent="0.3">
      <c r="AQ478" s="60">
        <v>0</v>
      </c>
      <c r="AU478" s="60">
        <v>0</v>
      </c>
    </row>
    <row r="479" spans="31:49" ht="15.6" thickTop="1" thickBot="1" x14ac:dyDescent="0.3"/>
    <row r="480" spans="31:49" ht="15.6" thickTop="1" thickBot="1" x14ac:dyDescent="0.3">
      <c r="AG480" s="60">
        <v>0</v>
      </c>
    </row>
    <row r="481" spans="35:40" ht="15" thickTop="1" x14ac:dyDescent="0.25"/>
    <row r="483" spans="35:40" ht="15" thickBot="1" x14ac:dyDescent="0.3"/>
    <row r="484" spans="35:40" ht="15.6" thickTop="1" thickBot="1" x14ac:dyDescent="0.3">
      <c r="AI484" s="42">
        <f>IF(AG480=0,AE475,IF(AG480=1,AE476,IF(AG480=2,AE477,0)))</f>
        <v>0</v>
      </c>
    </row>
    <row r="485" spans="35:40" ht="15.6" thickTop="1" thickBot="1" x14ac:dyDescent="0.3"/>
    <row r="486" spans="35:40" ht="15.6" thickTop="1" thickBot="1" x14ac:dyDescent="0.3">
      <c r="AN486" s="42">
        <f>IF(AL493=0,AI484,IF(AL493=1,AA536,IF(AL493=2,W536,IF(AL493=3,S536,IF(AL493=6,O536,0)))))</f>
        <v>0</v>
      </c>
    </row>
    <row r="487" spans="35:40" ht="15" thickTop="1" x14ac:dyDescent="0.25"/>
    <row r="492" spans="35:40" ht="15" thickBot="1" x14ac:dyDescent="0.3"/>
    <row r="493" spans="35:40" ht="15.6" thickTop="1" thickBot="1" x14ac:dyDescent="0.3">
      <c r="AL493" s="60">
        <v>0</v>
      </c>
    </row>
    <row r="494" spans="35:40" ht="15" thickTop="1" x14ac:dyDescent="0.25"/>
    <row r="500" spans="31:49" ht="15" thickBot="1" x14ac:dyDescent="0.3"/>
    <row r="501" spans="31:49" ht="15.6" thickTop="1" thickBot="1" x14ac:dyDescent="0.3">
      <c r="AO501" s="42">
        <f>IF(AI505=0,0,M536)</f>
        <v>0</v>
      </c>
    </row>
    <row r="502" spans="31:49" ht="15" thickTop="1" x14ac:dyDescent="0.25"/>
    <row r="504" spans="31:49" ht="15" thickBot="1" x14ac:dyDescent="0.3"/>
    <row r="505" spans="31:49" ht="15.6" thickTop="1" thickBot="1" x14ac:dyDescent="0.3">
      <c r="AI505" s="60">
        <v>0</v>
      </c>
    </row>
    <row r="506" spans="31:49" ht="15" thickTop="1" x14ac:dyDescent="0.25"/>
    <row r="508" spans="31:49" ht="15" thickBot="1" x14ac:dyDescent="0.3"/>
    <row r="509" spans="31:49" ht="15.6" thickTop="1" thickBot="1" x14ac:dyDescent="0.3">
      <c r="AS509" s="42">
        <f>IF(AQ514=0,0,IF(AQ514=1,AO501,IF(AQ514=2,AL510,IF(AQ514=3,AN523,0))))</f>
        <v>0</v>
      </c>
    </row>
    <row r="510" spans="31:49" ht="15.6" thickTop="1" thickBot="1" x14ac:dyDescent="0.3">
      <c r="AL510" s="42">
        <f>Tree!AR174</f>
        <v>0</v>
      </c>
      <c r="AW510" s="42">
        <f>AS509/POWER(2,AU514)</f>
        <v>0</v>
      </c>
    </row>
    <row r="511" spans="31:49" ht="15.6" thickTop="1" thickBot="1" x14ac:dyDescent="0.3">
      <c r="AE511" s="42">
        <f>AE173</f>
        <v>0</v>
      </c>
    </row>
    <row r="512" spans="31:49" ht="15.6" thickTop="1" thickBot="1" x14ac:dyDescent="0.3">
      <c r="AE512" s="42">
        <f t="shared" ref="AE512:AE513" si="5">AE174</f>
        <v>0</v>
      </c>
    </row>
    <row r="513" spans="31:47" ht="15.6" thickTop="1" thickBot="1" x14ac:dyDescent="0.3">
      <c r="AE513" s="42">
        <f t="shared" si="5"/>
        <v>0</v>
      </c>
    </row>
    <row r="514" spans="31:47" ht="15.6" thickTop="1" thickBot="1" x14ac:dyDescent="0.3">
      <c r="AQ514" s="60">
        <v>0</v>
      </c>
      <c r="AU514" s="60">
        <v>0</v>
      </c>
    </row>
    <row r="515" spans="31:47" ht="15" thickTop="1" x14ac:dyDescent="0.25"/>
    <row r="516" spans="31:47" ht="15" thickBot="1" x14ac:dyDescent="0.3"/>
    <row r="517" spans="31:47" ht="15.6" thickTop="1" thickBot="1" x14ac:dyDescent="0.3">
      <c r="AG517" s="60">
        <v>0</v>
      </c>
    </row>
    <row r="518" spans="31:47" ht="15" thickTop="1" x14ac:dyDescent="0.25"/>
    <row r="520" spans="31:47" ht="15" thickBot="1" x14ac:dyDescent="0.3"/>
    <row r="521" spans="31:47" ht="15.6" thickTop="1" thickBot="1" x14ac:dyDescent="0.3">
      <c r="AI521" s="42">
        <f>IF(AG517=0,AE511,IF(AG517=1,AE512,IF(AG517=2,AE513,0)))</f>
        <v>0</v>
      </c>
    </row>
    <row r="522" spans="31:47" ht="15.6" thickTop="1" thickBot="1" x14ac:dyDescent="0.3"/>
    <row r="523" spans="31:47" ht="15.6" thickTop="1" thickBot="1" x14ac:dyDescent="0.3">
      <c r="AN523" s="42">
        <f>IF(AL530=0,AI521,IF(AL530=1,AA536,IF(AL530=2,W536,IF(AL530=3,S536,IF(AL530=6,O536,0)))))</f>
        <v>0</v>
      </c>
    </row>
    <row r="524" spans="31:47" ht="15" thickTop="1" x14ac:dyDescent="0.25"/>
    <row r="529" spans="11:38" ht="15" thickBot="1" x14ac:dyDescent="0.3"/>
    <row r="530" spans="11:38" ht="15.6" thickTop="1" thickBot="1" x14ac:dyDescent="0.3">
      <c r="AL530" s="60">
        <v>0</v>
      </c>
    </row>
    <row r="531" spans="11:38" ht="15" thickTop="1" x14ac:dyDescent="0.25"/>
    <row r="535" spans="11:38" ht="15" thickBot="1" x14ac:dyDescent="0.3"/>
    <row r="536" spans="11:38" ht="15.6" thickTop="1" thickBot="1" x14ac:dyDescent="0.3">
      <c r="K536" s="42">
        <f>K12</f>
        <v>112</v>
      </c>
      <c r="M536" s="42">
        <f>M12</f>
        <v>112</v>
      </c>
      <c r="O536" s="42">
        <f>O12</f>
        <v>0</v>
      </c>
      <c r="Q536" s="42">
        <f>Q12</f>
        <v>0</v>
      </c>
      <c r="S536" s="42">
        <f>S12</f>
        <v>0</v>
      </c>
      <c r="U536" s="42">
        <f>U12</f>
        <v>0</v>
      </c>
      <c r="W536" s="42">
        <f>W12</f>
        <v>0</v>
      </c>
      <c r="Y536" s="42">
        <f>Y12</f>
        <v>0</v>
      </c>
      <c r="AA536" s="42">
        <f>AA12</f>
        <v>0</v>
      </c>
      <c r="AC536" s="42">
        <f>AC12</f>
        <v>0</v>
      </c>
    </row>
    <row r="537" spans="11:38" ht="15" thickTop="1" x14ac:dyDescent="0.25"/>
  </sheetData>
  <dataConsolidate/>
  <phoneticPr fontId="11" type="noConversion"/>
  <conditionalFormatting sqref="D55">
    <cfRule type="expression" dxfId="32" priority="6">
      <formula>IF($F$57=0,$D$55&gt;(2*$D$52),OR($D$55=(2*$D$52),$D$55&lt;(2*$D$52)))</formula>
    </cfRule>
  </conditionalFormatting>
  <conditionalFormatting sqref="AK57">
    <cfRule type="expression" dxfId="31" priority="5">
      <formula>AND($AL$71=0,$AK$57&lt;(1.5*$AN$69))</formula>
    </cfRule>
  </conditionalFormatting>
  <conditionalFormatting sqref="AN69">
    <cfRule type="expression" dxfId="30" priority="4">
      <formula>AND($AL$71=0,$AK$57&lt;(1.5*$AN$69))</formula>
    </cfRule>
  </conditionalFormatting>
  <dataValidations count="52">
    <dataValidation type="list" allowBlank="1" showInputMessage="1" showErrorMessage="1" sqref="F16 F35 I55 F72 F90 AK18 AK25 AK32 AK39 AI50 AM54 AI60 AL71 AI78 AI86 AI94 AI102 AI111 F108 F146 AI146 AI169 BA199 B129 AS196 F196 F254 F274 F294 F316 AG216 AI222 AM226 AI232 AM236 AI242 AM246 AI252 AM256 AI265 AL276 AI282 AL293 AI302 AI322 AI348 AI377 AI407 AI437 AI469 AI505">
      <formula1>"0,1"</formula1>
    </dataValidation>
    <dataValidation type="list" allowBlank="1" showInputMessage="1" showErrorMessage="1" sqref="F24 F43 I62 F79 F97 AE154 AL185 AG199 F204 F263 F282 F302 F325 AE310 AL339 AU329 AL366 AU356 AL397 AU384 AL428 AU415 AL460 AU445 AL493 AU478 AL530 AU514">
      <formula1>"0,1,2,3,4,5,6,7"</formula1>
    </dataValidation>
    <dataValidation allowBlank="1" showInputMessage="1" showErrorMessage="1" promptTitle="FlexIO Peripheral Clock" prompt="FlexIO peripheral clock should not be greater than twice the BIU clock. Unless fast access is enabled by setting FLEXIO_CTRL[FASTACC], in which case peripheral clock must be AT LEAST twice the BIU clock." sqref="D52"/>
    <dataValidation type="list" allowBlank="1" showInputMessage="1" showErrorMessage="1" promptTitle="What is this?" prompt="Fast access allows faster register access by FlexIO. Does not change frequency value, but changes allowed freq. range. When FA off, peripheral clock cannot be more than twice the BIU clock. When FA on periph. clk must be AT LEAST twice BIU clock." sqref="F57">
      <formula1>"0,1"</formula1>
    </dataValidation>
    <dataValidation allowBlank="1" showInputMessage="1" showErrorMessage="1" promptTitle="FlexCAN Restrictions" prompt="When SOSCDIV2_CLK is selected for PE Clock, SYS_CLK must be at least 1.5 times the PE Clock." sqref="AK57"/>
    <dataValidation type="list" allowBlank="1" showInputMessage="1" showErrorMessage="1" sqref="F124 AI154 AM154 AQ176 AI310 AM310 AG330 AQ329 AG357 AQ356 AG386 AQ384 AG417 AQ415 AG447 AQ445 AG480 AQ478 AG517 AQ514">
      <formula1>"0,1,2,3"</formula1>
    </dataValidation>
    <dataValidation type="list" allowBlank="1" showInputMessage="1" showErrorMessage="1" sqref="F138">
      <formula1>"0,1,2"</formula1>
    </dataValidation>
    <dataValidation allowBlank="1" showInputMessage="1" showErrorMessage="1" promptTitle="ADC Conversion Limitations" prompt="The ADC conversion clock must be less than 50 MHz and also less than the BIU clock. Off in VLPS, no async op." sqref="AO151 AO307"/>
    <dataValidation type="list" allowBlank="1" showInputMessage="1" showErrorMessage="1" promptTitle="What is this?" prompt="S32K supports 3 external clock signals that you can use to drive a clock signal through a pin into the FTM counter clock. This block selects among those three signals. Summary shows the bit modification for FTM0. Should be extrapolated for your FTM." sqref="AG177">
      <formula1>"0,1,2,3"</formula1>
    </dataValidation>
    <dataValidation type="list" allowBlank="1" showInputMessage="1" showErrorMessage="1" promptTitle="What is this?" prompt="Output = Input * [(FRAC+1)/(PCD+1)]. Do not set FRAC=1 when PCD = 0 or else Output = Input * [(1+1)/(0+1)] = Input * 2, which in practice means clock output is disabled." sqref="AK199">
      <formula1>"0,1"</formula1>
    </dataValidation>
    <dataValidation type="list" allowBlank="1" showInputMessage="1" showErrorMessage="1" promptTitle="What is this?" prompt="Output = Input * [(FRAC+1)/(PCD+1)]. Do not set FRAC=1 when PCD = 0 or else Output = Input * [(1+1)/(0+1)] = Input * 2, which in practice means clock output is disabled." sqref="AN199">
      <formula1>"0,1,2,3,4,5,6,7"</formula1>
    </dataValidation>
    <dataValidation type="list" allowBlank="1" showInputMessage="1" showErrorMessage="1" promptTitle="Time mode v. Pulse Counter" prompt="LPTMR has one 16-bit counter. It can be used as a time counter or a pulse counter.  When pulse counter active, counter increments on rising edge of &quot;Pulse Input&quot; block." sqref="AW211">
      <formula1>"0,1,2,3,4,5,6,7,8,9,10,11,12,13,14,15"</formula1>
    </dataValidation>
    <dataValidation type="list" allowBlank="1" showInputMessage="1" showErrorMessage="1" promptTitle="What is this?" prompt="When LPTMR in counter mode, this clock is used for a time counter.  When in pulse counter mode, this clock is used for glitch filtering." sqref="AS211">
      <formula1>"0,1,2,3"</formula1>
    </dataValidation>
    <dataValidation type="list" allowBlank="1" showInputMessage="1" showErrorMessage="1" promptTitle="What is this?" prompt="LPTMR's one 16-bit counter can either be time counter or pulse counter. In Pulse Counter mode, counter increments on rising edges of this block's input." sqref="BC213">
      <formula1>"0,1,2,3"</formula1>
    </dataValidation>
    <dataValidation allowBlank="1" showInputMessage="1" showErrorMessage="1" promptTitle="What is this?" prompt="External pin." sqref="BA210:BA212"/>
    <dataValidation allowBlank="1" showInputMessage="1" showErrorMessage="1" promptTitle="What is this?" prompt="Input is TRGMUX output." sqref="BA209"/>
    <dataValidation allowBlank="1" showInputMessage="1" showErrorMessage="1" promptTitle="VLPS Operation" prompt="Off in VLPS. No asynchronous operation." sqref="D41"/>
    <dataValidation allowBlank="1" showInputMessage="1" showErrorMessage="1" promptTitle="FlexCAN Restrictions" prompt="When SOSCDIV2_CLK is selected for PE Clock, SYS_CLK must be at least 1.5 times the PE Clock. Off in VLPS, no async op." sqref="AN69"/>
    <dataValidation allowBlank="1" showInputMessage="1" showErrorMessage="1" promptTitle="VLPS Operation" prompt="Off in VLPS. No async op." sqref="AO50"/>
    <dataValidation allowBlank="1" showInputMessage="1" showErrorMessage="1" promptTitle="CRC Note" prompt="CRC off in VLPS." sqref="AN35"/>
    <dataValidation allowBlank="1" showInputMessage="1" showErrorMessage="1" promptTitle="STOP/VLPS Operation" prompt="No async operation in STOPx and VLPS." sqref="AS173"/>
    <dataValidation allowBlank="1" showInputMessage="1" showErrorMessage="1" promptTitle="EWM in Power Modes" prompt="EWM static in STOP1 and off in VLPS even though LPO_CLK always enabled" sqref="D112"/>
    <dataValidation allowBlank="1" showInputMessage="1" showErrorMessage="1" promptTitle="LPUART Note" prompt="LPUART is off in VLPS. No async op." sqref="D95"/>
    <dataValidation allowBlank="1" showInputMessage="1" showErrorMessage="1" promptTitle="LPSPI Note" prompt="LPSPI off in VLPS. No async op." sqref="D21"/>
    <dataValidation allowBlank="1" showInputMessage="1" showErrorMessage="1" promptTitle="LPI2C Note" prompt="LPI2C off in VLPS. No async op." sqref="D77"/>
    <dataValidation allowBlank="1" showInputMessage="1" showErrorMessage="1" promptTitle="FlexIO Peripheral Clock" prompt="FlexIO peripheral clock should not be greater than twice the BIU clock. Unless fast access is enabled by setting FLEXIO_CTRL[FASTACC], in which case peripheral clock must be AT LEAST twice the BIU clock. Off in VLPS, no async op." sqref="D55"/>
    <dataValidation allowBlank="1" showInputMessage="1" showErrorMessage="1" promptTitle="Low Power/STOP Operation" prompt="VLPR: low speed operation only_x000a_STOP1: High speed or low speed operation_x000a_STOP2: Full functionality_x000a_VLPS: low speed operation only" sqref="AN31"/>
    <dataValidation allowBlank="1" showInputMessage="1" showErrorMessage="1" promptTitle="LPTMR0 Note" prompt="LPTMR0 async operation allowed in VLPS." sqref="BC196"/>
    <dataValidation allowBlank="1" showInputMessage="1" showErrorMessage="1" promptTitle="DMA Note" prompt="DMA in async op in STOPx and VLPS, even though it runs on SYSCLK only. Async op in this case means an async DMA request will wakeup the system in pseudo-run mode that turns on all but CORE_CLK. Once DMA serviced, returns to LP mode." sqref="AL99"/>
    <dataValidation allowBlank="1" showInputMessage="1" showErrorMessage="1" promptTitle="Flash Memory Note" prompt="Can only read at max 1 MHz in VLPR. Module is off in STOP2, even though FLASH_CLK is on in STOP2." sqref="D216"/>
    <dataValidation allowBlank="1" showInputMessage="1" showErrorMessage="1" promptTitle="Flex Memory Note" prompt="Module is off in STOP2, even though FLASH_CLK is on in STOP2." sqref="D222"/>
    <dataValidation allowBlank="1" showInputMessage="1" showErrorMessage="1" promptTitle="TRGMUX Note" prompt="TRGMUX is static in low power modes and non-configurable. Will owrk as usual with preconfigured settings." sqref="AQ135"/>
    <dataValidation allowBlank="1" showInputMessage="1" showErrorMessage="1" promptTitle="DMAMUX Note" prompt="DMAMUX is static in low power modes and non-configurable. Will owrk as usual with preconfigured settings." sqref="AQ26"/>
    <dataValidation allowBlank="1" showInputMessage="1" showErrorMessage="1" promptTitle="FTFC Note" prompt="FTFC is disabled in low power modes." sqref="D143"/>
    <dataValidation allowBlank="1" showInputMessage="1" showErrorMessage="1" promptTitle="RTC Operation in Power Modes" prompt="RTC runs in asynchronous operation in STOP1 and is off in VLPS.  Full functionality in all other modes." sqref="G188"/>
    <dataValidation allowBlank="1" showInputMessage="1" showErrorMessage="1" promptTitle="SMC in STOP1 and VLPS" prompt="BUS_CLK is gated in STOP1 and VLPS, but SMC is considered to be FF in these modes because it manages the async STOP/LP entry/exit, which is independent of clock. SMC remains powered and controls clock enable/disable." sqref="B162"/>
    <dataValidation allowBlank="1" showInputMessage="1" showErrorMessage="1" promptTitle="PMC in STOP1 and VLPS" prompt="BUS_CLK is gated in STOP1 and VLPS, but PMC is considered to be FF in these modes because it manages the async STOP/LP entry/exit, which is independent of clock. PMC remains powered and controls clock enable/disable." sqref="AQ127"/>
    <dataValidation allowBlank="1" showInputMessage="1" showErrorMessage="1" promptTitle="RCM in STOP1 and VLPS" prompt="BUS_CLK is gated in STOP1 and VLPS, but RCM is considered to be FF in these modes because it provides system reset if a reset input is triggered. Reset signal is not dependent on clock." sqref="B137"/>
    <dataValidation type="list" allowBlank="1" showInputMessage="1" showErrorMessage="1" sqref="AU176">
      <formula1>"0,1,2,3,4,5,6"</formula1>
    </dataValidation>
    <dataValidation allowBlank="1" showErrorMessage="1" promptTitle="RTC Power Mode Operation" prompt="RTC runs in asynchronous operation in STOP1 and is off in VLPS.  Full functionality in all other modes." sqref="E208 E198"/>
    <dataValidation allowBlank="1" showErrorMessage="1" promptTitle="RTC_CLKOUT Prescaler" prompt="If RTC clock source is 0, then 1-128 Hz is impossible." sqref="E188"/>
    <dataValidation allowBlank="1" showErrorMessage="1" promptTitle="Why this?" prompt="If RTC is disabled, then no frequency propagates. So this bit is relevant in the clock configuration context because it affects the RTC_CLKOUT frequency." sqref="C193"/>
    <dataValidation operator="lessThanOrEqual" allowBlank="1" showErrorMessage="1" errorTitle="SAI Master Clock" error="Please input a frequency between 0 and 160 MHz." promptTitle="SAI Master Clock" prompt="The input clock to SAI MCLK generator is limited to 160 MHz." sqref="I176"/>
    <dataValidation operator="lessThanOrEqual" allowBlank="1" showErrorMessage="1" errorTitle="BCLK Limitation" error="BCLK must not be greater than BIU clock frequency." promptTitle="SAI Bit Clock" prompt="BCLK should never be greater than the BIU clock." sqref="I179"/>
    <dataValidation allowBlank="1" showErrorMessage="1" promptTitle="ENET Rx Clock" prompt="External clock supplied from pad." sqref="B200"/>
    <dataValidation allowBlank="1" showErrorMessage="1" promptTitle="What is this?" prompt="RMII and MII Tx clock supports either internal loopback from FIRCDIV1_CLK or SOSCDIV1_CLK or use an external pad." sqref="I194 D191"/>
    <dataValidation allowBlank="1" showErrorMessage="1" promptTitle="ENET Tx Clock" prompt="External clock supplied from pad." sqref="B187"/>
    <dataValidation allowBlank="1" showErrorMessage="1" promptTitle="What is this?" prompt="Output = Input * [(FRAC+1)/(PCD+1)]. Do not set FRAC=1 when PCD = 0 or else Output = Input * [(1+1)/(0+1)] = Input * 2, which in practice means clock output is disabled." sqref="E210 B210"/>
    <dataValidation allowBlank="1" showInputMessage="1" showErrorMessage="1" promptTitle="BCLK_SAI0" prompt="BCLK_SAI0 should never be greater than SAI0 bus interface clock as it will lead to underrun or overflow of FIFO inside SAI." sqref="E335"/>
    <dataValidation allowBlank="1" showErrorMessage="1" promptTitle="Read-Write Data Strobe" prompt="RWDS is used for HyperRAM." sqref="E359"/>
    <dataValidation type="list" allowBlank="1" showInputMessage="1" showErrorMessage="1" promptTitle="ENET Frequencies" prompt="ENET supports 2.5 MHz for 10 Mbps and 25 MHz for 100 Mbps operation." sqref="E371">
      <formula1>"2.5,25"</formula1>
    </dataValidation>
    <dataValidation type="list" allowBlank="1" showInputMessage="1" showErrorMessage="1" promptTitle="MII/RMII Frequency" prompt="TXD_CLK must be 2.5 MHz for 10 Mbps communication, 25 MHz for 100 Mbps, and 50 MHz for RMII operation." sqref="E362">
      <formula1>"2.5,25,50"</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 id="{75A9438E-522E-409F-B1F8-BC3F4791B144}">
            <xm:f>OR($AO$151&gt;$AL$144,$AO$151&gt;Limits!$B$27)</xm:f>
            <x14:dxf>
              <fill>
                <patternFill>
                  <bgColor rgb="FFFF0000"/>
                </patternFill>
              </fill>
            </x14:dxf>
          </x14:cfRule>
          <xm:sqref>AO151</xm:sqref>
        </x14:conditionalFormatting>
        <x14:conditionalFormatting xmlns:xm="http://schemas.microsoft.com/office/excel/2006/main">
          <x14:cfRule type="expression" priority="299" id="{75097FC3-2E86-4BAE-9EAC-00275B2D64FE}">
            <xm:f>AND($D$216&gt;Limits!$B$60,'Power Mode Control'!$M$25="VLPR")</xm:f>
            <x14:dxf>
              <fill>
                <patternFill>
                  <bgColor rgb="FFFF0000"/>
                </patternFill>
              </fill>
            </x14:dxf>
          </x14:cfRule>
          <xm:sqref>D216</xm:sqref>
        </x14:conditionalFormatting>
        <x14:conditionalFormatting xmlns:xm="http://schemas.microsoft.com/office/excel/2006/main">
          <x14:cfRule type="expression" priority="1" id="{9A51F2CB-59F0-47D8-A8B0-12BA63A2F48A}">
            <xm:f>OR($AO$307&gt;Limits!$B$27,$AO$307&gt;$AL$301)</xm:f>
            <x14:dxf>
              <fill>
                <patternFill>
                  <bgColor rgb="FFFF0000"/>
                </patternFill>
              </fill>
            </x14:dxf>
          </x14:cfRule>
          <xm:sqref>AO307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D7:AK26"/>
  <sheetViews>
    <sheetView zoomScaleNormal="100" workbookViewId="0">
      <selection activeCell="D21" sqref="D21"/>
    </sheetView>
  </sheetViews>
  <sheetFormatPr defaultRowHeight="14.4" x14ac:dyDescent="0.25"/>
  <sheetData>
    <row r="7" spans="4:37" ht="15" thickBot="1" x14ac:dyDescent="0.3"/>
    <row r="8" spans="4:37" ht="15.6" thickTop="1" thickBot="1" x14ac:dyDescent="0.3">
      <c r="D8" s="42">
        <f>Tree!BB24</f>
        <v>112</v>
      </c>
    </row>
    <row r="9" spans="4:37" ht="15.6" thickTop="1" thickBot="1" x14ac:dyDescent="0.3"/>
    <row r="10" spans="4:37" ht="15.6" thickTop="1" thickBot="1" x14ac:dyDescent="0.3">
      <c r="V10" s="37">
        <f>IF(J11=0,0,(POWER(2,T13)/1000000))</f>
        <v>0</v>
      </c>
      <c r="AA10" s="37">
        <f>IF(Y13=0,0,V10)</f>
        <v>0</v>
      </c>
      <c r="AF10" s="37">
        <f>IF(AD13=0,AA10,D24)</f>
        <v>0</v>
      </c>
      <c r="AK10" s="37">
        <f>IF(AH13=0,0,AF10)</f>
        <v>0</v>
      </c>
    </row>
    <row r="11" spans="4:37" ht="15.6" thickTop="1" thickBot="1" x14ac:dyDescent="0.3">
      <c r="J11" s="37">
        <f>IF(G25=0,D24,D21)</f>
        <v>0</v>
      </c>
    </row>
    <row r="12" spans="4:37" ht="15.6" thickTop="1" thickBot="1" x14ac:dyDescent="0.3"/>
    <row r="13" spans="4:37" ht="15.6" thickTop="1" thickBot="1" x14ac:dyDescent="0.3">
      <c r="P13" s="37" t="str">
        <f>IF(OR('Power Mode Control'!M25="Run",'Power Mode Control'!M25="HSRUN",'Power Mode Control'!M25="VLPR",'Power Mode Control'!M25="STOP2"),"Full Functionality",IF('Power Mode Control'!M25="VLPS","Off",IF('Power Mode Control'!M25="STOP1","Asynchronous Operation",0)))</f>
        <v>Full Functionality</v>
      </c>
      <c r="T13" s="59">
        <v>0</v>
      </c>
      <c r="Y13" s="59">
        <v>0</v>
      </c>
      <c r="AD13" s="59">
        <v>0</v>
      </c>
      <c r="AH13" s="59">
        <v>0</v>
      </c>
    </row>
    <row r="14" spans="4:37" ht="15" thickTop="1" x14ac:dyDescent="0.25"/>
    <row r="20" spans="4:7" ht="15" thickBot="1" x14ac:dyDescent="0.3"/>
    <row r="21" spans="4:7" ht="15.6" thickTop="1" thickBot="1" x14ac:dyDescent="0.3">
      <c r="D21" s="37">
        <f>IF('Power Mode Control'!M25="VLPS",0,Tree!AM186)</f>
        <v>1.021484375E-3</v>
      </c>
    </row>
    <row r="22" spans="4:7" ht="15" thickTop="1" x14ac:dyDescent="0.25"/>
    <row r="23" spans="4:7" ht="15" thickBot="1" x14ac:dyDescent="0.3"/>
    <row r="24" spans="4:7" ht="15.6" thickTop="1" thickBot="1" x14ac:dyDescent="0.3">
      <c r="D24" s="37">
        <f>IF('Power Mode Control'!M25="VLPS",0,Tree!AR174)</f>
        <v>0</v>
      </c>
    </row>
    <row r="25" spans="4:7" ht="15.6" thickTop="1" thickBot="1" x14ac:dyDescent="0.3">
      <c r="G25" s="59">
        <v>0</v>
      </c>
    </row>
    <row r="26" spans="4:7" ht="15" thickTop="1" x14ac:dyDescent="0.25"/>
  </sheetData>
  <phoneticPr fontId="11" type="noConversion"/>
  <dataValidations count="6">
    <dataValidation allowBlank="1" showInputMessage="1" showErrorMessage="1" promptTitle="RTC Power Mode Operation" prompt="RTC runs in asynchronous operation in STOP1 and is off in VLPS.  Full functionality in all other modes." sqref="D21 D24"/>
    <dataValidation type="list" allowBlank="1" showInputMessage="1" showErrorMessage="1" sqref="G25 AD13 AH13">
      <formula1>"0,1"</formula1>
    </dataValidation>
    <dataValidation allowBlank="1" showInputMessage="1" showErrorMessage="1" promptTitle="RTC Operation in Power Modes" prompt="RTC runs in asynchronous operation in STOP1 and is off in VLPS.  Full functionality in all other modes." sqref="P13"/>
    <dataValidation type="list" allowBlank="1" showInputMessage="1" showErrorMessage="1" sqref="T13">
      <formula1>"0,1,2,3,4,5,6,7"</formula1>
    </dataValidation>
    <dataValidation allowBlank="1" showInputMessage="1" showErrorMessage="1" promptTitle="RTC_CLKOUT Prescaler" prompt="RTC's clock sources run in the kHz range if it is on at all. From there, the RTC divides it to 1-128 Hz for RTC_CLKOUT.  But if RTC clock source is 0, then 1-128 Hz is impossible, in which case RTC_CLKOUT would be 0 Hz." sqref="V10"/>
    <dataValidation type="list" allowBlank="1" showInputMessage="1" showErrorMessage="1" promptTitle="Why this?" prompt="If RTC is disabled, then no frequency propagates. So this bit is relevant in the clock configuration context because it affects the RTC_CLKOUT frequency." sqref="Y13">
      <formula1>"0,1"</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7:BA108"/>
  <sheetViews>
    <sheetView topLeftCell="AF52" zoomScaleNormal="100" workbookViewId="0">
      <selection activeCell="BA88" sqref="BA88"/>
    </sheetView>
  </sheetViews>
  <sheetFormatPr defaultRowHeight="14.4" x14ac:dyDescent="0.25"/>
  <sheetData>
    <row r="7" spans="2:53" ht="15" thickBot="1" x14ac:dyDescent="0.3"/>
    <row r="8" spans="2:53" ht="15.6" thickTop="1" thickBot="1" x14ac:dyDescent="0.3">
      <c r="B8" s="37">
        <f>'Module Domains'!$K$12</f>
        <v>112</v>
      </c>
      <c r="D8" s="37">
        <f>'Module Domains'!$AA$12</f>
        <v>0</v>
      </c>
      <c r="F8" s="37">
        <f>'Module Domains'!$H$336</f>
        <v>0</v>
      </c>
      <c r="H8" s="37">
        <f>'Module Domains'!$J$336</f>
        <v>0</v>
      </c>
    </row>
    <row r="9" spans="2:53" ht="15" thickTop="1" x14ac:dyDescent="0.25"/>
    <row r="11" spans="2:53" ht="15" thickBot="1" x14ac:dyDescent="0.3"/>
    <row r="12" spans="2:53" ht="15.6" thickTop="1" thickBot="1" x14ac:dyDescent="0.3">
      <c r="P12" s="37">
        <f>IF(N15=0,0,B8)</f>
        <v>0</v>
      </c>
      <c r="BA12" s="37">
        <f>IF(AX15="S32K14x",P12,0)</f>
        <v>0</v>
      </c>
    </row>
    <row r="13" spans="2:53" ht="15" thickTop="1" x14ac:dyDescent="0.25"/>
    <row r="14" spans="2:53" ht="15" thickBot="1" x14ac:dyDescent="0.3"/>
    <row r="15" spans="2:53" ht="15.6" thickTop="1" thickBot="1" x14ac:dyDescent="0.3">
      <c r="N15" s="59">
        <v>0</v>
      </c>
      <c r="AX15" s="37" t="str">
        <f>Selected_Device</f>
        <v>S32K14x</v>
      </c>
    </row>
    <row r="16" spans="2:53" ht="15" thickTop="1" x14ac:dyDescent="0.25"/>
    <row r="20" spans="20:53" ht="15" thickBot="1" x14ac:dyDescent="0.3"/>
    <row r="21" spans="20:53" ht="15.6" thickTop="1" thickBot="1" x14ac:dyDescent="0.3">
      <c r="W21" s="42">
        <f>IF(T25=0,P12,IF(T25=1,F8,IF(T25=2,D8,H8)))</f>
        <v>0</v>
      </c>
      <c r="BA21" s="37">
        <f>IF(AX24="S32K14x",W21,0)</f>
        <v>0</v>
      </c>
    </row>
    <row r="22" spans="20:53" ht="15" thickTop="1" x14ac:dyDescent="0.25"/>
    <row r="23" spans="20:53" ht="15" thickBot="1" x14ac:dyDescent="0.3"/>
    <row r="24" spans="20:53" ht="15.6" thickTop="1" thickBot="1" x14ac:dyDescent="0.3">
      <c r="AX24" s="37" t="str">
        <f>Selected_Device</f>
        <v>S32K14x</v>
      </c>
    </row>
    <row r="25" spans="20:53" ht="15.6" thickTop="1" thickBot="1" x14ac:dyDescent="0.3">
      <c r="T25" s="59">
        <v>0</v>
      </c>
    </row>
    <row r="26" spans="20:53" ht="15.6" thickTop="1" thickBot="1" x14ac:dyDescent="0.3"/>
    <row r="27" spans="20:53" ht="15.6" thickTop="1" thickBot="1" x14ac:dyDescent="0.3">
      <c r="AE27" s="37">
        <f>W21/((AC30+1)*2)</f>
        <v>0</v>
      </c>
    </row>
    <row r="28" spans="20:53" ht="15.6" thickTop="1" thickBot="1" x14ac:dyDescent="0.3">
      <c r="AJ28" s="37">
        <f>IF(AH32=0,AF30,AE27)</f>
        <v>0</v>
      </c>
      <c r="AN28" s="37">
        <f>IF(AL32=0,0,AJ28)</f>
        <v>0</v>
      </c>
    </row>
    <row r="29" spans="20:53" ht="15.6" thickTop="1" thickBot="1" x14ac:dyDescent="0.3">
      <c r="AU29" s="42">
        <f>IF(AS32=0,IF(AP32=0,AN28,AN44),IF(AND(AP32=0,AP46=0),AU42,IF(AND(AP32=1,AP46=1),AN28,0)))</f>
        <v>0</v>
      </c>
      <c r="BA29" s="37">
        <f>IF(AX32="S32K14x",AU29,0)</f>
        <v>0</v>
      </c>
    </row>
    <row r="30" spans="20:53" ht="15.6" thickTop="1" thickBot="1" x14ac:dyDescent="0.3">
      <c r="AC30" s="59">
        <v>0</v>
      </c>
      <c r="AF30" s="37">
        <f>'Module Domains'!$E$335</f>
        <v>0</v>
      </c>
    </row>
    <row r="31" spans="20:53" ht="15.6" thickTop="1" thickBot="1" x14ac:dyDescent="0.3"/>
    <row r="32" spans="20:53" ht="15.6" thickTop="1" thickBot="1" x14ac:dyDescent="0.3">
      <c r="AH32" s="59">
        <v>0</v>
      </c>
      <c r="AL32" s="59">
        <v>0</v>
      </c>
      <c r="AP32" s="59">
        <v>0</v>
      </c>
      <c r="AS32" s="59">
        <v>0</v>
      </c>
      <c r="AX32" s="37" t="str">
        <f>Selected_Device</f>
        <v>S32K14x</v>
      </c>
    </row>
    <row r="33" spans="20:53" ht="15" thickTop="1" x14ac:dyDescent="0.25"/>
    <row r="36" spans="20:53" ht="15" thickBot="1" x14ac:dyDescent="0.3"/>
    <row r="37" spans="20:53" ht="15.6" thickTop="1" thickBot="1" x14ac:dyDescent="0.3">
      <c r="W37" s="42">
        <f>IF(T40=0,P12,IF(T40=1,F8,IF(T40=2,D8,H8)))</f>
        <v>0</v>
      </c>
      <c r="BA37" s="37">
        <f>IF(AX40="S32K14x",W37,0)</f>
        <v>0</v>
      </c>
    </row>
    <row r="38" spans="20:53" ht="15" thickTop="1" x14ac:dyDescent="0.25"/>
    <row r="39" spans="20:53" ht="15" thickBot="1" x14ac:dyDescent="0.3"/>
    <row r="40" spans="20:53" ht="15.6" thickTop="1" thickBot="1" x14ac:dyDescent="0.3">
      <c r="T40" s="59">
        <v>0</v>
      </c>
      <c r="AX40" s="37" t="str">
        <f>Selected_Device</f>
        <v>S32K14x</v>
      </c>
    </row>
    <row r="41" spans="20:53" ht="15.6" thickTop="1" thickBot="1" x14ac:dyDescent="0.3">
      <c r="AE41" s="37">
        <f>W37/((AC46+1)*2)</f>
        <v>0</v>
      </c>
    </row>
    <row r="42" spans="20:53" ht="15.6" thickTop="1" thickBot="1" x14ac:dyDescent="0.3">
      <c r="AJ42" s="37">
        <f>IF(AH46=0,AF44,AE41)</f>
        <v>0</v>
      </c>
      <c r="AU42" s="37">
        <f>IF(AS46=0,IF(AP46=0,AN44,AN28),IF(AND(AP32=0,AP46=0),AN28,IF(AND(AP32=1,AP46=1),AN44,0)))</f>
        <v>0</v>
      </c>
      <c r="BA42" s="37">
        <f>IF(AX46="S32K14x",AU42,0)</f>
        <v>0</v>
      </c>
    </row>
    <row r="43" spans="20:53" ht="15.6" thickTop="1" thickBot="1" x14ac:dyDescent="0.3"/>
    <row r="44" spans="20:53" ht="15.6" thickTop="1" thickBot="1" x14ac:dyDescent="0.3">
      <c r="AF44" s="37">
        <f>'Module Domains'!E335</f>
        <v>0</v>
      </c>
      <c r="AN44" s="37">
        <f>IF(AL46=0,0,AJ42)</f>
        <v>0</v>
      </c>
    </row>
    <row r="45" spans="20:53" ht="15.6" thickTop="1" thickBot="1" x14ac:dyDescent="0.3"/>
    <row r="46" spans="20:53" ht="15.6" thickTop="1" thickBot="1" x14ac:dyDescent="0.3">
      <c r="AC46" s="59">
        <v>0</v>
      </c>
      <c r="AH46" s="59">
        <v>0</v>
      </c>
      <c r="AL46" s="59">
        <v>0</v>
      </c>
      <c r="AP46" s="59">
        <v>0</v>
      </c>
      <c r="AS46" s="59">
        <v>0</v>
      </c>
      <c r="AX46" s="37" t="str">
        <f>Selected_Device</f>
        <v>S32K14x</v>
      </c>
    </row>
    <row r="47" spans="20:53" ht="15" thickTop="1" x14ac:dyDescent="0.25"/>
    <row r="54" spans="14:53" ht="15" thickBot="1" x14ac:dyDescent="0.3"/>
    <row r="55" spans="14:53" ht="15.6" thickTop="1" thickBot="1" x14ac:dyDescent="0.3">
      <c r="P55" s="37">
        <f>IF(N58=0,0,B107)</f>
        <v>0</v>
      </c>
      <c r="BA55" s="37">
        <f>IF(AX58="S32K14x",P55,0)</f>
        <v>0</v>
      </c>
    </row>
    <row r="56" spans="14:53" ht="15" thickTop="1" x14ac:dyDescent="0.25"/>
    <row r="57" spans="14:53" ht="15" thickBot="1" x14ac:dyDescent="0.3"/>
    <row r="58" spans="14:53" ht="15.6" thickTop="1" thickBot="1" x14ac:dyDescent="0.3">
      <c r="N58" s="59">
        <v>0</v>
      </c>
      <c r="AX58" s="37" t="str">
        <f>Selected_Device</f>
        <v>S32K14x</v>
      </c>
    </row>
    <row r="59" spans="14:53" ht="15" thickTop="1" x14ac:dyDescent="0.25"/>
    <row r="63" spans="14:53" ht="15" thickBot="1" x14ac:dyDescent="0.3"/>
    <row r="64" spans="14:53" ht="15.6" thickTop="1" thickBot="1" x14ac:dyDescent="0.3">
      <c r="W64" s="37">
        <f>IF(T68=0,P55,IF(T68=1,F107,IF(T68=2,D107,H107)))</f>
        <v>0</v>
      </c>
      <c r="BA64" s="37">
        <f>IF(AX67="S32K14x",W64,0)</f>
        <v>0</v>
      </c>
    </row>
    <row r="65" spans="20:53" ht="15" thickTop="1" x14ac:dyDescent="0.25"/>
    <row r="66" spans="20:53" ht="15" thickBot="1" x14ac:dyDescent="0.3"/>
    <row r="67" spans="20:53" ht="15.6" thickTop="1" thickBot="1" x14ac:dyDescent="0.3">
      <c r="AX67" s="37" t="str">
        <f>Selected_Device</f>
        <v>S32K14x</v>
      </c>
    </row>
    <row r="68" spans="20:53" ht="15.6" thickTop="1" thickBot="1" x14ac:dyDescent="0.3">
      <c r="T68" s="59">
        <v>0</v>
      </c>
    </row>
    <row r="69" spans="20:53" ht="15" thickTop="1" x14ac:dyDescent="0.25"/>
    <row r="70" spans="20:53" ht="15" thickBot="1" x14ac:dyDescent="0.3"/>
    <row r="71" spans="20:53" ht="15.6" thickTop="1" thickBot="1" x14ac:dyDescent="0.3">
      <c r="AE71" s="37">
        <f>W64/((AC74+1)*2)</f>
        <v>0</v>
      </c>
      <c r="AN71" s="37">
        <f>IF(AL76=0,0,AJ73)</f>
        <v>0</v>
      </c>
    </row>
    <row r="72" spans="20:53" ht="15.6" thickTop="1" thickBot="1" x14ac:dyDescent="0.3">
      <c r="AU72" s="37">
        <f>IF(AS76=0,IF(AP76=0,AN71,AN88),IF(AND(AP76=1,AP91=1),AN71,IF(AND(AP76=0,AP91=0),AN88,0)))</f>
        <v>0</v>
      </c>
      <c r="BA72" s="37">
        <f>IF(AX75="S32K14x",AU72,0)</f>
        <v>0</v>
      </c>
    </row>
    <row r="73" spans="20:53" ht="15.6" thickTop="1" thickBot="1" x14ac:dyDescent="0.3">
      <c r="AJ73" s="37">
        <f>IF(AH76=0,AF74,AE71)</f>
        <v>0</v>
      </c>
    </row>
    <row r="74" spans="20:53" ht="15.6" thickTop="1" thickBot="1" x14ac:dyDescent="0.3">
      <c r="AC74" s="59">
        <v>0</v>
      </c>
      <c r="AF74" s="37">
        <f>'Module Domains'!E348</f>
        <v>0</v>
      </c>
    </row>
    <row r="75" spans="20:53" ht="15.6" thickTop="1" thickBot="1" x14ac:dyDescent="0.3">
      <c r="AX75" s="37" t="str">
        <f>Selected_Device</f>
        <v>S32K14x</v>
      </c>
    </row>
    <row r="76" spans="20:53" ht="15.6" thickTop="1" thickBot="1" x14ac:dyDescent="0.3">
      <c r="AH76" s="59">
        <v>0</v>
      </c>
      <c r="AL76" s="59">
        <v>0</v>
      </c>
      <c r="AP76" s="59">
        <v>0</v>
      </c>
      <c r="AS76" s="59">
        <v>0</v>
      </c>
    </row>
    <row r="77" spans="20:53" ht="15" thickTop="1" x14ac:dyDescent="0.25"/>
    <row r="80" spans="20:53" ht="15" thickBot="1" x14ac:dyDescent="0.3"/>
    <row r="81" spans="20:53" ht="15.6" thickTop="1" thickBot="1" x14ac:dyDescent="0.3">
      <c r="W81" s="37">
        <f>IF(T85=0,P55,IF(T85=1,F107,IF(T85=2,D107,H107)))</f>
        <v>0</v>
      </c>
      <c r="BA81" s="37">
        <f>IF(AX84="S32K14x",W81,0)</f>
        <v>0</v>
      </c>
    </row>
    <row r="82" spans="20:53" ht="15" thickTop="1" x14ac:dyDescent="0.25"/>
    <row r="83" spans="20:53" ht="15" thickBot="1" x14ac:dyDescent="0.3"/>
    <row r="84" spans="20:53" ht="15.6" thickTop="1" thickBot="1" x14ac:dyDescent="0.3">
      <c r="AX84" s="37" t="str">
        <f>Selected_Device</f>
        <v>S32K14x</v>
      </c>
    </row>
    <row r="85" spans="20:53" ht="15.6" thickTop="1" thickBot="1" x14ac:dyDescent="0.3">
      <c r="T85" s="59">
        <v>0</v>
      </c>
    </row>
    <row r="86" spans="20:53" ht="15.6" thickTop="1" thickBot="1" x14ac:dyDescent="0.3">
      <c r="AE86" s="37">
        <f>W81/((AC91+1)*2)</f>
        <v>0</v>
      </c>
    </row>
    <row r="87" spans="20:53" ht="15.6" thickTop="1" thickBot="1" x14ac:dyDescent="0.3">
      <c r="AJ87" s="37">
        <f>IF(AH91=0,AF89,AE86)</f>
        <v>0</v>
      </c>
      <c r="AU87" s="37">
        <f>IF(AS91=0,IF(AP91=0,AN88,AN71),IF(AND(AP91=1,AP76=1),AN88,IF(AND(AP91=0,AP76=0),AN71,0)))</f>
        <v>0</v>
      </c>
      <c r="BA87" s="37">
        <f>IF(AX90="S32K14x",AU87,0)</f>
        <v>0</v>
      </c>
    </row>
    <row r="88" spans="20:53" ht="15.6" thickTop="1" thickBot="1" x14ac:dyDescent="0.3">
      <c r="AN88" s="37">
        <f>IF(AL91=0,0,AJ87)</f>
        <v>0</v>
      </c>
    </row>
    <row r="89" spans="20:53" ht="15.6" thickTop="1" thickBot="1" x14ac:dyDescent="0.3">
      <c r="AF89" s="37">
        <f>'Module Domains'!E348</f>
        <v>0</v>
      </c>
    </row>
    <row r="90" spans="20:53" ht="15.6" thickTop="1" thickBot="1" x14ac:dyDescent="0.3">
      <c r="AX90" s="37" t="str">
        <f>Selected_Device</f>
        <v>S32K14x</v>
      </c>
    </row>
    <row r="91" spans="20:53" ht="15.6" thickTop="1" thickBot="1" x14ac:dyDescent="0.3">
      <c r="AC91" s="59">
        <v>0</v>
      </c>
      <c r="AH91" s="59">
        <v>0</v>
      </c>
      <c r="AL91" s="59">
        <v>0</v>
      </c>
      <c r="AP91" s="59">
        <v>0</v>
      </c>
      <c r="AS91" s="59">
        <v>0</v>
      </c>
    </row>
    <row r="92" spans="20:53" ht="15" thickTop="1" x14ac:dyDescent="0.25"/>
    <row r="106" spans="2:8" ht="15" thickBot="1" x14ac:dyDescent="0.3"/>
    <row r="107" spans="2:8" ht="15.6" thickTop="1" thickBot="1" x14ac:dyDescent="0.3">
      <c r="B107" s="37">
        <f>B8</f>
        <v>112</v>
      </c>
      <c r="D107" s="37">
        <f>D8</f>
        <v>0</v>
      </c>
      <c r="F107" s="37">
        <f>F8</f>
        <v>0</v>
      </c>
      <c r="H107" s="37">
        <f>H8</f>
        <v>0</v>
      </c>
    </row>
    <row r="108" spans="2:8" ht="15" thickTop="1" x14ac:dyDescent="0.25"/>
  </sheetData>
  <phoneticPr fontId="11" type="noConversion"/>
  <dataValidations count="12">
    <dataValidation type="list" allowBlank="1" showInputMessage="1" showErrorMessage="1" sqref="T25 T40 T68 T85">
      <formula1>"0,1,2,3"</formula1>
    </dataValidation>
    <dataValidation type="list" allowBlank="1" showInputMessage="1" showErrorMessage="1" sqref="N15 AH32 AH46 AL46 AP46 AS46 N58 AH76 AH91">
      <formula1>"0,1"</formula1>
    </dataValidation>
    <dataValidation type="whole" allowBlank="1" showInputMessage="1" showErrorMessage="1" errorTitle="BCLK DIvide Value" error="When dividing from the MCLK, divide value must be an input between 0 and 255." promptTitle="BCLK Divide" prompt="The BCLK can be divided from MCLK. Argument must be between 0 and 255.  The BCLK frequency is calculated by the formula BCLK = MCLK/((DIV+1)*2)." sqref="AC91">
      <formula1>0</formula1>
      <formula2>255</formula2>
    </dataValidation>
    <dataValidation type="list" allowBlank="1" showInputMessage="1" showErrorMessage="1" promptTitle="BCLK Enable Note" prompt="Bit will be automatically set when receiver is enabled (I2S0_RCSR[TE] is set). BCLK can be manually turned on/off. If I2S0_RCSR[BCE] manually cleared, it will remain 1 until end of current frame." sqref="AL32">
      <formula1>"0,1"</formula1>
    </dataValidation>
    <dataValidation type="list" allowBlank="1" showInputMessage="1" showErrorMessage="1" promptTitle="BCLK Swap" prompt="Switches between RX/TX BCLKs. When receiver is in synchronous mode, this field MUST be set to same value as the transmitter's BCLK Swap. When both are set, RX/TX clocked by BCLK_RX_SAI0; when both clear, RX/TX clocked by BCLK_TX_SAI0." sqref="AP32">
      <formula1>"0,1"</formula1>
    </dataValidation>
    <dataValidation type="list" allowBlank="1" showInputMessage="1" showErrorMessage="1" promptTitle="What is this?" prompt="Synchronous operation allows both receiver/transmitter to share the same bit clock and frame sync with another receiver/transmitter.  &quot;Intersynchronicity&quot; is not allowed: &quot;A&quot; cannot sync with &quot;B&quot; if &quot;B&quot; is already sync'd to &quot;A&quot;." sqref="AS32 AS76 AS91">
      <formula1>"0,1"</formula1>
    </dataValidation>
    <dataValidation type="whole" allowBlank="1" showInputMessage="1" showErrorMessage="1" errorTitle="BCLK Divide Value" error="When dividing from the MCLK, divide value must be an input between 0 and 255." sqref="AC46">
      <formula1>0</formula1>
      <formula2>255</formula2>
    </dataValidation>
    <dataValidation type="list" allowBlank="1" showInputMessage="1" showErrorMessage="1" promptTitle="BCLK Enable Note" prompt="Bit will be automatically set when receiver is enabled (I2S1_RCSR[TE] is set). BCLK can be manually turned on/off. If I2S1_RCSR[BCE] manually cleared, it will remain 1 until end of current frame." sqref="AL76">
      <formula1>"0,1"</formula1>
    </dataValidation>
    <dataValidation type="list" allowBlank="1" showInputMessage="1" showErrorMessage="1" promptTitle="BCLK Swap" prompt="Switches between RX/TX BCLKs. When receiver is in synchronous mode, this field MUST be set to same value as the transmitter's BCLK Swap. When both are set, RX/TX clocked by BCLK_RX_SAI1; when both clear, RX/TX clocked by BCLK_TX_SAI1." sqref="AP76 AP91">
      <formula1>"0,1"</formula1>
    </dataValidation>
    <dataValidation type="list" allowBlank="1" showInputMessage="1" showErrorMessage="1" promptTitle="BCLK Enable Note" prompt="Bit will be automatically set when receiver is enabled (I2S1_TCSR[TE] is set). BCLK can be manually turned on/off. If I2S1_TCSR[BCE] manually cleared, it will remain 1 until end of current frame." sqref="AL91">
      <formula1>"0,1"</formula1>
    </dataValidation>
    <dataValidation type="whole" allowBlank="1" showInputMessage="1" showErrorMessage="1" errorTitle="BCLK Divide Value" error="When dividing from the MCLK, divide value must be an input between 0 and 255." promptTitle="BCLK Divide" prompt="The BCLK can be divided from MCLK. Argument must be between 0 and 255.  The BCLK frequency is calculated by the formula BCLK = MCLK/((DIV+1)*2)." sqref="AC30">
      <formula1>0</formula1>
      <formula2>255</formula2>
    </dataValidation>
    <dataValidation type="whole" allowBlank="1" showInputMessage="1" showErrorMessage="1" errorTitle="BCLK DIvide Value" error="When dividing from the MCLK, divide value must be an input between 0 and 255." promptTitle="BCLK Divide" prompt="The BCLK can be divided from MCLK. Argument must be between 0 and 255.  The BCLK frequency is calculated by the formula BCLK = MCLK/((DIV+1)*2)." sqref="AC74">
      <formula1>0</formula1>
      <formula2>255</formula2>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BB113"/>
  <sheetViews>
    <sheetView topLeftCell="AH1" zoomScaleNormal="100" workbookViewId="0">
      <selection activeCell="BB100" sqref="BB100"/>
    </sheetView>
  </sheetViews>
  <sheetFormatPr defaultRowHeight="14.4" x14ac:dyDescent="0.25"/>
  <sheetData>
    <row r="4" spans="2:54" x14ac:dyDescent="0.25">
      <c r="Z4" s="6"/>
      <c r="AA4" t="s">
        <v>7</v>
      </c>
    </row>
    <row r="5" spans="2:54" x14ac:dyDescent="0.25">
      <c r="Z5" s="105"/>
      <c r="AA5" t="s">
        <v>3158</v>
      </c>
    </row>
    <row r="7" spans="2:54" ht="15" thickBot="1" x14ac:dyDescent="0.3"/>
    <row r="8" spans="2:54" ht="15.6" thickTop="1" thickBot="1" x14ac:dyDescent="0.3">
      <c r="B8" s="37">
        <f>IF(AND('Module Domains'!M12=2*'Module Domains'!K12,OR(AND('Module Domains'!M12=64,Tree!BB11=2*Tree!BB18),AND('Module Domains'!M12=80,Tree!BB11=2*Tree!BB18),'Module Domains'!M12=112)),'Module Domains'!$K$536,0)</f>
        <v>0</v>
      </c>
      <c r="D8" s="37">
        <f>IF(AND('Module Domains'!M12=2*'Module Domains'!K12,OR(AND('Module Domains'!M12=64,Tree!BB11=2*Tree!BB18),AND('Module Domains'!M12=80,Tree!BB11=2*Tree!BB18),'Module Domains'!M12=112)),'Module Domains'!$M$536,0)</f>
        <v>0</v>
      </c>
      <c r="F8" s="37">
        <f>IF(AND('Module Domains'!M12=2*'Module Domains'!K12,OR(AND('Module Domains'!M12=64,Tree!BB11=2*Tree!BB18),AND('Module Domains'!M12=80,Tree!BB11=2*Tree!BB18),'Module Domains'!M12=112)),'Module Domains'!$O$536,0)</f>
        <v>0</v>
      </c>
      <c r="H8" s="37">
        <f>IF(AND('Module Domains'!M12=2*'Module Domains'!K12,OR(AND('Module Domains'!M12=64,Tree!BB11=2*Tree!BB18),AND('Module Domains'!M12=80,Tree!BB11=2*Tree!BB18),'Module Domains'!M12=112)),'Module Domains'!$S$536,0)</f>
        <v>0</v>
      </c>
    </row>
    <row r="9" spans="2:54" ht="15" thickTop="1" x14ac:dyDescent="0.25"/>
    <row r="12" spans="2:54" ht="15" thickBot="1" x14ac:dyDescent="0.3"/>
    <row r="13" spans="2:54" ht="15.6" thickTop="1" thickBot="1" x14ac:dyDescent="0.3">
      <c r="U13" s="37">
        <f>IF(R16=0,D8,B8)</f>
        <v>0</v>
      </c>
      <c r="BB13" s="37">
        <f>IF(AZ15="S32K14x",U13,0)</f>
        <v>0</v>
      </c>
    </row>
    <row r="14" spans="2:54" ht="15.6" thickTop="1" thickBot="1" x14ac:dyDescent="0.3"/>
    <row r="15" spans="2:54" ht="15.6" thickTop="1" thickBot="1" x14ac:dyDescent="0.3">
      <c r="AZ15" s="37" t="str">
        <f>Selected_Device</f>
        <v>S32K14x</v>
      </c>
    </row>
    <row r="16" spans="2:54" ht="15.6" thickTop="1" thickBot="1" x14ac:dyDescent="0.3">
      <c r="R16" s="59">
        <v>0</v>
      </c>
    </row>
    <row r="17" spans="18:54" ht="15" thickTop="1" x14ac:dyDescent="0.25"/>
    <row r="21" spans="18:54" ht="15" thickBot="1" x14ac:dyDescent="0.3"/>
    <row r="22" spans="18:54" ht="15.6" thickTop="1" thickBot="1" x14ac:dyDescent="0.3">
      <c r="T22" s="37">
        <f>IF(R27=0,0,B8)</f>
        <v>0</v>
      </c>
    </row>
    <row r="23" spans="18:54" ht="15.6" thickTop="1" thickBot="1" x14ac:dyDescent="0.3"/>
    <row r="24" spans="18:54" ht="15.6" thickTop="1" thickBot="1" x14ac:dyDescent="0.3">
      <c r="Y24" s="37">
        <f>IF(V27=0,T25,T22)</f>
        <v>0</v>
      </c>
      <c r="BB24" s="37">
        <f>IF(AZ26="S32K14x",Y24,0)</f>
        <v>0</v>
      </c>
    </row>
    <row r="25" spans="18:54" ht="15.6" thickTop="1" thickBot="1" x14ac:dyDescent="0.3">
      <c r="T25" s="37">
        <f>IF(R27=0,0,D8)</f>
        <v>0</v>
      </c>
    </row>
    <row r="26" spans="18:54" ht="15.6" thickTop="1" thickBot="1" x14ac:dyDescent="0.3">
      <c r="AZ26" s="37" t="str">
        <f>Selected_Device</f>
        <v>S32K14x</v>
      </c>
    </row>
    <row r="27" spans="18:54" ht="15.6" thickTop="1" thickBot="1" x14ac:dyDescent="0.3">
      <c r="R27" s="59">
        <v>0</v>
      </c>
      <c r="V27" s="37">
        <f>R16</f>
        <v>0</v>
      </c>
      <c r="BB27" s="37">
        <f>IF(AZ30="S32K14x",Y24,0)</f>
        <v>0</v>
      </c>
    </row>
    <row r="28" spans="18:54" ht="15" thickTop="1" x14ac:dyDescent="0.25"/>
    <row r="29" spans="18:54" ht="15" thickBot="1" x14ac:dyDescent="0.3"/>
    <row r="30" spans="18:54" ht="15.6" thickTop="1" thickBot="1" x14ac:dyDescent="0.3">
      <c r="AZ30" s="37" t="str">
        <f>Selected_Device</f>
        <v>S32K14x</v>
      </c>
    </row>
    <row r="31" spans="18:54" ht="15" thickTop="1" x14ac:dyDescent="0.25"/>
    <row r="33" spans="18:54" ht="15" thickBot="1" x14ac:dyDescent="0.3"/>
    <row r="34" spans="18:54" ht="15.6" thickTop="1" thickBot="1" x14ac:dyDescent="0.3">
      <c r="T34" s="37">
        <f>IF(R38=0,F8,H8)</f>
        <v>0</v>
      </c>
      <c r="X34" s="37">
        <f>IF(V38=0,0,T34)</f>
        <v>0</v>
      </c>
      <c r="AB34" s="37">
        <f>IF(Z38=0,X34,0)</f>
        <v>0</v>
      </c>
      <c r="AF34" s="37">
        <f>AB34/(AD38+1)</f>
        <v>0</v>
      </c>
      <c r="AK34" s="37">
        <f>IF(AI38=0,AF34,0)</f>
        <v>0</v>
      </c>
      <c r="BB34" s="37">
        <f>IF(AZ36="S32K14x",AK34,0)</f>
        <v>0</v>
      </c>
    </row>
    <row r="35" spans="18:54" ht="15.6" thickTop="1" thickBot="1" x14ac:dyDescent="0.3"/>
    <row r="36" spans="18:54" ht="15.6" thickTop="1" thickBot="1" x14ac:dyDescent="0.3">
      <c r="AZ36" s="37" t="str">
        <f>Selected_Device</f>
        <v>S32K14x</v>
      </c>
    </row>
    <row r="37" spans="18:54" ht="15.6" thickTop="1" thickBot="1" x14ac:dyDescent="0.3"/>
    <row r="38" spans="18:54" ht="15.6" thickTop="1" thickBot="1" x14ac:dyDescent="0.3">
      <c r="R38" s="59">
        <v>0</v>
      </c>
      <c r="V38" s="59">
        <v>0</v>
      </c>
      <c r="Z38" s="59">
        <v>0</v>
      </c>
      <c r="AD38" s="59">
        <v>0</v>
      </c>
      <c r="AI38" s="59">
        <v>0</v>
      </c>
      <c r="BB38" s="37">
        <f>IF(AZ40="S32K14x",AK34,0)</f>
        <v>0</v>
      </c>
    </row>
    <row r="39" spans="18:54" ht="15.6" thickTop="1" thickBot="1" x14ac:dyDescent="0.3"/>
    <row r="40" spans="18:54" ht="15.6" thickTop="1" thickBot="1" x14ac:dyDescent="0.3">
      <c r="AZ40" s="37" t="str">
        <f>Selected_Device</f>
        <v>S32K14x</v>
      </c>
    </row>
    <row r="41" spans="18:54" ht="15" thickTop="1" x14ac:dyDescent="0.25"/>
    <row r="43" spans="18:54" ht="15" thickBot="1" x14ac:dyDescent="0.3"/>
    <row r="44" spans="18:54" ht="15.6" thickTop="1" thickBot="1" x14ac:dyDescent="0.3">
      <c r="AM44" s="37">
        <f>IF(AK48=0,AF34,AH46)</f>
        <v>0</v>
      </c>
      <c r="BB44" s="37">
        <f>IF(AZ46="S32K14x",AM44,0)</f>
        <v>0</v>
      </c>
    </row>
    <row r="45" spans="18:54" ht="15.6" thickTop="1" thickBot="1" x14ac:dyDescent="0.3"/>
    <row r="46" spans="18:54" ht="15.6" thickTop="1" thickBot="1" x14ac:dyDescent="0.3">
      <c r="AH46" s="37">
        <f>AF34/2</f>
        <v>0</v>
      </c>
      <c r="AZ46" s="37" t="str">
        <f>Selected_Device</f>
        <v>S32K14x</v>
      </c>
    </row>
    <row r="47" spans="18:54" ht="15.6" thickTop="1" thickBot="1" x14ac:dyDescent="0.3"/>
    <row r="48" spans="18:54" ht="15.6" thickTop="1" thickBot="1" x14ac:dyDescent="0.3">
      <c r="AK48" s="37">
        <f>AI38</f>
        <v>0</v>
      </c>
      <c r="BB48" s="37">
        <f>IF(AZ50="S32K14x",AM44,0)</f>
        <v>0</v>
      </c>
    </row>
    <row r="49" spans="42:54" ht="15.6" thickTop="1" thickBot="1" x14ac:dyDescent="0.3"/>
    <row r="50" spans="42:54" ht="15.6" thickTop="1" thickBot="1" x14ac:dyDescent="0.3">
      <c r="AZ50" s="37" t="str">
        <f>Selected_Device</f>
        <v>S32K14x</v>
      </c>
    </row>
    <row r="51" spans="42:54" ht="15.6" thickTop="1" thickBot="1" x14ac:dyDescent="0.3"/>
    <row r="52" spans="42:54" ht="15.6" thickTop="1" thickBot="1" x14ac:dyDescent="0.3">
      <c r="BB52" s="37">
        <f>IF(AZ54="S32K14x",AM44,0)</f>
        <v>0</v>
      </c>
    </row>
    <row r="53" spans="42:54" ht="15.6" thickTop="1" thickBot="1" x14ac:dyDescent="0.3">
      <c r="AP53" s="37">
        <f>AU56</f>
        <v>0</v>
      </c>
      <c r="AU53" s="37">
        <f>AU56</f>
        <v>0</v>
      </c>
    </row>
    <row r="54" spans="42:54" ht="15.6" thickTop="1" thickBot="1" x14ac:dyDescent="0.3">
      <c r="AZ54" s="37" t="str">
        <f>Selected_Device</f>
        <v>S32K14x</v>
      </c>
    </row>
    <row r="55" spans="42:54" ht="15.6" thickTop="1" thickBot="1" x14ac:dyDescent="0.3"/>
    <row r="56" spans="42:54" ht="15.6" thickTop="1" thickBot="1" x14ac:dyDescent="0.3">
      <c r="AU56" s="37">
        <f>AM44</f>
        <v>0</v>
      </c>
    </row>
    <row r="57" spans="42:54" ht="15" thickTop="1" x14ac:dyDescent="0.25"/>
    <row r="58" spans="42:54" ht="15" thickBot="1" x14ac:dyDescent="0.3"/>
    <row r="59" spans="42:54" ht="15.6" thickTop="1" thickBot="1" x14ac:dyDescent="0.3">
      <c r="AU59" s="37">
        <f>AU56</f>
        <v>0</v>
      </c>
    </row>
    <row r="60" spans="42:54" ht="15" thickTop="1" x14ac:dyDescent="0.25"/>
    <row r="61" spans="42:54" ht="15" thickBot="1" x14ac:dyDescent="0.3"/>
    <row r="62" spans="42:54" ht="15.6" thickTop="1" thickBot="1" x14ac:dyDescent="0.3">
      <c r="AU62" s="37">
        <f>AU59</f>
        <v>0</v>
      </c>
    </row>
    <row r="63" spans="42:54" ht="15.6" thickTop="1" thickBot="1" x14ac:dyDescent="0.3"/>
    <row r="64" spans="42:54" ht="15.6" thickTop="1" thickBot="1" x14ac:dyDescent="0.3">
      <c r="AU64" s="37">
        <f>AU62</f>
        <v>0</v>
      </c>
    </row>
    <row r="65" spans="28:54" ht="15" thickTop="1" x14ac:dyDescent="0.25"/>
    <row r="66" spans="28:54" ht="15" thickBot="1" x14ac:dyDescent="0.3"/>
    <row r="67" spans="28:54" ht="15.6" thickTop="1" thickBot="1" x14ac:dyDescent="0.3">
      <c r="AB67" s="37">
        <f>AP53</f>
        <v>0</v>
      </c>
    </row>
    <row r="68" spans="28:54" ht="15.6" thickTop="1" thickBot="1" x14ac:dyDescent="0.3">
      <c r="AH68" s="37">
        <f>IF(AF72=0,AB67,AB70)</f>
        <v>0</v>
      </c>
    </row>
    <row r="69" spans="28:54" ht="15.6" thickTop="1" thickBot="1" x14ac:dyDescent="0.3">
      <c r="AO69" s="37">
        <f>AH68</f>
        <v>0</v>
      </c>
      <c r="AS69" s="37">
        <f>AO69</f>
        <v>0</v>
      </c>
      <c r="BB69" s="37">
        <f>IF(AZ71="S32K14x",AS69,0)</f>
        <v>0</v>
      </c>
    </row>
    <row r="70" spans="28:54" ht="15.6" thickTop="1" thickBot="1" x14ac:dyDescent="0.3">
      <c r="AB70" s="37">
        <f>AU53</f>
        <v>0</v>
      </c>
    </row>
    <row r="71" spans="28:54" ht="15.6" thickTop="1" thickBot="1" x14ac:dyDescent="0.3">
      <c r="AZ71" s="37" t="str">
        <f>Selected_Device</f>
        <v>S32K14x</v>
      </c>
    </row>
    <row r="72" spans="28:54" ht="15.6" thickTop="1" thickBot="1" x14ac:dyDescent="0.3">
      <c r="AF72" s="59">
        <v>0</v>
      </c>
    </row>
    <row r="73" spans="28:54" ht="15" thickTop="1" x14ac:dyDescent="0.25"/>
    <row r="78" spans="28:54" ht="15" thickBot="1" x14ac:dyDescent="0.3"/>
    <row r="79" spans="28:54" ht="15.6" thickTop="1" thickBot="1" x14ac:dyDescent="0.3">
      <c r="AB79" s="37">
        <f>AB67</f>
        <v>0</v>
      </c>
    </row>
    <row r="80" spans="28:54" ht="15.6" thickTop="1" thickBot="1" x14ac:dyDescent="0.3">
      <c r="AH80" s="37">
        <f>IF(AF84=0,AB79,AB82)</f>
        <v>0</v>
      </c>
    </row>
    <row r="81" spans="28:54" ht="15.6" thickTop="1" thickBot="1" x14ac:dyDescent="0.3">
      <c r="AO81" s="37">
        <f>AH80</f>
        <v>0</v>
      </c>
      <c r="AS81" s="37">
        <f>IF(AQ85=0,AO81,AM88)</f>
        <v>0</v>
      </c>
      <c r="AW81" s="37">
        <f>AS81</f>
        <v>0</v>
      </c>
      <c r="BB81" s="37">
        <f>IF(AZ83="S32K14x",AW81,0)</f>
        <v>0</v>
      </c>
    </row>
    <row r="82" spans="28:54" ht="15.6" thickTop="1" thickBot="1" x14ac:dyDescent="0.3">
      <c r="AB82" s="37">
        <f>AU62</f>
        <v>0</v>
      </c>
    </row>
    <row r="83" spans="28:54" ht="15.6" thickTop="1" thickBot="1" x14ac:dyDescent="0.3">
      <c r="AZ83" s="37" t="str">
        <f>Selected_Device</f>
        <v>S32K14x</v>
      </c>
    </row>
    <row r="84" spans="28:54" ht="15.6" thickTop="1" thickBot="1" x14ac:dyDescent="0.3">
      <c r="AF84" s="59">
        <v>0</v>
      </c>
    </row>
    <row r="85" spans="28:54" ht="15.6" thickTop="1" thickBot="1" x14ac:dyDescent="0.3">
      <c r="AQ85" s="37">
        <f>AI38</f>
        <v>0</v>
      </c>
    </row>
    <row r="86" spans="28:54" ht="15" thickTop="1" x14ac:dyDescent="0.25"/>
    <row r="87" spans="28:54" ht="15" thickBot="1" x14ac:dyDescent="0.3"/>
    <row r="88" spans="28:54" ht="15.6" thickTop="1" thickBot="1" x14ac:dyDescent="0.3">
      <c r="AM88" s="37">
        <f>AU64</f>
        <v>0</v>
      </c>
    </row>
    <row r="89" spans="28:54" ht="15" thickTop="1" x14ac:dyDescent="0.25"/>
    <row r="97" spans="2:54" ht="15" thickBot="1" x14ac:dyDescent="0.3"/>
    <row r="98" spans="2:54" ht="15.6" thickTop="1" thickBot="1" x14ac:dyDescent="0.3">
      <c r="W98" s="37">
        <f>IF(Tree!BB11=2*Tree!BB18,Tree!BB11,0)</f>
        <v>0</v>
      </c>
    </row>
    <row r="99" spans="2:54" ht="15.6" thickTop="1" thickBot="1" x14ac:dyDescent="0.3">
      <c r="AE99" s="37">
        <f>IF(AC103=0,W98,D8)</f>
        <v>0</v>
      </c>
      <c r="AI99" s="37">
        <f>IF(AG103=0,0,AE99)</f>
        <v>0</v>
      </c>
      <c r="BB99" s="37">
        <f>IF(AZ101="S32K14x",AI99,0)</f>
        <v>0</v>
      </c>
    </row>
    <row r="100" spans="2:54" ht="15.6" thickTop="1" thickBot="1" x14ac:dyDescent="0.3"/>
    <row r="101" spans="2:54" ht="15.6" thickTop="1" thickBot="1" x14ac:dyDescent="0.3">
      <c r="AZ101" s="37" t="str">
        <f>Selected_Device</f>
        <v>S32K14x</v>
      </c>
    </row>
    <row r="102" spans="2:54" ht="15.6" thickTop="1" thickBot="1" x14ac:dyDescent="0.3"/>
    <row r="103" spans="2:54" ht="15.6" thickTop="1" thickBot="1" x14ac:dyDescent="0.3">
      <c r="AC103" s="37">
        <f>R16</f>
        <v>0</v>
      </c>
      <c r="AG103" s="37">
        <f>R27</f>
        <v>0</v>
      </c>
    </row>
    <row r="104" spans="2:54" ht="15" thickTop="1" x14ac:dyDescent="0.25"/>
    <row r="111" spans="2:54" ht="15" thickBot="1" x14ac:dyDescent="0.3"/>
    <row r="112" spans="2:54" ht="15.6" thickTop="1" thickBot="1" x14ac:dyDescent="0.3">
      <c r="B112" s="37">
        <f>B8</f>
        <v>0</v>
      </c>
      <c r="D112" s="37">
        <f>D8</f>
        <v>0</v>
      </c>
      <c r="F112" s="37">
        <f>F8</f>
        <v>0</v>
      </c>
      <c r="H112" s="37">
        <f>H8</f>
        <v>0</v>
      </c>
    </row>
    <row r="113" ht="15" thickTop="1" x14ac:dyDescent="0.25"/>
  </sheetData>
  <phoneticPr fontId="11" type="noConversion"/>
  <dataValidations count="11">
    <dataValidation type="list" allowBlank="1" showInputMessage="1" showErrorMessage="1" promptTitle="Note" prompt="This block is used for multiple clock selects in QuadSPI module." sqref="R16">
      <formula1>IF($D$8=112,QSPI_AHB_2,QSPI_AHB)</formula1>
    </dataValidation>
    <dataValidation type="list" allowBlank="1" showInputMessage="1" showErrorMessage="1" promptTitle="Note" prompt="This block is also used by multiple clocks." sqref="R27">
      <formula1>"0,1"</formula1>
    </dataValidation>
    <dataValidation type="list" allowBlank="1" showInputMessage="1" showErrorMessage="1" sqref="R38 V38 Z38 AF72 AF84">
      <formula1>"0,1"</formula1>
    </dataValidation>
    <dataValidation type="list" allowBlank="1" showInputMessage="1" showErrorMessage="1" sqref="AD38">
      <formula1>"0,1,2,3,4,5,6,7"</formula1>
    </dataValidation>
    <dataValidation type="list" allowBlank="1" showInputMessage="1" showErrorMessage="1" promptTitle="Note" prompt="This block is used for more than one mux." sqref="AI38">
      <formula1>"0,1"</formula1>
    </dataValidation>
    <dataValidation allowBlank="1" showInputMessage="1" showErrorMessage="1" promptTitle="What is this?" prompt="This signal goes to out to flash and is the same frequency as &quot;A&quot;." sqref="AU56"/>
    <dataValidation allowBlank="1" showInputMessage="1" showErrorMessage="1" promptTitle="What is this?" prompt="SCKA loopback clock is same frequency as SCKA (PAD), but is looped back to SoC right before reaching the pad.  It is the same frequency as &quot;A&quot;, but with the silicon path delay of traveling to and back from the pad." sqref="AU53"/>
    <dataValidation allowBlank="1" showInputMessage="1" showErrorMessage="1" promptTitle="What is this?" prompt="&quot;A&quot; is the point of origin for SCKA/B (PAD) and SCKA/B loopback clock." sqref="AP53"/>
    <dataValidation allowBlank="1" showInputMessage="1" showErrorMessage="1" promptTitle="What is this?" prompt="Same logic as SCkA (PAD) vs. SCKA loopback clock." sqref="AU62"/>
    <dataValidation allowBlank="1" showInputMessage="1" showErrorMessage="1" promptTitle="What is this?" prompt="Read-write data strobe signal. It is DQS (sampling) signal coming from flash used in DDR mode only. Its frequency is the same as SCKB. DDR supports up to 20 MHz, so maximum frequency of RWDS is 20 MHz.  User responsibility. No hardware cap." sqref="AU64"/>
    <dataValidation allowBlank="1" showInputMessage="1" showErrorMessage="1" promptTitle="Note" prompt="Only relevant for DDR mode." sqref="AM88"/>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 id="{84EDC7E5-C496-400B-AAAA-12489C399B94}">
            <xm:f>$AM$88&gt;Limits!$E$35</xm:f>
            <x14:dxf>
              <fill>
                <patternFill>
                  <bgColor rgb="FFFF0000"/>
                </patternFill>
              </fill>
            </x14:dxf>
          </x14:cfRule>
          <x14:cfRule type="expression" priority="13" id="{C45CC9B1-CEB9-4911-9079-5B0115FE7EFB}">
            <xm:f>$AM$88&gt;Limits!$B$28</xm:f>
            <x14:dxf>
              <fill>
                <patternFill>
                  <bgColor rgb="FF00B0F0"/>
                </patternFill>
              </fill>
            </x14:dxf>
          </x14:cfRule>
          <xm:sqref>AM88</xm:sqref>
        </x14:conditionalFormatting>
        <x14:conditionalFormatting xmlns:xm="http://schemas.microsoft.com/office/excel/2006/main">
          <x14:cfRule type="expression" priority="4" id="{8FEAE1E4-E239-48C0-9DA0-014BB5A436D4}">
            <xm:f>$AU$64&gt;Limits!$E$35</xm:f>
            <x14:dxf>
              <fill>
                <patternFill>
                  <bgColor rgb="FFFF0000"/>
                </patternFill>
              </fill>
            </x14:dxf>
          </x14:cfRule>
          <x14:cfRule type="expression" priority="12" id="{B1417253-3D42-4C67-A35B-8E2681108DB0}">
            <xm:f>$AU$64&gt;Limits!$B$28</xm:f>
            <x14:dxf>
              <fill>
                <patternFill>
                  <bgColor rgb="FF00B0F0"/>
                </patternFill>
              </fill>
            </x14:dxf>
          </x14:cfRule>
          <xm:sqref>AU64</xm:sqref>
        </x14:conditionalFormatting>
        <x14:conditionalFormatting xmlns:xm="http://schemas.microsoft.com/office/excel/2006/main">
          <x14:cfRule type="expression" priority="11" id="{A317066B-84AE-4592-98FC-BDCB561E716A}">
            <xm:f>$U$13&gt;Limits!$E$35</xm:f>
            <x14:dxf>
              <fill>
                <patternFill>
                  <bgColor rgb="FFFF0000"/>
                </patternFill>
              </fill>
            </x14:dxf>
          </x14:cfRule>
          <xm:sqref>U13</xm:sqref>
        </x14:conditionalFormatting>
        <x14:conditionalFormatting xmlns:xm="http://schemas.microsoft.com/office/excel/2006/main">
          <x14:cfRule type="expression" priority="10" id="{24A19A95-11EF-43C2-A5F8-789084E5AD20}">
            <xm:f>$Y$24&gt;Limits!$E$35</xm:f>
            <x14:dxf>
              <fill>
                <patternFill>
                  <bgColor rgb="FFFF0000"/>
                </patternFill>
              </fill>
            </x14:dxf>
          </x14:cfRule>
          <xm:sqref>Y24</xm:sqref>
        </x14:conditionalFormatting>
        <x14:conditionalFormatting xmlns:xm="http://schemas.microsoft.com/office/excel/2006/main">
          <x14:cfRule type="expression" priority="9" id="{6D45C59F-DBBE-43C3-880E-67137D0CAC1F}">
            <xm:f>$AP$53&gt;Limits!$E$35</xm:f>
            <x14:dxf>
              <fill>
                <patternFill>
                  <bgColor rgb="FFFF0000"/>
                </patternFill>
              </fill>
            </x14:dxf>
          </x14:cfRule>
          <xm:sqref>AM44 AP53 AU53 AU56 AU59 AU62</xm:sqref>
        </x14:conditionalFormatting>
        <x14:conditionalFormatting xmlns:xm="http://schemas.microsoft.com/office/excel/2006/main">
          <x14:cfRule type="expression" priority="8" id="{313852B6-4992-4F9F-AABF-921723DA81F4}">
            <xm:f>$AK$34&gt;Limits!$E$35</xm:f>
            <x14:dxf>
              <fill>
                <patternFill>
                  <bgColor rgb="FFFF0000"/>
                </patternFill>
              </fill>
            </x14:dxf>
          </x14:cfRule>
          <xm:sqref>AK34</xm:sqref>
        </x14:conditionalFormatting>
        <x14:conditionalFormatting xmlns:xm="http://schemas.microsoft.com/office/excel/2006/main">
          <x14:cfRule type="expression" priority="7" id="{EDE6918A-F763-4ECC-8CB8-C1946F9CBC34}">
            <xm:f>$AS$69&gt;Limits!$E$35</xm:f>
            <x14:dxf>
              <fill>
                <patternFill>
                  <bgColor rgb="FFFF0000"/>
                </patternFill>
              </fill>
            </x14:dxf>
          </x14:cfRule>
          <xm:sqref>AB67 AB70 AB79 AB82 AH68 AH80 AO69 AO81 AS69</xm:sqref>
        </x14:conditionalFormatting>
        <x14:conditionalFormatting xmlns:xm="http://schemas.microsoft.com/office/excel/2006/main">
          <x14:cfRule type="expression" priority="2" id="{744ECD6E-4C5C-4D0C-A709-E14DED0493CB}">
            <xm:f>$AS$81&gt;Limits!$E$35</xm:f>
            <x14:dxf>
              <fill>
                <patternFill>
                  <bgColor rgb="FFFF0000"/>
                </patternFill>
              </fill>
            </x14:dxf>
          </x14:cfRule>
          <x14:cfRule type="expression" priority="6" id="{9E5C0598-1953-44F4-8FCC-E588AA72C488}">
            <xm:f>$AS$81&gt;Limits!$B$28</xm:f>
            <x14:dxf>
              <fill>
                <patternFill>
                  <bgColor rgb="FF00B0F0"/>
                </patternFill>
              </fill>
            </x14:dxf>
          </x14:cfRule>
          <xm:sqref>AS81</xm:sqref>
        </x14:conditionalFormatting>
        <x14:conditionalFormatting xmlns:xm="http://schemas.microsoft.com/office/excel/2006/main">
          <x14:cfRule type="expression" priority="1" id="{103D9862-7940-4618-AEA9-108349360ED7}">
            <xm:f>$AW$81&gt;Limits!$E$35</xm:f>
            <x14:dxf>
              <fill>
                <patternFill>
                  <bgColor rgb="FFFF0000"/>
                </patternFill>
              </fill>
            </x14:dxf>
          </x14:cfRule>
          <x14:cfRule type="expression" priority="5" id="{25CB81D4-0014-42B3-80EB-B9B9021A9FE2}">
            <xm:f>$AW$81&gt;Limits!$B$28</xm:f>
            <x14:dxf>
              <fill>
                <patternFill>
                  <bgColor rgb="FF00B0F0"/>
                </patternFill>
              </fill>
            </x14:dxf>
          </x14:cfRule>
          <xm:sqref>AW81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8:AW47"/>
  <sheetViews>
    <sheetView topLeftCell="Q1" zoomScale="85" zoomScaleNormal="85" workbookViewId="0">
      <selection activeCell="AK10" sqref="AK10"/>
    </sheetView>
  </sheetViews>
  <sheetFormatPr defaultRowHeight="14.4" x14ac:dyDescent="0.25"/>
  <sheetData>
    <row r="8" spans="2:49" ht="15" thickBot="1" x14ac:dyDescent="0.3"/>
    <row r="9" spans="2:49" ht="15.6" thickTop="1" thickBot="1" x14ac:dyDescent="0.3">
      <c r="B9" s="37">
        <f>'Module Domains'!$M$536</f>
        <v>112</v>
      </c>
      <c r="D9" s="37">
        <f>'Module Domains'!$O$536</f>
        <v>0</v>
      </c>
      <c r="F9" s="37">
        <f>'Module Domains'!$S$536</f>
        <v>0</v>
      </c>
      <c r="H9" s="37">
        <f>'Module Domains'!$W$536</f>
        <v>0</v>
      </c>
      <c r="J9" s="37">
        <f>'Module Domains'!$AA$536</f>
        <v>0</v>
      </c>
    </row>
    <row r="10" spans="2:49" ht="15" thickTop="1" x14ac:dyDescent="0.25"/>
    <row r="11" spans="2:49" ht="15" thickBot="1" x14ac:dyDescent="0.3"/>
    <row r="12" spans="2:49" ht="15.6" thickTop="1" thickBot="1" x14ac:dyDescent="0.3">
      <c r="P12" s="37">
        <f>IF(N16=0,0,B9)</f>
        <v>0</v>
      </c>
      <c r="AA12" s="37">
        <f>IF(Y14="S32K14x",P12,0)</f>
        <v>0</v>
      </c>
    </row>
    <row r="13" spans="2:49" ht="15.6" thickTop="1" thickBot="1" x14ac:dyDescent="0.3">
      <c r="AR13" s="37">
        <f>IF(AT17=0,0,AW14)</f>
        <v>0</v>
      </c>
    </row>
    <row r="14" spans="2:49" ht="15.6" thickTop="1" thickBot="1" x14ac:dyDescent="0.3">
      <c r="Y14" s="37" t="str">
        <f>Selected_Device</f>
        <v>S32K14x</v>
      </c>
      <c r="AW14" s="37">
        <f>J9</f>
        <v>0</v>
      </c>
    </row>
    <row r="15" spans="2:49" ht="15.6" thickTop="1" thickBot="1" x14ac:dyDescent="0.3"/>
    <row r="16" spans="2:49" ht="15.6" thickTop="1" thickBot="1" x14ac:dyDescent="0.3">
      <c r="N16" s="59">
        <v>0</v>
      </c>
    </row>
    <row r="17" spans="40:49" ht="15.6" thickTop="1" thickBot="1" x14ac:dyDescent="0.3">
      <c r="AT17" s="59">
        <v>0</v>
      </c>
    </row>
    <row r="18" spans="40:49" ht="15.6" thickTop="1" thickBot="1" x14ac:dyDescent="0.3"/>
    <row r="19" spans="40:49" ht="15.6" thickTop="1" thickBot="1" x14ac:dyDescent="0.3">
      <c r="AN19" s="37">
        <f>IF(AP23=0,AW20,AW14)</f>
        <v>2.5</v>
      </c>
    </row>
    <row r="20" spans="40:49" ht="15.6" thickTop="1" thickBot="1" x14ac:dyDescent="0.3">
      <c r="AW20" s="37">
        <f>'Module Domains'!$E$362</f>
        <v>2.5</v>
      </c>
    </row>
    <row r="21" spans="40:49" ht="15" thickTop="1" x14ac:dyDescent="0.25"/>
    <row r="22" spans="40:49" ht="15" thickBot="1" x14ac:dyDescent="0.3"/>
    <row r="23" spans="40:49" ht="15.6" thickTop="1" thickBot="1" x14ac:dyDescent="0.3">
      <c r="AP23" s="59">
        <v>0</v>
      </c>
    </row>
    <row r="24" spans="40:49" ht="15" thickTop="1" x14ac:dyDescent="0.25"/>
    <row r="30" spans="40:49" ht="15" thickBot="1" x14ac:dyDescent="0.3"/>
    <row r="31" spans="40:49" ht="15.6" thickTop="1" thickBot="1" x14ac:dyDescent="0.3">
      <c r="AW31" s="37">
        <f>'Module Domains'!$E$371</f>
        <v>2.5</v>
      </c>
    </row>
    <row r="32" spans="40:49" ht="15.6" thickTop="1" thickBot="1" x14ac:dyDescent="0.3"/>
    <row r="33" spans="2:27" ht="15.6" thickTop="1" thickBot="1" x14ac:dyDescent="0.3">
      <c r="P33" s="37">
        <f>IF(N36=0,0,IF(N36=1,J9,IF(N36=2,H9,IF(N36=3,F9,IF(N36=6,D9,0)))))</f>
        <v>0</v>
      </c>
      <c r="W33" s="37">
        <f>IF(AND(U36=0,R36=1),0,P33*((R36+1)/(U36+1)))</f>
        <v>0</v>
      </c>
      <c r="AA33" s="37">
        <f>IF(Y35="S32K14x",W33,0)</f>
        <v>0</v>
      </c>
    </row>
    <row r="34" spans="2:27" ht="15.6" thickTop="1" thickBot="1" x14ac:dyDescent="0.3"/>
    <row r="35" spans="2:27" ht="15.6" thickTop="1" thickBot="1" x14ac:dyDescent="0.3">
      <c r="Y35" s="37" t="str">
        <f>Selected_Device</f>
        <v>S32K14x</v>
      </c>
    </row>
    <row r="36" spans="2:27" ht="15.6" thickTop="1" thickBot="1" x14ac:dyDescent="0.3">
      <c r="N36" s="59">
        <v>0</v>
      </c>
      <c r="R36" s="59">
        <v>0</v>
      </c>
      <c r="U36" s="59">
        <v>0</v>
      </c>
    </row>
    <row r="37" spans="2:27" ht="15" thickTop="1" x14ac:dyDescent="0.25"/>
    <row r="45" spans="2:27" ht="15" thickBot="1" x14ac:dyDescent="0.3"/>
    <row r="46" spans="2:27" ht="15.6" thickTop="1" thickBot="1" x14ac:dyDescent="0.3">
      <c r="B46" s="37">
        <f>B9</f>
        <v>112</v>
      </c>
      <c r="D46" s="37">
        <f>D9</f>
        <v>0</v>
      </c>
      <c r="F46" s="37">
        <f>F9</f>
        <v>0</v>
      </c>
      <c r="H46" s="37">
        <f>H9</f>
        <v>0</v>
      </c>
      <c r="J46" s="37">
        <f>J9</f>
        <v>0</v>
      </c>
    </row>
    <row r="47" spans="2:27" ht="15" thickTop="1" x14ac:dyDescent="0.25"/>
  </sheetData>
  <phoneticPr fontId="11" type="noConversion"/>
  <conditionalFormatting sqref="AN19">
    <cfRule type="expression" dxfId="13" priority="1">
      <formula>NOT(OR($AN$19=2.5,$AN$19=25,$AN$19=50))</formula>
    </cfRule>
  </conditionalFormatting>
  <dataValidations count="6">
    <dataValidation type="list" allowBlank="1" showInputMessage="1" showErrorMessage="1" sqref="N16">
      <formula1>"0,1"</formula1>
    </dataValidation>
    <dataValidation type="list" allowBlank="1" showInputMessage="1" showErrorMessage="1" sqref="N36 U36">
      <formula1>"0,1,2,3,4,5,6,7"</formula1>
    </dataValidation>
    <dataValidation type="list" allowBlank="1" showInputMessage="1" showErrorMessage="1" promptTitle="Note" prompt="Output = Input * (FRAC+1)/(PCD+1). When PCD = 0, then FRAC must also be 0, or else output is disabled." sqref="R36">
      <formula1>"0,1"</formula1>
    </dataValidation>
    <dataValidation type="list" allowBlank="1" showInputMessage="1" showErrorMessage="1" promptTitle="What is this?" prompt="Enables/Disables RMII internal loopback mode." sqref="AT17">
      <formula1>"0,1"</formula1>
    </dataValidation>
    <dataValidation type="list" allowBlank="1" showInputMessage="1" showErrorMessage="1" promptTitle="What is this?" prompt="Selects between RMII external and internal loopback mode." sqref="AP23">
      <formula1>"0,1"</formula1>
    </dataValidation>
    <dataValidation allowBlank="1" showInputMessage="1" showErrorMessage="1" promptTitle="Frequencies" prompt="2.5 MHz, 25 MHz, and 50 MHz are allowed." sqref="AN19"/>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D10:AV277"/>
  <sheetViews>
    <sheetView topLeftCell="AC73" zoomScaleNormal="100" workbookViewId="0">
      <selection activeCell="D196" sqref="D196"/>
    </sheetView>
  </sheetViews>
  <sheetFormatPr defaultRowHeight="14.4" x14ac:dyDescent="0.25"/>
  <sheetData>
    <row r="10" spans="4:48" ht="15" thickBot="1" x14ac:dyDescent="0.3"/>
    <row r="11" spans="4:48" ht="15.6" thickTop="1" thickBot="1" x14ac:dyDescent="0.3">
      <c r="D11" s="37">
        <f>'Module Domains'!AK57</f>
        <v>0</v>
      </c>
      <c r="AM11" s="109">
        <f>IF(G44=0,IF(K18=0,0,(1/K18)),IF(P40=0,0,(1/P40)))*1000</f>
        <v>0</v>
      </c>
      <c r="AV11" s="109">
        <f>IF(AND(G74=1,K74=1,N74=1),IF(S70=0,0,(1/S70)),IF(G44=0,IF(K18=0,0,(1/K18)),IF(P40=0,0,(1/P40))))*1000</f>
        <v>0</v>
      </c>
    </row>
    <row r="12" spans="4:48" ht="15" thickTop="1" x14ac:dyDescent="0.25">
      <c r="AM12" s="109"/>
      <c r="AV12" s="109"/>
    </row>
    <row r="13" spans="4:48" x14ac:dyDescent="0.25">
      <c r="AM13" s="109"/>
      <c r="AV13" s="109"/>
    </row>
    <row r="14" spans="4:48" ht="15" thickBot="1" x14ac:dyDescent="0.3">
      <c r="AM14" s="109"/>
      <c r="AV14" s="109"/>
    </row>
    <row r="15" spans="4:48" ht="15.6" thickTop="1" thickBot="1" x14ac:dyDescent="0.3">
      <c r="D15" s="37">
        <f>'Module Domains'!M12</f>
        <v>112</v>
      </c>
      <c r="AM15" s="109"/>
      <c r="AV15" s="109"/>
    </row>
    <row r="16" spans="4:48" ht="15" thickTop="1" x14ac:dyDescent="0.25">
      <c r="AM16" s="109"/>
      <c r="AV16" s="109"/>
    </row>
    <row r="17" spans="4:48" ht="15" thickBot="1" x14ac:dyDescent="0.3">
      <c r="AM17" s="109"/>
      <c r="AV17" s="109"/>
    </row>
    <row r="18" spans="4:48" ht="15.6" thickTop="1" thickBot="1" x14ac:dyDescent="0.3">
      <c r="K18" s="37">
        <f>D19/(I22+1)</f>
        <v>0</v>
      </c>
      <c r="AM18" s="109"/>
      <c r="AV18" s="109"/>
    </row>
    <row r="19" spans="4:48" ht="15.6" thickTop="1" thickBot="1" x14ac:dyDescent="0.3">
      <c r="D19" s="37">
        <f>'Module Domains'!AN69</f>
        <v>0</v>
      </c>
      <c r="AM19" s="109"/>
      <c r="AV19" s="109"/>
    </row>
    <row r="20" spans="4:48" ht="15" thickTop="1" x14ac:dyDescent="0.25">
      <c r="AM20" s="109"/>
      <c r="AV20" s="109"/>
    </row>
    <row r="21" spans="4:48" ht="15" thickBot="1" x14ac:dyDescent="0.3">
      <c r="AM21" s="108">
        <f>IF(G44=0,IF(K18=0,0,(1/K18)*(1+Q22)),IF(P40=0,0,(1/P40)*(1+AA44)))*1000</f>
        <v>0</v>
      </c>
      <c r="AV21" s="108">
        <f>IF(AND(G74=1,K74=1,N74=1),IF(S70=0,0,(1/S70)*(AA74)),IF(G44=0,IF(K18=0,0,(1/K18)*(AA44+1)),IF(P40=0,0,(1/P40)*(Q22+1))))*1000</f>
        <v>0</v>
      </c>
    </row>
    <row r="22" spans="4:48" ht="15.6" thickTop="1" thickBot="1" x14ac:dyDescent="0.3">
      <c r="I22" s="59">
        <v>0</v>
      </c>
      <c r="M22" s="59">
        <v>0</v>
      </c>
      <c r="Q22" s="59">
        <v>0</v>
      </c>
      <c r="AM22" s="108"/>
      <c r="AV22" s="108"/>
    </row>
    <row r="23" spans="4:48" ht="15" thickTop="1" x14ac:dyDescent="0.25">
      <c r="AM23" s="108"/>
      <c r="AV23" s="108"/>
    </row>
    <row r="24" spans="4:48" x14ac:dyDescent="0.25">
      <c r="AM24" s="108"/>
      <c r="AV24" s="108"/>
    </row>
    <row r="25" spans="4:48" x14ac:dyDescent="0.25">
      <c r="AM25" s="108"/>
      <c r="AV25" s="108"/>
    </row>
    <row r="26" spans="4:48" x14ac:dyDescent="0.25">
      <c r="AM26" s="108"/>
      <c r="AV26" s="108"/>
    </row>
    <row r="27" spans="4:48" x14ac:dyDescent="0.25">
      <c r="AM27" s="108"/>
      <c r="AV27" s="108"/>
    </row>
    <row r="28" spans="4:48" ht="15" thickBot="1" x14ac:dyDescent="0.3">
      <c r="AM28" s="108"/>
      <c r="AV28" s="108"/>
    </row>
    <row r="29" spans="4:48" ht="15.6" thickTop="1" thickBot="1" x14ac:dyDescent="0.3">
      <c r="Q29" s="59">
        <v>0</v>
      </c>
      <c r="AM29" s="108"/>
      <c r="AV29" s="108"/>
    </row>
    <row r="30" spans="4:48" ht="15" thickTop="1" x14ac:dyDescent="0.25">
      <c r="AM30" s="108"/>
      <c r="AV30" s="108"/>
    </row>
    <row r="31" spans="4:48" x14ac:dyDescent="0.25">
      <c r="AM31" s="108"/>
      <c r="AV31" s="108"/>
    </row>
    <row r="32" spans="4:48" x14ac:dyDescent="0.25">
      <c r="AM32" s="108"/>
      <c r="AV32" s="108"/>
    </row>
    <row r="33" spans="7:48" x14ac:dyDescent="0.25">
      <c r="AM33" s="108"/>
      <c r="AV33" s="108"/>
    </row>
    <row r="34" spans="7:48" x14ac:dyDescent="0.25">
      <c r="AM34" s="108"/>
      <c r="AV34" s="108"/>
    </row>
    <row r="35" spans="7:48" ht="15" thickBot="1" x14ac:dyDescent="0.3">
      <c r="AM35" s="108"/>
      <c r="AV35" s="108"/>
    </row>
    <row r="36" spans="7:48" ht="15.6" thickTop="1" thickBot="1" x14ac:dyDescent="0.3">
      <c r="Q36" s="59">
        <v>0</v>
      </c>
      <c r="AM36" s="108"/>
      <c r="AV36" s="108"/>
    </row>
    <row r="37" spans="7:48" ht="15" thickTop="1" x14ac:dyDescent="0.25">
      <c r="AM37" s="108"/>
      <c r="AV37" s="108"/>
    </row>
    <row r="38" spans="7:48" x14ac:dyDescent="0.25">
      <c r="AM38" s="108"/>
      <c r="AV38" s="108"/>
    </row>
    <row r="39" spans="7:48" ht="15" thickBot="1" x14ac:dyDescent="0.3">
      <c r="AM39" s="108"/>
      <c r="AV39" s="108"/>
    </row>
    <row r="40" spans="7:48" ht="15.6" thickTop="1" thickBot="1" x14ac:dyDescent="0.3">
      <c r="J40" s="37">
        <f>IF(G44=0,0,D19)</f>
        <v>0</v>
      </c>
      <c r="P40" s="37">
        <f>J40/(M44+1)</f>
        <v>0</v>
      </c>
      <c r="AM40" s="108"/>
      <c r="AV40" s="108"/>
    </row>
    <row r="41" spans="7:48" ht="15" thickTop="1" x14ac:dyDescent="0.25">
      <c r="AM41" s="108"/>
      <c r="AV41" s="108"/>
    </row>
    <row r="42" spans="7:48" x14ac:dyDescent="0.25">
      <c r="AM42" s="108"/>
      <c r="AV42" s="108"/>
    </row>
    <row r="43" spans="7:48" ht="15" thickBot="1" x14ac:dyDescent="0.3">
      <c r="AM43" s="108"/>
      <c r="AV43" s="108"/>
    </row>
    <row r="44" spans="7:48" ht="15.6" thickTop="1" thickBot="1" x14ac:dyDescent="0.3">
      <c r="G44" s="59">
        <v>0</v>
      </c>
      <c r="M44" s="59">
        <v>0</v>
      </c>
      <c r="T44" s="59">
        <v>0</v>
      </c>
      <c r="AA44" s="59">
        <v>0</v>
      </c>
      <c r="AM44" s="108"/>
      <c r="AV44" s="108"/>
    </row>
    <row r="45" spans="7:48" ht="15" thickTop="1" x14ac:dyDescent="0.25">
      <c r="AM45" s="108"/>
      <c r="AV45" s="108"/>
    </row>
    <row r="46" spans="7:48" x14ac:dyDescent="0.25">
      <c r="AM46" s="108"/>
      <c r="AV46" s="108"/>
    </row>
    <row r="47" spans="7:48" x14ac:dyDescent="0.25">
      <c r="AM47" s="108"/>
      <c r="AV47" s="108"/>
    </row>
    <row r="48" spans="7:48" x14ac:dyDescent="0.25">
      <c r="AM48" s="106">
        <f>IF(G44=0,IF(K18=0,0,(1/K18)*(1+Q29)),IF(P40=0,0,(1/P40)*(1+AA52)))*1000</f>
        <v>0</v>
      </c>
      <c r="AV48" s="106">
        <f>IF(AND(G74=1,K74=1,N74=1),IF(S70=0,0,(1/S70)*(AA82+1)),IF(G44=0,IF(K18=0,0,(1/K18)*(AA52+1)),IF(P40=0,0,(1/P40)*(Q29+1))))*1000</f>
        <v>0</v>
      </c>
    </row>
    <row r="49" spans="27:48" x14ac:dyDescent="0.25">
      <c r="AM49" s="106"/>
      <c r="AV49" s="106"/>
    </row>
    <row r="50" spans="27:48" x14ac:dyDescent="0.25">
      <c r="AM50" s="106"/>
      <c r="AV50" s="106"/>
    </row>
    <row r="51" spans="27:48" ht="15" thickBot="1" x14ac:dyDescent="0.3">
      <c r="AM51" s="106"/>
      <c r="AV51" s="106"/>
    </row>
    <row r="52" spans="27:48" ht="15.6" thickTop="1" thickBot="1" x14ac:dyDescent="0.3">
      <c r="AA52" s="59">
        <v>0</v>
      </c>
      <c r="AM52" s="106"/>
      <c r="AV52" s="106"/>
    </row>
    <row r="53" spans="27:48" ht="15" thickTop="1" x14ac:dyDescent="0.25">
      <c r="AM53" s="106"/>
      <c r="AV53" s="106"/>
    </row>
    <row r="54" spans="27:48" x14ac:dyDescent="0.25">
      <c r="AM54" s="106"/>
      <c r="AV54" s="106"/>
    </row>
    <row r="55" spans="27:48" x14ac:dyDescent="0.25">
      <c r="AM55" s="106"/>
      <c r="AV55" s="106"/>
    </row>
    <row r="56" spans="27:48" x14ac:dyDescent="0.25">
      <c r="AM56" s="106"/>
      <c r="AV56" s="106"/>
    </row>
    <row r="57" spans="27:48" x14ac:dyDescent="0.25">
      <c r="AM57" s="106"/>
      <c r="AV57" s="106"/>
    </row>
    <row r="58" spans="27:48" ht="15" thickBot="1" x14ac:dyDescent="0.3">
      <c r="AM58" s="106"/>
      <c r="AV58" s="106"/>
    </row>
    <row r="59" spans="27:48" ht="15.6" thickTop="1" thickBot="1" x14ac:dyDescent="0.3">
      <c r="AA59" s="59">
        <v>0</v>
      </c>
      <c r="AM59" s="106"/>
      <c r="AV59" s="106"/>
    </row>
    <row r="60" spans="27:48" ht="15" thickTop="1" x14ac:dyDescent="0.25">
      <c r="AM60" s="106"/>
      <c r="AV60" s="106"/>
    </row>
    <row r="61" spans="27:48" x14ac:dyDescent="0.25">
      <c r="AM61" s="106"/>
      <c r="AV61" s="106"/>
    </row>
    <row r="62" spans="27:48" x14ac:dyDescent="0.25">
      <c r="AM62" s="106"/>
      <c r="AV62" s="106"/>
    </row>
    <row r="63" spans="27:48" x14ac:dyDescent="0.25">
      <c r="AM63" s="106"/>
      <c r="AV63" s="106"/>
    </row>
    <row r="64" spans="27:48" x14ac:dyDescent="0.25">
      <c r="AM64" s="106"/>
      <c r="AV64" s="106"/>
    </row>
    <row r="65" spans="7:48" x14ac:dyDescent="0.25">
      <c r="AM65" s="106"/>
      <c r="AV65" s="106"/>
    </row>
    <row r="66" spans="7:48" x14ac:dyDescent="0.25">
      <c r="AM66" s="106"/>
      <c r="AV66" s="106"/>
    </row>
    <row r="67" spans="7:48" x14ac:dyDescent="0.25">
      <c r="AM67" s="106"/>
      <c r="AV67" s="106"/>
    </row>
    <row r="68" spans="7:48" x14ac:dyDescent="0.25">
      <c r="AM68" s="106"/>
      <c r="AV68" s="106"/>
    </row>
    <row r="69" spans="7:48" ht="15" thickBot="1" x14ac:dyDescent="0.3">
      <c r="AM69" s="106"/>
      <c r="AV69" s="106"/>
    </row>
    <row r="70" spans="7:48" ht="15.6" thickTop="1" thickBot="1" x14ac:dyDescent="0.3">
      <c r="I70" s="37">
        <f>IF(G74=0,0,D19)</f>
        <v>0</v>
      </c>
      <c r="S70" s="37">
        <f>I70/(Q74+1)</f>
        <v>0</v>
      </c>
      <c r="AM70" s="107">
        <f>IF(G44=0,IF(K18=0,0,(1/K18)*(Q36+1)),IF(P40=0,0,(1/P40)*(AA59+1)))*1000</f>
        <v>0</v>
      </c>
      <c r="AV70" s="107">
        <f>IF(AND(G74=1,K74=1,N74=1),IF(S70=0,0,(1/S70)*(AA89+1)),IF(G44=0,IF(K18=0,0,(1/K18)*(AA59+1)),IF(P40=0,0,(1/P40)*(Q36+1))))*1000</f>
        <v>0</v>
      </c>
    </row>
    <row r="71" spans="7:48" ht="15" thickTop="1" x14ac:dyDescent="0.25">
      <c r="AM71" s="107"/>
      <c r="AV71" s="107"/>
    </row>
    <row r="72" spans="7:48" x14ac:dyDescent="0.25">
      <c r="AM72" s="107"/>
      <c r="AV72" s="107"/>
    </row>
    <row r="73" spans="7:48" ht="15" thickBot="1" x14ac:dyDescent="0.3">
      <c r="AM73" s="107"/>
      <c r="AV73" s="107"/>
    </row>
    <row r="74" spans="7:48" ht="15.6" thickTop="1" thickBot="1" x14ac:dyDescent="0.3">
      <c r="G74" s="59">
        <v>0</v>
      </c>
      <c r="K74" s="59">
        <v>1</v>
      </c>
      <c r="N74" s="59">
        <v>0</v>
      </c>
      <c r="Q74" s="59">
        <v>0</v>
      </c>
      <c r="U74" s="59">
        <v>0</v>
      </c>
      <c r="AA74" s="59">
        <v>0</v>
      </c>
      <c r="AM74" s="107"/>
      <c r="AV74" s="107"/>
    </row>
    <row r="75" spans="7:48" ht="15" thickTop="1" x14ac:dyDescent="0.25">
      <c r="AM75" s="107"/>
      <c r="AV75" s="107"/>
    </row>
    <row r="76" spans="7:48" x14ac:dyDescent="0.25">
      <c r="AM76" s="107"/>
      <c r="AV76" s="107"/>
    </row>
    <row r="77" spans="7:48" x14ac:dyDescent="0.25">
      <c r="AM77" s="107"/>
      <c r="AV77" s="107"/>
    </row>
    <row r="78" spans="7:48" x14ac:dyDescent="0.25">
      <c r="AM78" s="107"/>
      <c r="AV78" s="107"/>
    </row>
    <row r="79" spans="7:48" x14ac:dyDescent="0.25">
      <c r="AM79" s="107"/>
      <c r="AV79" s="107"/>
    </row>
    <row r="80" spans="7:48" x14ac:dyDescent="0.25">
      <c r="AM80" s="107"/>
      <c r="AV80" s="107"/>
    </row>
    <row r="81" spans="27:48" ht="15" thickBot="1" x14ac:dyDescent="0.3">
      <c r="AM81" s="107"/>
      <c r="AV81" s="107"/>
    </row>
    <row r="82" spans="27:48" ht="15.6" thickTop="1" thickBot="1" x14ac:dyDescent="0.3">
      <c r="AA82" s="59">
        <v>0</v>
      </c>
      <c r="AM82" s="107"/>
      <c r="AV82" s="107"/>
    </row>
    <row r="83" spans="27:48" ht="15" thickTop="1" x14ac:dyDescent="0.25">
      <c r="AM83" s="107"/>
      <c r="AV83" s="107"/>
    </row>
    <row r="84" spans="27:48" x14ac:dyDescent="0.25">
      <c r="AM84" s="107"/>
      <c r="AV84" s="107"/>
    </row>
    <row r="85" spans="27:48" x14ac:dyDescent="0.25">
      <c r="AM85" s="107"/>
      <c r="AV85" s="107"/>
    </row>
    <row r="86" spans="27:48" x14ac:dyDescent="0.25">
      <c r="AM86" s="107"/>
      <c r="AV86" s="107"/>
    </row>
    <row r="87" spans="27:48" x14ac:dyDescent="0.25">
      <c r="AM87" s="107"/>
      <c r="AV87" s="107"/>
    </row>
    <row r="88" spans="27:48" ht="15" thickBot="1" x14ac:dyDescent="0.3">
      <c r="AM88" s="107"/>
      <c r="AV88" s="107"/>
    </row>
    <row r="89" spans="27:48" ht="15.6" thickTop="1" thickBot="1" x14ac:dyDescent="0.3">
      <c r="AA89" s="59">
        <v>0</v>
      </c>
    </row>
    <row r="90" spans="27:48" ht="15" thickTop="1" x14ac:dyDescent="0.25"/>
    <row r="105" spans="4:48" ht="15" thickBot="1" x14ac:dyDescent="0.3"/>
    <row r="106" spans="4:48" ht="15.6" thickTop="1" thickBot="1" x14ac:dyDescent="0.3">
      <c r="D106" s="101">
        <f>'Module Domains'!AK262</f>
        <v>0</v>
      </c>
      <c r="AM106" s="109">
        <f>IF(G140=0,IF(K114=0,0,(1/K114)),IF(P136=0,0,(1/P136)))*1000</f>
        <v>8.9285714285714288</v>
      </c>
      <c r="AV106" s="109">
        <f>IF(AND(G170=1,K170=1,N170=1),IF(S166=0,0,(1/S166)),IF(G140=0,IF(K114=0,0,(1/K114)),IF(P136=0,0,(1/P136))))*1000</f>
        <v>8.9285714285714288</v>
      </c>
    </row>
    <row r="107" spans="4:48" ht="15" thickTop="1" x14ac:dyDescent="0.25">
      <c r="E107" s="100"/>
      <c r="AM107" s="109"/>
      <c r="AV107" s="109"/>
    </row>
    <row r="108" spans="4:48" x14ac:dyDescent="0.25">
      <c r="AM108" s="109"/>
      <c r="AV108" s="109"/>
    </row>
    <row r="109" spans="4:48" ht="15" thickBot="1" x14ac:dyDescent="0.3">
      <c r="AM109" s="109"/>
      <c r="AV109" s="109"/>
    </row>
    <row r="110" spans="4:48" ht="15.6" thickTop="1" thickBot="1" x14ac:dyDescent="0.3">
      <c r="D110" s="37">
        <f>'Module Domains'!M12</f>
        <v>112</v>
      </c>
      <c r="AM110" s="109"/>
      <c r="AV110" s="109"/>
    </row>
    <row r="111" spans="4:48" ht="15" thickTop="1" x14ac:dyDescent="0.25">
      <c r="AM111" s="109"/>
      <c r="AV111" s="109"/>
    </row>
    <row r="112" spans="4:48" x14ac:dyDescent="0.25">
      <c r="AM112" s="109"/>
      <c r="AV112" s="109"/>
    </row>
    <row r="113" spans="4:48" ht="15" thickBot="1" x14ac:dyDescent="0.3">
      <c r="AM113" s="109"/>
      <c r="AV113" s="109"/>
    </row>
    <row r="114" spans="4:48" ht="15.6" thickTop="1" thickBot="1" x14ac:dyDescent="0.3">
      <c r="D114" s="37">
        <f>'Module Domains'!AN273</f>
        <v>112</v>
      </c>
      <c r="K114" s="37">
        <f>D114/(1+I117)</f>
        <v>112</v>
      </c>
      <c r="AM114" s="109"/>
      <c r="AV114" s="109"/>
    </row>
    <row r="115" spans="4:48" ht="15" thickTop="1" x14ac:dyDescent="0.25">
      <c r="AM115" s="109"/>
      <c r="AV115" s="109"/>
    </row>
    <row r="116" spans="4:48" ht="15" thickBot="1" x14ac:dyDescent="0.3">
      <c r="AM116" s="108">
        <f>IF(G140=0,IF(K114=0,0,(1/K114)*(Q117+1)),IF(P136=0,0,(1/P136)*(AA140+1)))*1000</f>
        <v>8.9285714285714288</v>
      </c>
      <c r="AV116" s="108">
        <f>IF(AND(G170=1,K170=1,N170=1),IF(S166=0,0,(1/S166)*(AA170)),IF(G140=0,IF(K114=0,0,(1/K114)*(Q117+1)),IF(P136=0,0,(1/P136)*(AA140+1))))*1000</f>
        <v>8.9285714285714288</v>
      </c>
    </row>
    <row r="117" spans="4:48" ht="15.6" thickTop="1" thickBot="1" x14ac:dyDescent="0.3">
      <c r="I117" s="102">
        <v>0</v>
      </c>
      <c r="M117" s="59">
        <v>0</v>
      </c>
      <c r="Q117" s="59">
        <v>0</v>
      </c>
      <c r="AM117" s="108"/>
      <c r="AV117" s="108"/>
    </row>
    <row r="118" spans="4:48" ht="15" thickTop="1" x14ac:dyDescent="0.25">
      <c r="AM118" s="108"/>
      <c r="AV118" s="108"/>
    </row>
    <row r="119" spans="4:48" x14ac:dyDescent="0.25">
      <c r="AM119" s="108"/>
      <c r="AV119" s="108"/>
    </row>
    <row r="120" spans="4:48" x14ac:dyDescent="0.25">
      <c r="AM120" s="108"/>
      <c r="AV120" s="108"/>
    </row>
    <row r="121" spans="4:48" x14ac:dyDescent="0.25">
      <c r="AM121" s="108"/>
      <c r="AV121" s="108"/>
    </row>
    <row r="122" spans="4:48" x14ac:dyDescent="0.25">
      <c r="AM122" s="108"/>
      <c r="AV122" s="108"/>
    </row>
    <row r="123" spans="4:48" ht="15" thickBot="1" x14ac:dyDescent="0.3">
      <c r="AM123" s="108"/>
      <c r="AV123" s="108"/>
    </row>
    <row r="124" spans="4:48" ht="15.6" thickTop="1" thickBot="1" x14ac:dyDescent="0.3">
      <c r="Q124" s="59">
        <v>0</v>
      </c>
      <c r="AM124" s="108"/>
      <c r="AV124" s="108"/>
    </row>
    <row r="125" spans="4:48" ht="15" thickTop="1" x14ac:dyDescent="0.25">
      <c r="AM125" s="108"/>
      <c r="AV125" s="108"/>
    </row>
    <row r="126" spans="4:48" x14ac:dyDescent="0.25">
      <c r="AM126" s="108"/>
      <c r="AV126" s="108"/>
    </row>
    <row r="127" spans="4:48" x14ac:dyDescent="0.25">
      <c r="AM127" s="108"/>
      <c r="AV127" s="108"/>
    </row>
    <row r="128" spans="4:48" x14ac:dyDescent="0.25">
      <c r="AM128" s="108"/>
      <c r="AV128" s="108"/>
    </row>
    <row r="129" spans="7:48" x14ac:dyDescent="0.25">
      <c r="AM129" s="108"/>
      <c r="AV129" s="108"/>
    </row>
    <row r="130" spans="7:48" ht="15" thickBot="1" x14ac:dyDescent="0.3">
      <c r="AM130" s="108"/>
      <c r="AV130" s="108"/>
    </row>
    <row r="131" spans="7:48" ht="15.6" thickTop="1" thickBot="1" x14ac:dyDescent="0.3">
      <c r="Q131" s="59">
        <v>0</v>
      </c>
      <c r="AM131" s="108"/>
      <c r="AV131" s="108"/>
    </row>
    <row r="132" spans="7:48" ht="15" thickTop="1" x14ac:dyDescent="0.25">
      <c r="AM132" s="108"/>
      <c r="AV132" s="108"/>
    </row>
    <row r="133" spans="7:48" x14ac:dyDescent="0.25">
      <c r="AM133" s="108"/>
      <c r="AV133" s="108"/>
    </row>
    <row r="134" spans="7:48" x14ac:dyDescent="0.25">
      <c r="AM134" s="108"/>
      <c r="AV134" s="108"/>
    </row>
    <row r="135" spans="7:48" ht="15" thickBot="1" x14ac:dyDescent="0.3">
      <c r="AM135" s="108"/>
      <c r="AV135" s="108"/>
    </row>
    <row r="136" spans="7:48" ht="15.6" thickTop="1" thickBot="1" x14ac:dyDescent="0.3">
      <c r="J136" s="37">
        <f>IF(G140=0,0,D114)</f>
        <v>0</v>
      </c>
      <c r="P136" s="37">
        <f>J136/(M140+1)</f>
        <v>0</v>
      </c>
      <c r="AM136" s="108"/>
      <c r="AV136" s="108"/>
    </row>
    <row r="137" spans="7:48" ht="15" thickTop="1" x14ac:dyDescent="0.25">
      <c r="AM137" s="108"/>
      <c r="AV137" s="108"/>
    </row>
    <row r="138" spans="7:48" x14ac:dyDescent="0.25">
      <c r="AM138" s="108"/>
      <c r="AV138" s="108"/>
    </row>
    <row r="139" spans="7:48" ht="15" thickBot="1" x14ac:dyDescent="0.3">
      <c r="AM139" s="108"/>
      <c r="AV139" s="108"/>
    </row>
    <row r="140" spans="7:48" ht="15.6" thickTop="1" thickBot="1" x14ac:dyDescent="0.3">
      <c r="G140" s="59">
        <v>0</v>
      </c>
      <c r="M140" s="59">
        <v>0</v>
      </c>
      <c r="T140" s="59">
        <v>0</v>
      </c>
      <c r="AA140" s="59">
        <v>0</v>
      </c>
      <c r="AM140" s="108"/>
      <c r="AV140" s="108"/>
    </row>
    <row r="141" spans="7:48" ht="15" thickTop="1" x14ac:dyDescent="0.25">
      <c r="AM141" s="108"/>
      <c r="AV141" s="108"/>
    </row>
    <row r="142" spans="7:48" x14ac:dyDescent="0.25">
      <c r="AM142" s="108"/>
      <c r="AV142" s="108"/>
    </row>
    <row r="143" spans="7:48" x14ac:dyDescent="0.25">
      <c r="AM143" s="106">
        <f>IF(G140=0,IF(K114=0,0,(1/K114)*(Q124+1)),IF(P136=0,0,(1/P136)*(AA148+1)))*1000</f>
        <v>8.9285714285714288</v>
      </c>
      <c r="AV143" s="106">
        <f>IF(AND(G170=1,K170=1,N170=1),IF(S166=0,0,(1/S166)*(AA178+1)),IF(G140=0,IF(K114=0,0,(1/K114)*(Q124+1)),IF(P136=0,0,(1/P136)*(AA148+1))))*1000</f>
        <v>8.9285714285714288</v>
      </c>
    </row>
    <row r="144" spans="7:48" x14ac:dyDescent="0.25">
      <c r="AM144" s="106"/>
      <c r="AV144" s="106"/>
    </row>
    <row r="145" spans="27:48" x14ac:dyDescent="0.25">
      <c r="AM145" s="106"/>
      <c r="AV145" s="106"/>
    </row>
    <row r="146" spans="27:48" x14ac:dyDescent="0.25">
      <c r="AM146" s="106"/>
      <c r="AV146" s="106"/>
    </row>
    <row r="147" spans="27:48" ht="15" thickBot="1" x14ac:dyDescent="0.3">
      <c r="AM147" s="106"/>
      <c r="AV147" s="106"/>
    </row>
    <row r="148" spans="27:48" ht="15.6" thickTop="1" thickBot="1" x14ac:dyDescent="0.3">
      <c r="AA148" s="59">
        <v>0</v>
      </c>
      <c r="AM148" s="106"/>
      <c r="AV148" s="106"/>
    </row>
    <row r="149" spans="27:48" ht="15" thickTop="1" x14ac:dyDescent="0.25">
      <c r="AM149" s="106"/>
      <c r="AV149" s="106"/>
    </row>
    <row r="150" spans="27:48" x14ac:dyDescent="0.25">
      <c r="AM150" s="106"/>
      <c r="AV150" s="106"/>
    </row>
    <row r="151" spans="27:48" x14ac:dyDescent="0.25">
      <c r="AM151" s="106"/>
      <c r="AV151" s="106"/>
    </row>
    <row r="152" spans="27:48" x14ac:dyDescent="0.25">
      <c r="AM152" s="106"/>
      <c r="AV152" s="106"/>
    </row>
    <row r="153" spans="27:48" x14ac:dyDescent="0.25">
      <c r="AM153" s="106"/>
      <c r="AV153" s="106"/>
    </row>
    <row r="154" spans="27:48" ht="15" thickBot="1" x14ac:dyDescent="0.3">
      <c r="AM154" s="106"/>
      <c r="AV154" s="106"/>
    </row>
    <row r="155" spans="27:48" ht="15.6" thickTop="1" thickBot="1" x14ac:dyDescent="0.3">
      <c r="AA155" s="59">
        <v>0</v>
      </c>
      <c r="AM155" s="106"/>
      <c r="AV155" s="106"/>
    </row>
    <row r="156" spans="27:48" ht="15" thickTop="1" x14ac:dyDescent="0.25">
      <c r="AM156" s="106"/>
      <c r="AV156" s="106"/>
    </row>
    <row r="157" spans="27:48" x14ac:dyDescent="0.25">
      <c r="AM157" s="106"/>
      <c r="AV157" s="106"/>
    </row>
    <row r="158" spans="27:48" x14ac:dyDescent="0.25">
      <c r="AM158" s="106"/>
      <c r="AV158" s="106"/>
    </row>
    <row r="159" spans="27:48" x14ac:dyDescent="0.25">
      <c r="AM159" s="106"/>
      <c r="AV159" s="106"/>
    </row>
    <row r="160" spans="27:48" x14ac:dyDescent="0.25">
      <c r="AM160" s="106"/>
      <c r="AV160" s="106"/>
    </row>
    <row r="161" spans="7:48" x14ac:dyDescent="0.25">
      <c r="AM161" s="106"/>
      <c r="AV161" s="106"/>
    </row>
    <row r="162" spans="7:48" x14ac:dyDescent="0.25">
      <c r="AM162" s="106"/>
      <c r="AV162" s="106"/>
    </row>
    <row r="163" spans="7:48" x14ac:dyDescent="0.25">
      <c r="AM163" s="106"/>
      <c r="AV163" s="106"/>
    </row>
    <row r="164" spans="7:48" x14ac:dyDescent="0.25">
      <c r="AM164" s="106"/>
      <c r="AV164" s="106"/>
    </row>
    <row r="165" spans="7:48" ht="15" thickBot="1" x14ac:dyDescent="0.3">
      <c r="AM165" s="107">
        <f>IF(G140=0,IF(K114=0,0,(1/K114)*(Q131+1)),IF(P136=0,0,(1/P136)*(AA155+1)))*1000</f>
        <v>8.9285714285714288</v>
      </c>
      <c r="AV165" s="107">
        <f>IF(AND(G170=1,K170=1,N170=1),IF(S166=0,0,(1/S166)*(AA185+1)),IF(G140=0,IF(K114=0,0,(1/K114)*(Q131+1)),IF(P136=0,0,(1/P136)*(AA155+1))))*1000</f>
        <v>8.9285714285714288</v>
      </c>
    </row>
    <row r="166" spans="7:48" ht="15.6" thickTop="1" thickBot="1" x14ac:dyDescent="0.3">
      <c r="I166" s="37">
        <f>IF(G170=0,0,D114)</f>
        <v>0</v>
      </c>
      <c r="S166" s="37">
        <f>I166/(Q170+1)</f>
        <v>0</v>
      </c>
      <c r="AM166" s="107"/>
      <c r="AV166" s="107"/>
    </row>
    <row r="167" spans="7:48" ht="15" thickTop="1" x14ac:dyDescent="0.25">
      <c r="AM167" s="107"/>
      <c r="AV167" s="107"/>
    </row>
    <row r="168" spans="7:48" x14ac:dyDescent="0.25">
      <c r="AM168" s="107"/>
      <c r="AV168" s="107"/>
    </row>
    <row r="169" spans="7:48" ht="15" thickBot="1" x14ac:dyDescent="0.3">
      <c r="AM169" s="107"/>
      <c r="AV169" s="107"/>
    </row>
    <row r="170" spans="7:48" ht="15.6" thickTop="1" thickBot="1" x14ac:dyDescent="0.3">
      <c r="G170" s="59">
        <v>0</v>
      </c>
      <c r="K170" s="59">
        <v>1</v>
      </c>
      <c r="N170" s="59">
        <v>0</v>
      </c>
      <c r="Q170" s="59">
        <v>0</v>
      </c>
      <c r="U170" s="59">
        <v>0</v>
      </c>
      <c r="AA170" s="59">
        <v>0</v>
      </c>
      <c r="AM170" s="107"/>
      <c r="AV170" s="107"/>
    </row>
    <row r="171" spans="7:48" ht="15" thickTop="1" x14ac:dyDescent="0.25">
      <c r="AM171" s="107"/>
      <c r="AV171" s="107"/>
    </row>
    <row r="172" spans="7:48" x14ac:dyDescent="0.25">
      <c r="AM172" s="107"/>
      <c r="AV172" s="107"/>
    </row>
    <row r="173" spans="7:48" x14ac:dyDescent="0.25">
      <c r="AM173" s="107"/>
      <c r="AV173" s="107"/>
    </row>
    <row r="174" spans="7:48" x14ac:dyDescent="0.25">
      <c r="AM174" s="107"/>
      <c r="AV174" s="107"/>
    </row>
    <row r="175" spans="7:48" x14ac:dyDescent="0.25">
      <c r="AM175" s="107"/>
      <c r="AV175" s="107"/>
    </row>
    <row r="176" spans="7:48" x14ac:dyDescent="0.25">
      <c r="AM176" s="107"/>
      <c r="AV176" s="107"/>
    </row>
    <row r="177" spans="27:48" ht="15" thickBot="1" x14ac:dyDescent="0.3">
      <c r="AM177" s="107"/>
      <c r="AV177" s="107"/>
    </row>
    <row r="178" spans="27:48" ht="15.6" thickTop="1" thickBot="1" x14ac:dyDescent="0.3">
      <c r="AA178" s="59">
        <v>0</v>
      </c>
      <c r="AM178" s="107"/>
      <c r="AV178" s="107"/>
    </row>
    <row r="179" spans="27:48" ht="15" thickTop="1" x14ac:dyDescent="0.25">
      <c r="AM179" s="107"/>
      <c r="AV179" s="107"/>
    </row>
    <row r="180" spans="27:48" x14ac:dyDescent="0.25">
      <c r="AM180" s="107"/>
      <c r="AV180" s="107"/>
    </row>
    <row r="181" spans="27:48" x14ac:dyDescent="0.25">
      <c r="AM181" s="107"/>
      <c r="AV181" s="107"/>
    </row>
    <row r="182" spans="27:48" x14ac:dyDescent="0.25">
      <c r="AM182" s="107"/>
      <c r="AV182" s="107"/>
    </row>
    <row r="183" spans="27:48" x14ac:dyDescent="0.25">
      <c r="AM183" s="107"/>
      <c r="AV183" s="107"/>
    </row>
    <row r="184" spans="27:48" ht="15" thickBot="1" x14ac:dyDescent="0.3"/>
    <row r="185" spans="27:48" ht="15.6" thickTop="1" thickBot="1" x14ac:dyDescent="0.3">
      <c r="AA185" s="59">
        <v>0</v>
      </c>
    </row>
    <row r="186" spans="27:48" ht="15" thickTop="1" x14ac:dyDescent="0.25"/>
    <row r="195" spans="4:48" ht="15" thickBot="1" x14ac:dyDescent="0.3"/>
    <row r="196" spans="4:48" ht="15.6" thickTop="1" thickBot="1" x14ac:dyDescent="0.3">
      <c r="D196" s="37">
        <f>'Module Domains'!$AK$279</f>
        <v>0</v>
      </c>
      <c r="AM196" s="109">
        <f>IF(G230=0,IF(K204=0,0,(1/K204)),IF(P226=0,0,(1/P226)))*1000</f>
        <v>0</v>
      </c>
      <c r="AV196" s="109">
        <f>IF(AND(G261=1,K261=1,N261=1),IF(S257=0,0,(1/S257)),IF(G230=0,IF(K204=0,0,(1/K204)),IF(P226=0,0,(1/P226))))*1000</f>
        <v>0</v>
      </c>
    </row>
    <row r="197" spans="4:48" ht="15" thickTop="1" x14ac:dyDescent="0.25">
      <c r="AM197" s="109"/>
      <c r="AV197" s="109"/>
    </row>
    <row r="198" spans="4:48" x14ac:dyDescent="0.25">
      <c r="AM198" s="109"/>
      <c r="AV198" s="109"/>
    </row>
    <row r="199" spans="4:48" ht="15" thickBot="1" x14ac:dyDescent="0.3">
      <c r="AM199" s="109"/>
      <c r="AV199" s="109"/>
    </row>
    <row r="200" spans="4:48" ht="15.6" thickTop="1" thickBot="1" x14ac:dyDescent="0.3">
      <c r="D200" s="37">
        <f>'Module Domains'!$M$12</f>
        <v>112</v>
      </c>
      <c r="AM200" s="109"/>
      <c r="AV200" s="109"/>
    </row>
    <row r="201" spans="4:48" ht="15" thickTop="1" x14ac:dyDescent="0.25">
      <c r="AM201" s="109"/>
      <c r="AV201" s="109"/>
    </row>
    <row r="202" spans="4:48" x14ac:dyDescent="0.25">
      <c r="AM202" s="109"/>
      <c r="AV202" s="109"/>
    </row>
    <row r="203" spans="4:48" ht="15" thickBot="1" x14ac:dyDescent="0.3">
      <c r="AM203" s="109"/>
      <c r="AV203" s="109"/>
    </row>
    <row r="204" spans="4:48" ht="15.6" thickTop="1" thickBot="1" x14ac:dyDescent="0.3">
      <c r="D204" s="37">
        <f>'Module Domains'!$AN$290</f>
        <v>0</v>
      </c>
      <c r="K204" s="37">
        <f>D204/(I207+1)</f>
        <v>0</v>
      </c>
      <c r="AM204" s="109"/>
      <c r="AV204" s="109"/>
    </row>
    <row r="205" spans="4:48" ht="15" thickTop="1" x14ac:dyDescent="0.25">
      <c r="AM205" s="109"/>
      <c r="AV205" s="109"/>
    </row>
    <row r="206" spans="4:48" ht="15" thickBot="1" x14ac:dyDescent="0.3">
      <c r="AM206" s="108">
        <f>IF(G230=0,IF(K204=0,0,(1/K204)*(Q207+1)),IF(P226=0,0,(1/P226)*(AA230+1)))*1000</f>
        <v>0</v>
      </c>
      <c r="AV206" s="108">
        <f>IF(AND(G261=1,K261=1,N261=1),IF(S257=0,0,(1/S257)*(AA261)),IF(G230=0,IF(K204=0,0,(1/K204)*(Q207+1)),IF(P226=0,0,(1/P226)*(AA230+1))))*1000</f>
        <v>0</v>
      </c>
    </row>
    <row r="207" spans="4:48" ht="15.6" thickTop="1" thickBot="1" x14ac:dyDescent="0.3">
      <c r="I207" s="59">
        <v>0</v>
      </c>
      <c r="M207" s="59">
        <v>0</v>
      </c>
      <c r="Q207" s="59">
        <v>0</v>
      </c>
      <c r="AM207" s="108"/>
      <c r="AV207" s="108"/>
    </row>
    <row r="208" spans="4:48" ht="15" thickTop="1" x14ac:dyDescent="0.25">
      <c r="AM208" s="108"/>
      <c r="AV208" s="108"/>
    </row>
    <row r="209" spans="17:48" x14ac:dyDescent="0.25">
      <c r="AM209" s="108"/>
      <c r="AV209" s="108"/>
    </row>
    <row r="210" spans="17:48" x14ac:dyDescent="0.25">
      <c r="AM210" s="108"/>
      <c r="AV210" s="108"/>
    </row>
    <row r="211" spans="17:48" x14ac:dyDescent="0.25">
      <c r="AM211" s="108"/>
      <c r="AV211" s="108"/>
    </row>
    <row r="212" spans="17:48" x14ac:dyDescent="0.25">
      <c r="AM212" s="108"/>
      <c r="AV212" s="108"/>
    </row>
    <row r="213" spans="17:48" ht="15" thickBot="1" x14ac:dyDescent="0.3">
      <c r="AM213" s="108"/>
      <c r="AV213" s="108"/>
    </row>
    <row r="214" spans="17:48" ht="15.6" thickTop="1" thickBot="1" x14ac:dyDescent="0.3">
      <c r="Q214" s="59">
        <v>0</v>
      </c>
      <c r="AM214" s="108"/>
      <c r="AV214" s="108"/>
    </row>
    <row r="215" spans="17:48" ht="15" thickTop="1" x14ac:dyDescent="0.25">
      <c r="AM215" s="108"/>
      <c r="AV215" s="108"/>
    </row>
    <row r="216" spans="17:48" x14ac:dyDescent="0.25">
      <c r="AM216" s="108"/>
      <c r="AV216" s="108"/>
    </row>
    <row r="217" spans="17:48" x14ac:dyDescent="0.25">
      <c r="AM217" s="108"/>
      <c r="AV217" s="108"/>
    </row>
    <row r="218" spans="17:48" x14ac:dyDescent="0.25">
      <c r="AM218" s="108"/>
      <c r="AV218" s="108"/>
    </row>
    <row r="219" spans="17:48" x14ac:dyDescent="0.25">
      <c r="AM219" s="108"/>
      <c r="AV219" s="108"/>
    </row>
    <row r="220" spans="17:48" ht="15" thickBot="1" x14ac:dyDescent="0.3">
      <c r="AM220" s="108"/>
      <c r="AV220" s="108"/>
    </row>
    <row r="221" spans="17:48" ht="15.6" thickTop="1" thickBot="1" x14ac:dyDescent="0.3">
      <c r="Q221" s="59">
        <v>0</v>
      </c>
      <c r="AM221" s="108"/>
      <c r="AV221" s="108"/>
    </row>
    <row r="222" spans="17:48" ht="15" thickTop="1" x14ac:dyDescent="0.25">
      <c r="AM222" s="108"/>
      <c r="AV222" s="108"/>
    </row>
    <row r="223" spans="17:48" x14ac:dyDescent="0.25">
      <c r="AM223" s="108"/>
      <c r="AV223" s="108"/>
    </row>
    <row r="224" spans="17:48" x14ac:dyDescent="0.25">
      <c r="AM224" s="108"/>
      <c r="AV224" s="108"/>
    </row>
    <row r="225" spans="7:48" ht="15" thickBot="1" x14ac:dyDescent="0.3">
      <c r="AM225" s="108"/>
      <c r="AV225" s="108"/>
    </row>
    <row r="226" spans="7:48" ht="15.6" thickTop="1" thickBot="1" x14ac:dyDescent="0.3">
      <c r="J226" s="37">
        <f>IF(G230=0,0,D204)</f>
        <v>0</v>
      </c>
      <c r="P226" s="37">
        <f>J226/(M230+1)</f>
        <v>0</v>
      </c>
      <c r="AM226" s="108"/>
      <c r="AV226" s="108"/>
    </row>
    <row r="227" spans="7:48" ht="15" thickTop="1" x14ac:dyDescent="0.25">
      <c r="AM227" s="108"/>
      <c r="AV227" s="108"/>
    </row>
    <row r="228" spans="7:48" x14ac:dyDescent="0.25">
      <c r="AM228" s="108"/>
      <c r="AV228" s="108"/>
    </row>
    <row r="229" spans="7:48" ht="15" thickBot="1" x14ac:dyDescent="0.3">
      <c r="AM229" s="108"/>
      <c r="AV229" s="108"/>
    </row>
    <row r="230" spans="7:48" ht="15.6" thickTop="1" thickBot="1" x14ac:dyDescent="0.3">
      <c r="G230" s="59">
        <v>0</v>
      </c>
      <c r="M230" s="59">
        <v>0</v>
      </c>
      <c r="T230" s="59">
        <v>0</v>
      </c>
      <c r="AA230" s="59">
        <v>0</v>
      </c>
      <c r="AM230" s="108"/>
      <c r="AV230" s="108"/>
    </row>
    <row r="231" spans="7:48" ht="15" thickTop="1" x14ac:dyDescent="0.25">
      <c r="AM231" s="108"/>
      <c r="AV231" s="108"/>
    </row>
    <row r="232" spans="7:48" x14ac:dyDescent="0.25">
      <c r="AM232" s="108"/>
      <c r="AV232" s="108"/>
    </row>
    <row r="233" spans="7:48" x14ac:dyDescent="0.25">
      <c r="AM233" s="106">
        <f>IF(G230=0,IF(K204=0,0,(1/K204)*(Q214+1)),IF(P226=0,0,(1/P226)*(AA238+1)))*1000</f>
        <v>0</v>
      </c>
      <c r="AV233" s="106">
        <f>IF(AND(G261=1,K261=1,N261=1),IF(S257=0,0,(1/S257)*(AA269+1)),IF(G230=0,IF(K204=0,0,(1/K204)*(Q214+1)),IF(P226=0,0,(1/P226)*(AA238+1))))*1000</f>
        <v>0</v>
      </c>
    </row>
    <row r="234" spans="7:48" x14ac:dyDescent="0.25">
      <c r="AM234" s="106"/>
      <c r="AV234" s="106"/>
    </row>
    <row r="235" spans="7:48" x14ac:dyDescent="0.25">
      <c r="AM235" s="106"/>
      <c r="AV235" s="106"/>
    </row>
    <row r="236" spans="7:48" x14ac:dyDescent="0.25">
      <c r="AM236" s="106"/>
      <c r="AV236" s="106"/>
    </row>
    <row r="237" spans="7:48" ht="15" thickBot="1" x14ac:dyDescent="0.3">
      <c r="AM237" s="106"/>
      <c r="AV237" s="106"/>
    </row>
    <row r="238" spans="7:48" ht="15.6" thickTop="1" thickBot="1" x14ac:dyDescent="0.3">
      <c r="AA238" s="59">
        <v>0</v>
      </c>
      <c r="AM238" s="106"/>
      <c r="AV238" s="106"/>
    </row>
    <row r="239" spans="7:48" ht="15" thickTop="1" x14ac:dyDescent="0.25">
      <c r="AM239" s="106"/>
      <c r="AV239" s="106"/>
    </row>
    <row r="240" spans="7:48" x14ac:dyDescent="0.25">
      <c r="AM240" s="106"/>
      <c r="AV240" s="106"/>
    </row>
    <row r="241" spans="27:48" x14ac:dyDescent="0.25">
      <c r="AM241" s="106"/>
      <c r="AV241" s="106"/>
    </row>
    <row r="242" spans="27:48" x14ac:dyDescent="0.25">
      <c r="AM242" s="106"/>
      <c r="AV242" s="106"/>
    </row>
    <row r="243" spans="27:48" x14ac:dyDescent="0.25">
      <c r="AM243" s="106"/>
      <c r="AV243" s="106"/>
    </row>
    <row r="244" spans="27:48" ht="15" thickBot="1" x14ac:dyDescent="0.3">
      <c r="AM244" s="106"/>
      <c r="AV244" s="106"/>
    </row>
    <row r="245" spans="27:48" ht="15.6" thickTop="1" thickBot="1" x14ac:dyDescent="0.3">
      <c r="AA245" s="59">
        <v>0</v>
      </c>
      <c r="AM245" s="106"/>
      <c r="AV245" s="106"/>
    </row>
    <row r="246" spans="27:48" ht="15" thickTop="1" x14ac:dyDescent="0.25">
      <c r="AM246" s="106"/>
      <c r="AV246" s="106"/>
    </row>
    <row r="247" spans="27:48" x14ac:dyDescent="0.25">
      <c r="AM247" s="106"/>
      <c r="AV247" s="106"/>
    </row>
    <row r="248" spans="27:48" x14ac:dyDescent="0.25">
      <c r="AM248" s="106"/>
      <c r="AV248" s="106"/>
    </row>
    <row r="249" spans="27:48" x14ac:dyDescent="0.25">
      <c r="AM249" s="106"/>
      <c r="AV249" s="106"/>
    </row>
    <row r="250" spans="27:48" x14ac:dyDescent="0.25">
      <c r="AM250" s="106"/>
      <c r="AV250" s="106"/>
    </row>
    <row r="251" spans="27:48" x14ac:dyDescent="0.25">
      <c r="AM251" s="106"/>
      <c r="AV251" s="106"/>
    </row>
    <row r="252" spans="27:48" x14ac:dyDescent="0.25">
      <c r="AM252" s="106"/>
      <c r="AV252" s="106"/>
    </row>
    <row r="253" spans="27:48" x14ac:dyDescent="0.25">
      <c r="AM253" s="106"/>
      <c r="AV253" s="106"/>
    </row>
    <row r="254" spans="27:48" x14ac:dyDescent="0.25">
      <c r="AM254" s="106"/>
      <c r="AV254" s="106"/>
    </row>
    <row r="255" spans="27:48" x14ac:dyDescent="0.25">
      <c r="AM255" s="107">
        <f>IF(G230=0,IF(K204=0,0,(1/K204)*(Q221+1)),IF(P226=0,0,(1/P226)*(AA245+1)))*1000</f>
        <v>0</v>
      </c>
      <c r="AV255" s="107">
        <f>IF(AND(G261=1,K261=1,N261=1),IF(S257=0,0,(1/S257)*(AA276+1)),IF(G230=0,IF(K204=0,0,(1/K204)*(Q221+1)),IF(P226=0,0,(1/P226)*(AA245+1))))*1000</f>
        <v>0</v>
      </c>
    </row>
    <row r="256" spans="27:48" ht="15" thickBot="1" x14ac:dyDescent="0.3">
      <c r="AM256" s="107"/>
      <c r="AV256" s="107"/>
    </row>
    <row r="257" spans="7:48" ht="15.6" thickTop="1" thickBot="1" x14ac:dyDescent="0.3">
      <c r="I257" s="37">
        <f>IF(G261=0,0,D204)</f>
        <v>0</v>
      </c>
      <c r="S257" s="37">
        <f>I257/(Q261+1)</f>
        <v>0</v>
      </c>
      <c r="AM257" s="107"/>
      <c r="AV257" s="107"/>
    </row>
    <row r="258" spans="7:48" ht="15" thickTop="1" x14ac:dyDescent="0.25">
      <c r="AM258" s="107"/>
      <c r="AV258" s="107"/>
    </row>
    <row r="259" spans="7:48" x14ac:dyDescent="0.25">
      <c r="AM259" s="107"/>
      <c r="AV259" s="107"/>
    </row>
    <row r="260" spans="7:48" ht="15" thickBot="1" x14ac:dyDescent="0.3">
      <c r="AM260" s="107"/>
      <c r="AV260" s="107"/>
    </row>
    <row r="261" spans="7:48" ht="15.6" thickTop="1" thickBot="1" x14ac:dyDescent="0.3">
      <c r="G261" s="59">
        <v>0</v>
      </c>
      <c r="K261" s="59">
        <v>1</v>
      </c>
      <c r="N261" s="59">
        <v>0</v>
      </c>
      <c r="Q261" s="59">
        <v>0</v>
      </c>
      <c r="U261" s="59">
        <v>0</v>
      </c>
      <c r="AA261" s="59">
        <v>0</v>
      </c>
      <c r="AM261" s="107"/>
      <c r="AV261" s="107"/>
    </row>
    <row r="262" spans="7:48" ht="15" thickTop="1" x14ac:dyDescent="0.25">
      <c r="AM262" s="107"/>
      <c r="AV262" s="107"/>
    </row>
    <row r="263" spans="7:48" x14ac:dyDescent="0.25">
      <c r="AM263" s="107"/>
      <c r="AV263" s="107"/>
    </row>
    <row r="264" spans="7:48" x14ac:dyDescent="0.25">
      <c r="AM264" s="107"/>
      <c r="AV264" s="107"/>
    </row>
    <row r="265" spans="7:48" x14ac:dyDescent="0.25">
      <c r="AM265" s="107"/>
      <c r="AV265" s="107"/>
    </row>
    <row r="266" spans="7:48" x14ac:dyDescent="0.25">
      <c r="AM266" s="107"/>
      <c r="AV266" s="107"/>
    </row>
    <row r="267" spans="7:48" x14ac:dyDescent="0.25">
      <c r="AM267" s="107"/>
      <c r="AV267" s="107"/>
    </row>
    <row r="268" spans="7:48" ht="15" thickBot="1" x14ac:dyDescent="0.3">
      <c r="AM268" s="107"/>
      <c r="AV268" s="107"/>
    </row>
    <row r="269" spans="7:48" ht="15.6" thickTop="1" thickBot="1" x14ac:dyDescent="0.3">
      <c r="AA269" s="59">
        <v>0</v>
      </c>
      <c r="AM269" s="107"/>
      <c r="AV269" s="107"/>
    </row>
    <row r="270" spans="7:48" ht="15" thickTop="1" x14ac:dyDescent="0.25">
      <c r="AM270" s="107"/>
      <c r="AV270" s="107"/>
    </row>
    <row r="271" spans="7:48" x14ac:dyDescent="0.25">
      <c r="AM271" s="107"/>
      <c r="AV271" s="107"/>
    </row>
    <row r="272" spans="7:48" x14ac:dyDescent="0.25">
      <c r="AM272" s="107"/>
      <c r="AV272" s="107"/>
    </row>
    <row r="273" spans="27:48" x14ac:dyDescent="0.25">
      <c r="AM273" s="107"/>
      <c r="AV273" s="107"/>
    </row>
    <row r="275" spans="27:48" ht="15" thickBot="1" x14ac:dyDescent="0.3"/>
    <row r="276" spans="27:48" ht="15.6" thickTop="1" thickBot="1" x14ac:dyDescent="0.3">
      <c r="AA276" s="59">
        <v>0</v>
      </c>
    </row>
    <row r="277" spans="27:48" ht="15" thickTop="1" x14ac:dyDescent="0.25"/>
  </sheetData>
  <mergeCells count="24">
    <mergeCell ref="AM255:AM273"/>
    <mergeCell ref="AM11:AM20"/>
    <mergeCell ref="AM21:AM47"/>
    <mergeCell ref="AM48:AM69"/>
    <mergeCell ref="AM70:AM88"/>
    <mergeCell ref="AM106:AM115"/>
    <mergeCell ref="AM116:AM142"/>
    <mergeCell ref="AM143:AM164"/>
    <mergeCell ref="AM165:AM183"/>
    <mergeCell ref="AM196:AM205"/>
    <mergeCell ref="AM206:AM232"/>
    <mergeCell ref="AM233:AM254"/>
    <mergeCell ref="AV11:AV20"/>
    <mergeCell ref="AV21:AV47"/>
    <mergeCell ref="AV48:AV69"/>
    <mergeCell ref="AV70:AV88"/>
    <mergeCell ref="AV106:AV115"/>
    <mergeCell ref="AV233:AV254"/>
    <mergeCell ref="AV255:AV273"/>
    <mergeCell ref="AV116:AV142"/>
    <mergeCell ref="AV143:AV164"/>
    <mergeCell ref="AV165:AV183"/>
    <mergeCell ref="AV196:AV205"/>
    <mergeCell ref="AV206:AV232"/>
  </mergeCells>
  <phoneticPr fontId="11" type="noConversion"/>
  <dataValidations count="48">
    <dataValidation type="whole" allowBlank="1" showInputMessage="1" showErrorMessage="1" errorTitle="CAN Divider" error="CAN divider must be an integer between 0 and 255." promptTitle="What is this?" prompt="The Sclock is calculated from the protocol clock and used to produce the time segments.  Time segments are defined in terms of &quot;time quanta&quot;. One time quanta = 1 Sclock Period. Sclock_freq = PE_Clock/(PRESDIV+1)." sqref="I22">
      <formula1>0</formula1>
      <formula2>255</formula2>
    </dataValidation>
    <dataValidation type="list" allowBlank="1" showInputMessage="1" showErrorMessage="1" promptTitle="What is this?" prompt="RJW defines the number of &quot;time quanta&quot; (aka Sclock periods) that can be changed with one resync. Reflected in this tool.  The cells for Phase 1, Propagation, and Phase 2 segments are lists whose values depend on the current value and the value of RJW." sqref="M22 M207">
      <formula1>"0,1,2,3"</formula1>
    </dataValidation>
    <dataValidation type="list" allowBlank="1" showInputMessage="1" showErrorMessage="1" promptTitle="Propagation Segment Frequency" prompt="Determines the length, in ns, of the propagation segment. The propagation segment is (PROPSEG+1)*Time-Quanta, which means (PROSEG+1)*(1/Sclock)." sqref="Q22">
      <formula1>INDIRECT(INDEX(FlexCAN_Jump_Values_Normal,$Q$22+2,$M$22+2))</formula1>
    </dataValidation>
    <dataValidation type="list" allowBlank="1" showInputMessage="1" showErrorMessage="1" promptTitle="Phase Segment 1" prompt="Determines the length, in ns, of the phase segment 1. The phase segment 1 is (PSEG1+1)*Time-Quanta, which means (PSEG1+1)*(1/Sclock)." sqref="Q29">
      <formula1>INDIRECT(INDEX(FlexCAN_Jump_Values_Normal,$Q$29+2,$M$22+2))</formula1>
    </dataValidation>
    <dataValidation type="list" allowBlank="1" showInputMessage="1" showErrorMessage="1" promptTitle="Phase Segment 2" prompt="Determines the length, in ns, of the phase segment 2. The phase segment 2 is (PSEG2+1)*Time-Quanta, which means (PSEG2+1)*(1/Sclock)." sqref="Q36">
      <formula1>INDIRECT(INDEX(FlexCAN_Jump_Values_Normal,$Q$36+2,$M$22+2))</formula1>
    </dataValidation>
    <dataValidation type="list" allowBlank="1" showInputMessage="1" showErrorMessage="1" promptTitle="What is this?" prompt="These fields are parallel to the other CAN segment settings. They provide a wider range with which to program. When this field is set, the following extended settings are used to generate a CAN bit frame instead of the normal setting blocks." sqref="G44 G140 G230">
      <formula1>"0,1"</formula1>
    </dataValidation>
    <dataValidation type="whole" allowBlank="1" showInputMessage="1" showErrorMessage="1" errorTitle="CAN Ext. Divider" error="CAN Ext. Divider must be an integer between 0 and 1023." promptTitle="What is this?" prompt="Parallel to CAN0 Sclock Prescaler block, but provides more range. Supercedes CAN0 Sclock Prescaler block if CAN0 Ext. Format Enable block is set." sqref="M44">
      <formula1>0</formula1>
      <formula2>1023</formula2>
    </dataValidation>
    <dataValidation type="list" allowBlank="1" showInputMessage="1" showErrorMessage="1" promptTitle="What is this?" prompt="ERJW defines the number of &quot;time quanta&quot; (aka Sclock periods) that can be changed with one resync. Reflected in this tool.  The cells for Phase 1, Propagation, and Phase 2 segments are lists whose values depend on the current value and the value of ERJW." sqref="T44 T140 T230">
      <formula1>"0,1,2,3,4,5,6,7,8,9,10,11,12,13,14,15,16,17,18,19,20,21,22,23,24,25,26,27,28,29,30,31"</formula1>
    </dataValidation>
    <dataValidation type="list" allowBlank="1" showInputMessage="1" showErrorMessage="1" promptTitle="Extended Phase Segment 1" prompt="This is a parallel block to CAN0 Phase Seg. 1 block, but provides greater range. Supercedes CAn0 Phase Seg. 1 block when CAN0 Ext. Format Enable block is set." sqref="AA52">
      <formula1>INDIRECT(INDEX(FlexCAN_Jump_Values_Extended,$AA$52+2,$T$44+2))</formula1>
    </dataValidation>
    <dataValidation type="list" allowBlank="1" showInputMessage="1" showErrorMessage="1" promptTitle="Extended Phase Segment 2" prompt="Parallel to CAN0 Phase Seg. 2 block, but provides more range. Supercedes CAN0 Phase Seg. 2 block if CAN0 Ext. Format Enable block is set." sqref="AA59">
      <formula1>INDIRECT(INDEX(FlexCAN_Jump_Values_Extended,$AA$59+2,$T$44+2))</formula1>
    </dataValidation>
    <dataValidation type="list" allowBlank="1" showInputMessage="1" showErrorMessage="1" promptTitle="Extended Propagation Segment" prompt="This is parallel to CAN0 Propagation Segment block, but provides more bits. Supercedes CAN0 Propagation Segment block if CAN0 Ext. Format Enable block is enabled." sqref="AA44">
      <formula1>INDIRECT(INDEX(FlexCAN_Prop_Jump_Values_Extended,$AA$44+2,$T$44+2))</formula1>
    </dataValidation>
    <dataValidation type="list" allowBlank="1" showInputMessage="1" showErrorMessage="1" promptTitle="What is CANFD?" prompt="CAN with Flexible Data Rate is another protocol that FlexCAN supports. CAN frame is split into arbitration and data phases. Arbitration phase uses standard or ext. settings. Data phases uses standard/ext. (BRS=0) or FD settings (BRS=1)." sqref="G261">
      <formula1>"0,1"</formula1>
    </dataValidation>
    <dataValidation type="list" allowBlank="1" showInputMessage="1" showErrorMessage="1" promptTitle="What is this?" prompt="This block controls whether CAN FD will use CANFD segment settings or the normal settings." sqref="K74 K170">
      <formula1>"0,1"</formula1>
    </dataValidation>
    <dataValidation type="list" allowBlank="1" showInputMessage="1" showErrorMessage="1" promptTitle="What is this?" prompt="The BRS bit is a bit that is part of the CANFD message buffer.  When both BRS and FDRATE are set, then the CANFD message settings are used instead of the nominal settings." sqref="N74 N170 N261">
      <formula1>"0,1"</formula1>
    </dataValidation>
    <dataValidation type="whole" allowBlank="1" showInputMessage="1" showErrorMessage="1" errorTitle="CANFD Divider" error="CANFD divider must be an integer between 0 and 1023." promptTitle="What is this?" prompt="Parallel to CAN0 Sclock Prescaler block, but for FD protocol. Supercedes CAN0 Sclock Prescaler block if both CAN0 Bit Rate Switch and CAN0 BRS blocks are set." sqref="Q74">
      <formula1>0</formula1>
      <formula2>1023</formula2>
    </dataValidation>
    <dataValidation type="list" allowBlank="1" showInputMessage="1" showErrorMessage="1" promptTitle="What is this?" prompt="FRJW defines the number of &quot;time quanta&quot; (aka Sclock periods) that can be changed with one resync. Reflected in this tool.  The cells for Phase 1, Propagation, and Phase 2 segments are lists whose values depend on the current value and the value of FRJW." sqref="U74 U261">
      <formula1>"0,1,2,3,4,5,6,7"</formula1>
    </dataValidation>
    <dataValidation type="list" allowBlank="1" showInputMessage="1" showErrorMessage="1" promptTitle="FD Propagation Segment" prompt="This is parallel to CAN0 Propagation Segment block, but for CAN FD protocol. Supercedes CAN0 Propagation Segment block if CAN0 Bit Rate Switch and CAN0 BRS are both set. Hardware does NOT add 1 to register value." sqref="AA74">
      <formula1>INDIRECT(INDEX(FlexCAN_Prop_Jump_Values_FD,$AA$74+2,$U$74+2))</formula1>
    </dataValidation>
    <dataValidation type="list" allowBlank="1" showInputMessage="1" showErrorMessage="1" promptTitle="FD Phase Segment 1" prompt="This is a parallel block to CAN0 Phase Seg. 1 block, but for CAN FD protocol. Supercedes CAN0 Phase Seg. 1 block when CAN0 Bit Rate Switch and CAN0 BRS blocks are both set." sqref="AA82">
      <formula1>INDIRECT(INDEX(FlexCAN_Jump_Values_FD,$AA$82+2,$U$74+2))</formula1>
    </dataValidation>
    <dataValidation type="list" allowBlank="1" showInputMessage="1" showErrorMessage="1" promptTitle="FD Phase Segment 2" prompt="Parallel to CAN0 Phase Seg. 2 block, but for CAN FD protocol. Supercedes CAN0 Phase Seg. 2 block if CAN0 Bit Rate Switch and CAN0 BRS blocks are set." sqref="AA89">
      <formula1>INDIRECT(INDEX(FlexCAN_Jump_Values_FD,$AA$89+2,$U$74+2))</formula1>
    </dataValidation>
    <dataValidation type="list" allowBlank="1" showInputMessage="1" showErrorMessage="1" promptTitle="What is this?" prompt="RJW defines the number of &quot;time quanta&quot; (aka Sclock periods) that can be changed with one resync. Reflected in this tool.  The cells for Phase 1, Propagation, and Phase 2 segments are lists whose values depend on the current value and the value of RJW." sqref="M117">
      <formula1>"0,1,2,3"</formula1>
    </dataValidation>
    <dataValidation type="list" allowBlank="1" showInputMessage="1" showErrorMessage="1" promptTitle="Propagation Segment Frequency" prompt="Determines the length, in ns, of the propagation segment. The propagation segment is (PROPSEG+1)*Time-Quanta, which means (PROSEG+1)*(1/Sclock)." sqref="Q117">
      <formula1>INDIRECT(INDEX(FlexCAN_Jump_Values_Normal,$Q$117+2,$M$117+2))</formula1>
    </dataValidation>
    <dataValidation type="list" allowBlank="1" showInputMessage="1" showErrorMessage="1" promptTitle="Phase Segment 1" prompt="Determines the length, in ns, of the phase segment 1. The phase segment 1 is (PSEG1+1)*Time-Quanta, which means (PSEG1+1)*(1/Sclock)." sqref="Q124">
      <formula1>INDIRECT(INDEX(FlexCAN_Jump_Values_Normal,$Q$124+2,$M$117+2))</formula1>
    </dataValidation>
    <dataValidation type="list" allowBlank="1" showInputMessage="1" showErrorMessage="1" promptTitle="Phase Segment 2" prompt="Determines the length, in ns, of the phase segment 2. The phase segment 2 is (PSEG2+1)*Time-Quanta, which means (PSEG2+1)*(1/Sclock)." sqref="Q131">
      <formula1>INDIRECT(INDEX(FlexCAN_Jump_Values_Normal,$Q$131+2,$M$117+2))</formula1>
    </dataValidation>
    <dataValidation type="whole" allowBlank="1" showInputMessage="1" showErrorMessage="1" errorTitle="CAN Ext. Divider" error="CAN Ext. Divider must be an integer between 0 and 1023." promptTitle="What is this?" prompt="Parallel to CAN1 Sclock Prescaler block, but provides more range. Supercedes CAN1 Sclock Prescaler block if CAN1 Ext. Format Enable block is set." sqref="M140">
      <formula1>0</formula1>
      <formula2>1023</formula2>
    </dataValidation>
    <dataValidation type="list" allowBlank="1" showInputMessage="1" showErrorMessage="1" promptTitle="Extended Propagation Segment" prompt="This is parallel to CAN1 Propagation Segment block, but provides more bits. Supercedes CAN1 Propagation Segment block if CAN1 Ext. Format Enable block is enabled." sqref="AA140">
      <formula1>INDIRECT(INDEX(FlexCAN_Prop_Jump_Values_Extended,$AA$140+2,$T$140+2))</formula1>
    </dataValidation>
    <dataValidation type="list" allowBlank="1" showInputMessage="1" showErrorMessage="1" promptTitle="Extended Phase Segment 1" prompt="This is a parallel block to CAN1 Phase Seg. 1 block, but provides greater range. Supercedes CAN1 Phase Seg. 1 block when CAN1 Ext. Format Enable block is set." sqref="AA148">
      <formula1>INDIRECT(INDEX(FlexCAN_Jump_Values_Extended,$AA$148+2,$T$140+2))</formula1>
    </dataValidation>
    <dataValidation type="list" allowBlank="1" showInputMessage="1" showErrorMessage="1" promptTitle="Extended Phase Segment 2" prompt="Parallel to CAN1 Phase Seg. 2 block, but provides more range. Supercedes CAN1 Phase Seg. 2 block if CAN1 Ext. Format Enable block is set." sqref="AA155">
      <formula1>INDIRECT(INDEX(FlexCAN_Jump_Values_Extended,$AA$155+2,$T$140+2))</formula1>
    </dataValidation>
    <dataValidation type="list" allowBlank="1" showInputMessage="1" showErrorMessage="1" promptTitle="What is CANFD?" prompt="CAN with Flexible Data Rate is another protocol that FlexCAN supports. CAN frame is split into arbitration and data phases. Arbitration phase uses standard or ext. settings. Data phases uses standard/ext. (BRS=0) or FD settings (BRS=1)." sqref="G170">
      <formula1>"0,1"</formula1>
    </dataValidation>
    <dataValidation type="whole" allowBlank="1" showInputMessage="1" showErrorMessage="1" errorTitle="CAN FD Divider" error="CANFD divider must be an integer between 0 and 1023." promptTitle="What is this?" prompt="Parallel to CAN0 Sclock Prescaler block, but for FD protocol. Supercedes CAN0 Sclock Prescaler block if both CAN0 Bit Rate Switch and CAN0 BRS blocks are set." sqref="Q170">
      <formula1>0</formula1>
      <formula2>1023</formula2>
    </dataValidation>
    <dataValidation type="whole" allowBlank="1" showInputMessage="1" showErrorMessage="1" errorTitle="CAN Divider" error="CAN divider must be an integer between 0 and 255." promptTitle="What is this?" prompt="The Sclock is calculated from the protocol clock and used to produce the time segments.  Time segments are defined in terms of &quot;time quanta&quot;. One time quanta = 1 Sclock Period. Sclock_freq = PE_Clock/(PRESDIV+1)." sqref="I117">
      <formula1>0</formula1>
      <formula2>255</formula2>
    </dataValidation>
    <dataValidation type="list" allowBlank="1" showInputMessage="1" showErrorMessage="1" promptTitle="What is this?" prompt="FRJW defines the number of &quot;time quanta&quot; (aka Sclock periods) that can be changed with one resync. Reflected in this tool.  The cells for Phase 1, Propagation, and Phase 2 segments are lists whose values depend on the current value and the value of FRJW." sqref="U170">
      <formula1>"0,1,2,3,4,5,6,7"</formula1>
    </dataValidation>
    <dataValidation type="list" allowBlank="1" showInputMessage="1" showErrorMessage="1" promptTitle="FD Propagation Segment" prompt="This is parallel to CAN1 Propagation Segment block, but for CAN FD protocol. Supercedes CAN1 Propagation Segment block if CAN1 Bit Rate Switch and CAN1 BRS are both set. Hardware does NOT add 1." sqref="AA170">
      <formula1>INDIRECT(INDEX(FlexCAN_Prop_Jump_Values_FD,$AA$170+2,$U$170+2))</formula1>
    </dataValidation>
    <dataValidation type="list" allowBlank="1" showInputMessage="1" showErrorMessage="1" promptTitle="FD Phase Segment 1" prompt="This is a parallel block to CAN1 Phase Seg. 1 block, but for CAN FD protocol. Supercedes CAN1 Phase Seg. 1 block when CAN1 Bit Rate Switch and CAN1 BRS blocks are both set." sqref="AA178">
      <formula1>INDIRECT(INDEX(FlexCAN_Jump_Values_FD,$AA$178+2,$U$170+2))</formula1>
    </dataValidation>
    <dataValidation type="list" allowBlank="1" showInputMessage="1" showErrorMessage="1" promptTitle="FD Phase Segment 2" prompt="Parallel to CAN1 Phase Seg. 2 block, but for CAN FD protocol. Supercedes CAN1 Phase Seg. 2 block if CAN1 Bit Rate Switch and CAN1 BRS blocks are set." sqref="AA185">
      <formula1>INDIRECT(INDEX(FlexCAN_Jump_Values_FD,$AA$185+2,$U$170+2))</formula1>
    </dataValidation>
    <dataValidation type="whole" allowBlank="1" showInputMessage="1" showErrorMessage="1" errorTitle="CAN Divider" error="CAN Divider must be an integer between 0 and 255." promptTitle="What is this?" prompt="The Sclock is calculated from the protocol clock and used to produce the time segments.  Time segments are defined in terms of &quot;time quanta&quot;. One time quanta = 1 Sclock Period. Sclock_freq = PE_Clock/(PRESDIV+1)." sqref="I207">
      <formula1>0</formula1>
      <formula2>255</formula2>
    </dataValidation>
    <dataValidation type="list" allowBlank="1" showInputMessage="1" showErrorMessage="1" promptTitle="Propagation Segment Frequency" prompt="Determines the length, in ns, of the propagation segment. The propagation segment is (PROPSEG+1)*Time-Quanta, which means (PROSEG+1)*(1/Sclock)." sqref="Q207">
      <formula1>INDIRECT(INDEX(FlexCAN_Jump_Values_Normal,$Q$207+2,$M$207+2))</formula1>
    </dataValidation>
    <dataValidation type="list" allowBlank="1" showInputMessage="1" showErrorMessage="1" promptTitle="Phase Segment 1" prompt="Determines the length, in ns, of the phase segment 1. The phase segment 1 is (PSEG1+1)*Time-Quanta, which means (PSEG1+1)*(1/Sclock)." sqref="Q214">
      <formula1>INDIRECT(INDEX(FlexCAN_Jump_Values_Normal,$Q$214+2,$M$207+2))</formula1>
    </dataValidation>
    <dataValidation type="list" allowBlank="1" showInputMessage="1" showErrorMessage="1" promptTitle="Phase Segment 2" prompt="Determines the length, in ns, of the phase segment 2. The phase segment 2 is (PSEG2+1)*Time-Quanta, which means (PSEG2+1)*(1/Sclock)." sqref="Q221">
      <formula1>INDIRECT(INDEX(FlexCAN_Jump_Values_Normal,$Q$221+2,$M$207+2))</formula1>
    </dataValidation>
    <dataValidation type="whole" allowBlank="1" showInputMessage="1" showErrorMessage="1" errorTitle="CAN Ext. Divider" error="CAN Ext. Divider must be an integer between 0 and 1023." promptTitle="What is this?" prompt="Parallel to CAN2 Sclock Prescaler block, but provides more range. Supercedes CAN2 Sclock Prescaler block if CAN2 Ext. Format Enable block is set." sqref="M230">
      <formula1>0</formula1>
      <formula2>1023</formula2>
    </dataValidation>
    <dataValidation type="list" allowBlank="1" showInputMessage="1" showErrorMessage="1" promptTitle="Extended Propagation Segment" prompt="This is parallel to CAN2 Propagation Segment block, but provides more bits. Supercedes CAN2 Propagation Segment block if CAN2 Ext. Format Enable block is enabled." sqref="AA230">
      <formula1>INDIRECT(INDEX(FlexCAN_Prop_Jump_Values_Extended,$AA$230+2,$T$230+2))</formula1>
    </dataValidation>
    <dataValidation type="list" allowBlank="1" showInputMessage="1" showErrorMessage="1" promptTitle="Extended Phase Segment 1" prompt="This is a parallel block to CAN2 Phase Seg. 1 block, but provides greater range. Supercedes CAN2 Phase Seg. 1 block when CAN2 Ext. Format Enable block is set." sqref="AA238">
      <formula1>INDIRECT(INDEX(FlexCAN_Jump_Values_Extended,$AA$238+2,$T$230+2))</formula1>
    </dataValidation>
    <dataValidation type="list" allowBlank="1" showInputMessage="1" showErrorMessage="1" promptTitle="Extended Phase Segment 2" prompt="Parallel to CAN2 Phase Seg. 2 block, but provides more range. Supercedes CAN2 Phase Seg. 2 block if CAN2 Ext. Format Enable block is set." sqref="AA245">
      <formula1>INDIRECT(INDEX(FlexCAN_Jump_Values_Extended,$AA$245+2,$T$230+2))</formula1>
    </dataValidation>
    <dataValidation type="list" allowBlank="1" showInputMessage="1" showErrorMessage="1" promptTitle="What is this?" prompt="This block controls whether CAN FD will use CANFD segment settings or the normal settings." sqref="K261">
      <formula1>"0,1"</formula1>
    </dataValidation>
    <dataValidation type="whole" allowBlank="1" showInputMessage="1" showErrorMessage="1" errorTitle="CAN FD Divider" error="CAN FD Divider must be an integer between 0 and 1023." promptTitle="What is this?" prompt="Parallel to CAN0 Sclock Prescaler block, but for FD protocol. Supercedes CAN0 Sclock Prescaler block if both CAN0 Bit Rate Switch and CAN0 BRS blocks are set." sqref="Q261">
      <formula1>0</formula1>
      <formula2>1023</formula2>
    </dataValidation>
    <dataValidation type="list" allowBlank="1" showInputMessage="1" showErrorMessage="1" promptTitle="FD Propagation Segment" prompt="This is parallel to CAN2 Propagation Segment block, but for CAN FD protocol. Supercedes CAN2 Propagation Segment block if CAN2 Bit Rate Switch and CAN2 BRS are both set. Hardware does NOT add 1." sqref="AA261">
      <formula1>INDIRECT(INDEX(FlexCAN_Prop_Jump_Values_FD,$AA$261+2,$U$261+2))</formula1>
    </dataValidation>
    <dataValidation type="list" allowBlank="1" showInputMessage="1" showErrorMessage="1" promptTitle="FD Phase Segment 1" prompt="This is a parallel block to CAN2 Phase Seg. 1 block, but for CAN FD protocol. Supercedes CAN2 Phase Seg. 1 block when CAN2 Bit Rate Switch and CAN2 BRS blocks are both set." sqref="AA269">
      <formula1>INDIRECT(INDEX(FlexCAN_Jump_Values_FD,$AA$269+2,$U$261+2))</formula1>
    </dataValidation>
    <dataValidation type="list" allowBlank="1" showInputMessage="1" showErrorMessage="1" promptTitle="FD Phase Segment 2" prompt="Parallel to CAN2 Phase Seg. 2 block, but for CAN FD protocol. Supercedes CAN2 Phase Seg. 2 block if CAN2 Bit Rate Switch and CAN2 BRS blocks are set." sqref="AA276">
      <formula1>INDIRECT(INDEX(FlexCAN_Jump_Values_FD,$AA$276+2,$U$261+2))</formula1>
    </dataValidation>
    <dataValidation type="list" allowBlank="1" showInputMessage="1" showErrorMessage="1" promptTitle="What is CANFD?" prompt="CAN with Flexible Data Rate is another protocol that FlexCAN supports. CAN frame is split into arbitration and data phases. Arbitration phase uses standard or ext. settings. Data phases uses standard/ext. (BRS=0) or FD settings (BRS=1)." sqref="G74">
      <formula1>"0,1"</formula1>
    </dataValidation>
  </dataValidations>
  <pageMargins left="0.7" right="0.7" top="0.75" bottom="0.75" header="0.3" footer="0.3"/>
  <pageSetup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C7:V22"/>
  <sheetViews>
    <sheetView topLeftCell="B1" zoomScaleNormal="100" workbookViewId="0">
      <selection activeCell="M30" sqref="M30"/>
    </sheetView>
  </sheetViews>
  <sheetFormatPr defaultRowHeight="14.4" x14ac:dyDescent="0.25"/>
  <sheetData>
    <row r="7" spans="3:22" x14ac:dyDescent="0.25">
      <c r="S7" s="4"/>
      <c r="T7" t="s">
        <v>0</v>
      </c>
    </row>
    <row r="8" spans="3:22" x14ac:dyDescent="0.25">
      <c r="S8" s="6"/>
      <c r="T8" t="s">
        <v>20</v>
      </c>
    </row>
    <row r="9" spans="3:22" ht="15" thickBot="1" x14ac:dyDescent="0.3"/>
    <row r="10" spans="3:22" ht="15.6" thickTop="1" thickBot="1" x14ac:dyDescent="0.3">
      <c r="Q10" s="37">
        <f>M11/2</f>
        <v>112</v>
      </c>
    </row>
    <row r="11" spans="3:22" ht="15.6" thickTop="1" thickBot="1" x14ac:dyDescent="0.3">
      <c r="C11" s="27">
        <f>Tree!$N$41</f>
        <v>8</v>
      </c>
      <c r="I11" s="27">
        <f>E12/(G13+1)</f>
        <v>8</v>
      </c>
      <c r="M11" s="27">
        <f>I11*(K13+16)</f>
        <v>224</v>
      </c>
      <c r="V11" s="30">
        <f>IF('Device Select'!G17="S32K14x",Q10,0)</f>
        <v>112</v>
      </c>
    </row>
    <row r="12" spans="3:22" ht="15.6" thickTop="1" thickBot="1" x14ac:dyDescent="0.3">
      <c r="E12" s="37">
        <f>IF(D21=1,C11,0)</f>
        <v>8</v>
      </c>
    </row>
    <row r="13" spans="3:22" ht="15.6" thickTop="1" thickBot="1" x14ac:dyDescent="0.3">
      <c r="E13" s="29"/>
      <c r="G13" s="61">
        <v>0</v>
      </c>
      <c r="K13" s="59">
        <v>12</v>
      </c>
      <c r="O13" s="28"/>
    </row>
    <row r="14" spans="3:22" ht="15.6" thickTop="1" thickBot="1" x14ac:dyDescent="0.3">
      <c r="S14" s="37" t="str">
        <f>'Device Select'!G17</f>
        <v>S32K14x</v>
      </c>
    </row>
    <row r="15" spans="3:22" ht="15" thickTop="1" x14ac:dyDescent="0.25"/>
    <row r="17" spans="4:19" x14ac:dyDescent="0.25">
      <c r="S17" s="45"/>
    </row>
    <row r="19" spans="4:19" x14ac:dyDescent="0.25">
      <c r="O19" s="28"/>
    </row>
    <row r="20" spans="4:19" ht="15" thickBot="1" x14ac:dyDescent="0.3"/>
    <row r="21" spans="4:19" ht="15.6" thickTop="1" thickBot="1" x14ac:dyDescent="0.3">
      <c r="D21" s="59">
        <v>1</v>
      </c>
    </row>
    <row r="22" spans="4:19" ht="15" thickTop="1" x14ac:dyDescent="0.25"/>
  </sheetData>
  <phoneticPr fontId="11" type="noConversion"/>
  <conditionalFormatting sqref="V11">
    <cfRule type="expression" dxfId="12" priority="5">
      <formula>OR($D$21=0,$S$14="S32K11x")</formula>
    </cfRule>
  </conditionalFormatting>
  <conditionalFormatting sqref="S17">
    <cfRule type="expression" dxfId="11" priority="4">
      <formula>$D$21=0</formula>
    </cfRule>
  </conditionalFormatting>
  <conditionalFormatting sqref="C11">
    <cfRule type="expression" dxfId="10" priority="2">
      <formula>$D$21=0</formula>
    </cfRule>
  </conditionalFormatting>
  <conditionalFormatting sqref="S17">
    <cfRule type="expression" dxfId="9" priority="6">
      <formula>OR($S$17 &gt;#REF!, $S$17 &lt;#REF!)</formula>
    </cfRule>
    <cfRule type="expression" dxfId="8" priority="7">
      <formula>OR($S$17*$O$19*2 &gt;#REF!, $S$17*$O$19*2 &lt;#REF!)</formula>
    </cfRule>
  </conditionalFormatting>
  <dataValidations count="7">
    <dataValidation type="list" allowBlank="1" showInputMessage="1" showErrorMessage="1" sqref="D21">
      <formula1>"0,1"</formula1>
    </dataValidation>
    <dataValidation type="whole" allowBlank="1" showInputMessage="1" showErrorMessage="1" sqref="O19">
      <formula1>4</formula1>
      <formula2>15</formula2>
    </dataValidation>
    <dataValidation type="whole" allowBlank="1" showInputMessage="1" showErrorMessage="1" sqref="O13">
      <formula1>1</formula1>
      <formula2>63</formula2>
    </dataValidation>
    <dataValidation type="whole" allowBlank="1" showInputMessage="1" showErrorMessage="1" errorTitle="Invalid Multiplier" error="This is the multiply value.  It can be any integer from 0 to 31. The actual multiply factor is the multiplier + 16." promptTitle="SPLL Multiplier" prompt="This is the multiply value.  It can be any integer from 0 to 31. The actual multiply factor is the multiplier + 16." sqref="K13">
      <formula1>0</formula1>
      <formula2>31</formula2>
    </dataValidation>
    <dataValidation type="list" showInputMessage="1" showErrorMessage="1" sqref="E13">
      <formula1>"0,1,2,3,4,5,6,7"</formula1>
    </dataValidation>
    <dataValidation type="list" showInputMessage="1" showErrorMessage="1" sqref="G13">
      <formula1>"0,1,2,3,4,5,6,7"</formula1>
    </dataValidation>
    <dataValidation allowBlank="1" showInputMessage="1" showErrorMessage="1" promptTitle="SPLL Input" prompt="SPLL always sources from SOSC_CLK. When SPLL is enabled, SOSC must be set to 8-40 MHz range." sqref="C11"/>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8" id="{8440FEC9-D240-41B7-9FC2-C84B7EE9BB05}">
            <xm:f>OR($V$11&lt;Limits!$B$7,, $V$11 &gt;Limits!$B$8)</xm:f>
            <x14:dxf>
              <fill>
                <patternFill patternType="lightDown">
                  <bgColor rgb="FFFF0000"/>
                </patternFill>
              </fill>
            </x14:dxf>
          </x14:cfRule>
          <xm:sqref>V11</xm:sqref>
        </x14:conditionalFormatting>
        <x14:conditionalFormatting xmlns:xm="http://schemas.microsoft.com/office/excel/2006/main">
          <x14:cfRule type="expression" priority="3" id="{B57D26F0-41A2-4836-B4D6-9851E9B9A82D}">
            <xm:f>OR($C$11&lt;Limits!$B$3, $C$11&gt;Limits!$B$4)</xm:f>
            <x14:dxf>
              <fill>
                <patternFill>
                  <bgColor rgb="FFFF0000"/>
                </patternFill>
              </fill>
            </x14:dxf>
          </x14:cfRule>
          <xm:sqref>C11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W21"/>
  <sheetViews>
    <sheetView zoomScale="80" zoomScaleNormal="80" workbookViewId="0">
      <pane xSplit="3" ySplit="13" topLeftCell="D14" activePane="bottomRight" state="frozenSplit"/>
      <selection pane="topRight" activeCell="B1" sqref="B1"/>
      <selection pane="bottomLeft" activeCell="A11" sqref="A11"/>
      <selection pane="bottomRight" activeCell="J63" sqref="J63"/>
    </sheetView>
  </sheetViews>
  <sheetFormatPr defaultRowHeight="14.4" x14ac:dyDescent="0.25"/>
  <cols>
    <col min="3" max="3" width="7.44140625" customWidth="1"/>
    <col min="4" max="4" width="8.77734375" bestFit="1" customWidth="1"/>
    <col min="5" max="11" width="9.21875" customWidth="1"/>
  </cols>
  <sheetData>
    <row r="1" spans="1:127" ht="68.25" customHeight="1" thickTop="1" x14ac:dyDescent="0.25">
      <c r="A1" s="113" t="s">
        <v>6</v>
      </c>
      <c r="B1" s="114"/>
      <c r="C1" s="115"/>
      <c r="D1" s="119" t="s">
        <v>63</v>
      </c>
      <c r="E1" s="120"/>
      <c r="F1" s="120"/>
      <c r="G1" s="120"/>
      <c r="H1" s="120"/>
      <c r="I1" s="120"/>
      <c r="J1" s="120"/>
      <c r="K1" s="120"/>
      <c r="L1" s="120"/>
      <c r="M1" s="120"/>
      <c r="N1" s="120"/>
      <c r="O1" s="120"/>
      <c r="P1" s="120"/>
      <c r="Q1" s="120"/>
      <c r="R1" s="120"/>
      <c r="S1" s="120"/>
      <c r="T1" s="121"/>
      <c r="U1" s="121"/>
      <c r="V1" s="121"/>
      <c r="W1" s="49"/>
      <c r="X1" s="49"/>
      <c r="Y1" s="49"/>
      <c r="Z1" s="49"/>
      <c r="AA1" s="49"/>
      <c r="AB1" s="49"/>
      <c r="AC1" s="49"/>
      <c r="AD1" s="49"/>
      <c r="AE1" s="49"/>
      <c r="AF1" s="49"/>
      <c r="AG1" s="49"/>
    </row>
    <row r="2" spans="1:127" ht="15" thickBot="1" x14ac:dyDescent="0.3">
      <c r="A2" s="116"/>
      <c r="B2" s="117"/>
      <c r="C2" s="118"/>
      <c r="S2" s="31" t="s">
        <v>32</v>
      </c>
      <c r="U2">
        <f>SPLL!$C$11</f>
        <v>8</v>
      </c>
      <c r="V2" s="122" t="s">
        <v>62</v>
      </c>
      <c r="W2" s="123"/>
      <c r="X2" s="123"/>
      <c r="Y2" s="123"/>
      <c r="Z2" s="123"/>
    </row>
    <row r="3" spans="1:127" ht="16.5" customHeight="1" thickTop="1" thickBot="1" x14ac:dyDescent="0.45">
      <c r="A3" s="124" t="s">
        <v>29</v>
      </c>
      <c r="B3" s="124"/>
      <c r="C3" s="59">
        <v>188</v>
      </c>
      <c r="K3" s="3"/>
      <c r="L3" s="3"/>
      <c r="M3" s="12"/>
      <c r="O3" s="3"/>
      <c r="S3" s="50" t="s">
        <v>33</v>
      </c>
      <c r="T3" s="48"/>
      <c r="U3">
        <f>C3</f>
        <v>188</v>
      </c>
      <c r="V3" s="123"/>
      <c r="W3" s="123"/>
      <c r="X3" s="123"/>
      <c r="Y3" s="123"/>
      <c r="Z3" s="123"/>
    </row>
    <row r="4" spans="1:127" ht="15" thickTop="1" x14ac:dyDescent="0.25">
      <c r="A4" s="125"/>
      <c r="B4" s="125"/>
      <c r="C4" s="35"/>
      <c r="S4" t="s">
        <v>44</v>
      </c>
      <c r="U4">
        <f>Limits!$B$5</f>
        <v>180</v>
      </c>
      <c r="V4" s="123"/>
      <c r="W4" s="123"/>
      <c r="X4" s="123"/>
      <c r="Y4" s="123"/>
      <c r="Z4" s="123"/>
    </row>
    <row r="5" spans="1:127" x14ac:dyDescent="0.25">
      <c r="A5" s="35"/>
      <c r="B5" s="36"/>
      <c r="S5" t="s">
        <v>45</v>
      </c>
      <c r="U5">
        <f>Limits!$B$6</f>
        <v>320</v>
      </c>
      <c r="V5" s="123"/>
      <c r="W5" s="123"/>
      <c r="X5" s="123"/>
      <c r="Y5" s="123"/>
      <c r="Z5" s="123"/>
    </row>
    <row r="6" spans="1:127" x14ac:dyDescent="0.25">
      <c r="V6" s="123"/>
      <c r="W6" s="123"/>
      <c r="X6" s="123"/>
      <c r="Y6" s="123"/>
      <c r="Z6" s="123"/>
    </row>
    <row r="7" spans="1:127" ht="22.2" x14ac:dyDescent="0.25">
      <c r="V7" s="8"/>
      <c r="W7" s="8"/>
    </row>
    <row r="8" spans="1:127" ht="25.8" x14ac:dyDescent="0.4">
      <c r="N8" s="4"/>
      <c r="O8" t="s">
        <v>0</v>
      </c>
      <c r="P8" s="3"/>
      <c r="R8" s="8"/>
      <c r="V8" s="8"/>
      <c r="W8" s="8"/>
    </row>
    <row r="9" spans="1:127" ht="26.25" customHeight="1" x14ac:dyDescent="0.25">
      <c r="N9" s="5"/>
      <c r="O9" t="s">
        <v>2</v>
      </c>
    </row>
    <row r="10" spans="1:127" ht="26.25" customHeight="1" x14ac:dyDescent="0.25">
      <c r="A10" s="21"/>
      <c r="N10" s="15"/>
      <c r="O10" t="s">
        <v>1</v>
      </c>
      <c r="S10" s="47"/>
      <c r="U10" s="47"/>
      <c r="V10" s="8"/>
      <c r="W10" s="8"/>
    </row>
    <row r="11" spans="1:127" ht="30" customHeight="1" x14ac:dyDescent="0.25">
      <c r="D11" s="46" t="s">
        <v>30</v>
      </c>
      <c r="E11" s="47"/>
      <c r="F11" s="47"/>
      <c r="G11" s="47"/>
      <c r="H11" s="47"/>
      <c r="I11" s="47"/>
      <c r="J11" s="47"/>
      <c r="K11" s="47"/>
      <c r="L11" s="47"/>
      <c r="M11" s="47"/>
      <c r="N11" s="47"/>
      <c r="O11" s="47"/>
      <c r="P11" s="47"/>
      <c r="Q11" s="47"/>
      <c r="R11" s="47"/>
      <c r="S11" s="13"/>
      <c r="T11" s="47"/>
      <c r="U11" s="13"/>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47"/>
      <c r="CR11" s="47"/>
      <c r="CS11" s="47"/>
      <c r="CT11" s="47"/>
      <c r="CU11" s="47"/>
      <c r="CV11" s="47"/>
      <c r="CW11" s="47"/>
      <c r="CX11" s="47"/>
      <c r="CY11" s="47"/>
      <c r="CZ11" s="47"/>
      <c r="DA11" s="47"/>
      <c r="DB11" s="47"/>
      <c r="DC11" s="47"/>
      <c r="DD11" s="47"/>
      <c r="DE11" s="47"/>
      <c r="DF11" s="47"/>
      <c r="DG11" s="47"/>
      <c r="DH11" s="47"/>
      <c r="DI11" s="47"/>
      <c r="DJ11" s="47"/>
      <c r="DK11" s="47"/>
      <c r="DL11" s="47"/>
      <c r="DM11" s="47"/>
      <c r="DN11" s="47"/>
      <c r="DO11" s="47"/>
      <c r="DP11" s="47"/>
      <c r="DQ11" s="47"/>
      <c r="DR11" s="47"/>
      <c r="DS11" s="47"/>
    </row>
    <row r="12" spans="1:127" x14ac:dyDescent="0.25">
      <c r="D12" s="13" t="str">
        <f>"0x"&amp;DEC2HEX(D13,2)</f>
        <v>0x00</v>
      </c>
      <c r="E12" s="13" t="str">
        <f t="shared" ref="E12:R12" si="0">"0x"&amp;DEC2HEX(E13,2)</f>
        <v>0x01</v>
      </c>
      <c r="F12" s="13" t="str">
        <f t="shared" si="0"/>
        <v>0x02</v>
      </c>
      <c r="G12" s="13" t="str">
        <f t="shared" si="0"/>
        <v>0x03</v>
      </c>
      <c r="H12" s="13" t="str">
        <f t="shared" si="0"/>
        <v>0x04</v>
      </c>
      <c r="I12" s="13" t="str">
        <f t="shared" si="0"/>
        <v>0x05</v>
      </c>
      <c r="J12" s="13" t="str">
        <f t="shared" si="0"/>
        <v>0x06</v>
      </c>
      <c r="K12" s="13" t="str">
        <f t="shared" si="0"/>
        <v>0x07</v>
      </c>
      <c r="L12" s="13" t="str">
        <f t="shared" si="0"/>
        <v>0x08</v>
      </c>
      <c r="M12" s="13" t="str">
        <f t="shared" si="0"/>
        <v>0x09</v>
      </c>
      <c r="N12" s="13" t="str">
        <f t="shared" si="0"/>
        <v>0x0A</v>
      </c>
      <c r="O12" s="13" t="str">
        <f t="shared" si="0"/>
        <v>0x0B</v>
      </c>
      <c r="P12" s="13" t="str">
        <f t="shared" si="0"/>
        <v>0x0C</v>
      </c>
      <c r="Q12" s="13" t="str">
        <f t="shared" si="0"/>
        <v>0x0D</v>
      </c>
      <c r="R12" s="13" t="str">
        <f t="shared" si="0"/>
        <v>0x0E</v>
      </c>
      <c r="S12" s="13" t="str">
        <f t="shared" ref="S12:AI12" si="1">"0x"&amp;DEC2HEX(S13,2)</f>
        <v>0x0F</v>
      </c>
      <c r="T12" s="13" t="str">
        <f t="shared" si="1"/>
        <v>0x10</v>
      </c>
      <c r="U12" s="13" t="str">
        <f t="shared" si="1"/>
        <v>0x11</v>
      </c>
      <c r="V12" s="13" t="str">
        <f t="shared" si="1"/>
        <v>0x12</v>
      </c>
      <c r="W12" s="13" t="str">
        <f t="shared" si="1"/>
        <v>0x13</v>
      </c>
      <c r="X12" s="13" t="str">
        <f t="shared" si="1"/>
        <v>0x14</v>
      </c>
      <c r="Y12" s="13" t="str">
        <f t="shared" si="1"/>
        <v>0x15</v>
      </c>
      <c r="Z12" s="13" t="str">
        <f t="shared" si="1"/>
        <v>0x16</v>
      </c>
      <c r="AA12" s="13" t="str">
        <f t="shared" si="1"/>
        <v>0x17</v>
      </c>
      <c r="AB12" s="13" t="str">
        <f t="shared" si="1"/>
        <v>0x18</v>
      </c>
      <c r="AC12" s="13" t="str">
        <f t="shared" si="1"/>
        <v>0x19</v>
      </c>
      <c r="AD12" s="13" t="str">
        <f t="shared" si="1"/>
        <v>0x1A</v>
      </c>
      <c r="AE12" s="13" t="str">
        <f t="shared" si="1"/>
        <v>0x1B</v>
      </c>
      <c r="AF12" s="13" t="str">
        <f t="shared" si="1"/>
        <v>0x1C</v>
      </c>
      <c r="AG12" s="13" t="str">
        <f t="shared" si="1"/>
        <v>0x1D</v>
      </c>
      <c r="AH12" s="13" t="str">
        <f t="shared" si="1"/>
        <v>0x1E</v>
      </c>
      <c r="AI12" s="13" t="str">
        <f t="shared" si="1"/>
        <v>0x1F</v>
      </c>
    </row>
    <row r="13" spans="1:127" x14ac:dyDescent="0.25">
      <c r="D13" s="14">
        <v>0</v>
      </c>
      <c r="E13" s="14">
        <f t="shared" ref="E13" si="2">D13+1</f>
        <v>1</v>
      </c>
      <c r="F13" s="14">
        <f t="shared" ref="F13" si="3">E13+1</f>
        <v>2</v>
      </c>
      <c r="G13" s="14">
        <f t="shared" ref="G13" si="4">F13+1</f>
        <v>3</v>
      </c>
      <c r="H13" s="14">
        <f t="shared" ref="H13" si="5">G13+1</f>
        <v>4</v>
      </c>
      <c r="I13" s="14">
        <f t="shared" ref="I13" si="6">H13+1</f>
        <v>5</v>
      </c>
      <c r="J13" s="14">
        <f t="shared" ref="J13" si="7">I13+1</f>
        <v>6</v>
      </c>
      <c r="K13" s="14">
        <f t="shared" ref="K13" si="8">J13+1</f>
        <v>7</v>
      </c>
      <c r="L13" s="14">
        <f t="shared" ref="L13" si="9">K13+1</f>
        <v>8</v>
      </c>
      <c r="M13" s="14">
        <f t="shared" ref="M13" si="10">L13+1</f>
        <v>9</v>
      </c>
      <c r="N13" s="14">
        <f t="shared" ref="N13" si="11">M13+1</f>
        <v>10</v>
      </c>
      <c r="O13" s="14">
        <f t="shared" ref="O13" si="12">N13+1</f>
        <v>11</v>
      </c>
      <c r="P13" s="14">
        <f t="shared" ref="P13" si="13">O13+1</f>
        <v>12</v>
      </c>
      <c r="Q13" s="14">
        <f t="shared" ref="Q13" si="14">P13+1</f>
        <v>13</v>
      </c>
      <c r="R13" s="14">
        <f t="shared" ref="R13" si="15">Q13+1</f>
        <v>14</v>
      </c>
      <c r="S13" s="14">
        <f t="shared" ref="S13" si="16">R13+1</f>
        <v>15</v>
      </c>
      <c r="T13" s="14">
        <f t="shared" ref="T13" si="17">S13+1</f>
        <v>16</v>
      </c>
      <c r="U13" s="14">
        <f t="shared" ref="U13" si="18">T13+1</f>
        <v>17</v>
      </c>
      <c r="V13" s="14">
        <f t="shared" ref="V13" si="19">U13+1</f>
        <v>18</v>
      </c>
      <c r="W13" s="14">
        <f t="shared" ref="W13" si="20">V13+1</f>
        <v>19</v>
      </c>
      <c r="X13" s="14">
        <f t="shared" ref="X13" si="21">W13+1</f>
        <v>20</v>
      </c>
      <c r="Y13" s="14">
        <f t="shared" ref="Y13" si="22">X13+1</f>
        <v>21</v>
      </c>
      <c r="Z13" s="14">
        <f t="shared" ref="Z13" si="23">Y13+1</f>
        <v>22</v>
      </c>
      <c r="AA13" s="14">
        <f t="shared" ref="AA13" si="24">Z13+1</f>
        <v>23</v>
      </c>
      <c r="AB13" s="14">
        <f t="shared" ref="AB13" si="25">AA13+1</f>
        <v>24</v>
      </c>
      <c r="AC13" s="14">
        <f t="shared" ref="AC13" si="26">AB13+1</f>
        <v>25</v>
      </c>
      <c r="AD13" s="14">
        <f t="shared" ref="AD13" si="27">AC13+1</f>
        <v>26</v>
      </c>
      <c r="AE13" s="14">
        <f t="shared" ref="AE13" si="28">AD13+1</f>
        <v>27</v>
      </c>
      <c r="AF13" s="14">
        <f t="shared" ref="AF13" si="29">AE13+1</f>
        <v>28</v>
      </c>
      <c r="AG13" s="14">
        <f t="shared" ref="AG13" si="30">AF13+1</f>
        <v>29</v>
      </c>
      <c r="AH13" s="14">
        <f t="shared" ref="AH13" si="31">AG13+1</f>
        <v>30</v>
      </c>
      <c r="AI13" s="14">
        <f t="shared" ref="AI13" si="32">AH13+1</f>
        <v>31</v>
      </c>
      <c r="DT13" s="2"/>
      <c r="DU13" s="2"/>
      <c r="DV13" s="2"/>
      <c r="DW13" s="2"/>
    </row>
    <row r="14" spans="1:127" x14ac:dyDescent="0.25">
      <c r="A14" s="110" t="s">
        <v>31</v>
      </c>
      <c r="B14" s="10" t="str">
        <f>"0x"&amp;DEC2HEX(C14,2)</f>
        <v>0x00</v>
      </c>
      <c r="C14" s="62">
        <v>0</v>
      </c>
      <c r="D14" s="1">
        <f>($U$2*(D$13+16))/(($C14+1)*2)</f>
        <v>64</v>
      </c>
      <c r="E14" s="1">
        <f t="shared" ref="E14:AI21" si="33">($U$2*(E$13+16))/(($C14+1)*2)</f>
        <v>68</v>
      </c>
      <c r="F14" s="1">
        <f t="shared" si="33"/>
        <v>72</v>
      </c>
      <c r="G14" s="1">
        <f t="shared" si="33"/>
        <v>76</v>
      </c>
      <c r="H14" s="1">
        <f t="shared" si="33"/>
        <v>80</v>
      </c>
      <c r="I14" s="1">
        <f t="shared" si="33"/>
        <v>84</v>
      </c>
      <c r="J14" s="1">
        <f t="shared" si="33"/>
        <v>88</v>
      </c>
      <c r="K14" s="1">
        <f t="shared" si="33"/>
        <v>92</v>
      </c>
      <c r="L14" s="1">
        <f t="shared" si="33"/>
        <v>96</v>
      </c>
      <c r="M14" s="1">
        <f t="shared" si="33"/>
        <v>100</v>
      </c>
      <c r="N14" s="1">
        <f t="shared" si="33"/>
        <v>104</v>
      </c>
      <c r="O14" s="1">
        <f t="shared" si="33"/>
        <v>108</v>
      </c>
      <c r="P14" s="1">
        <f t="shared" si="33"/>
        <v>112</v>
      </c>
      <c r="Q14" s="1">
        <f t="shared" si="33"/>
        <v>116</v>
      </c>
      <c r="R14" s="1">
        <f t="shared" si="33"/>
        <v>120</v>
      </c>
      <c r="S14" s="1">
        <f t="shared" si="33"/>
        <v>124</v>
      </c>
      <c r="T14" s="1">
        <f t="shared" si="33"/>
        <v>128</v>
      </c>
      <c r="U14" s="1">
        <f t="shared" si="33"/>
        <v>132</v>
      </c>
      <c r="V14" s="1">
        <f t="shared" si="33"/>
        <v>136</v>
      </c>
      <c r="W14" s="1">
        <f t="shared" si="33"/>
        <v>140</v>
      </c>
      <c r="X14" s="1">
        <f t="shared" si="33"/>
        <v>144</v>
      </c>
      <c r="Y14" s="1">
        <f t="shared" si="33"/>
        <v>148</v>
      </c>
      <c r="Z14" s="1">
        <f t="shared" si="33"/>
        <v>152</v>
      </c>
      <c r="AA14" s="1">
        <f t="shared" si="33"/>
        <v>156</v>
      </c>
      <c r="AB14" s="1">
        <f t="shared" si="33"/>
        <v>160</v>
      </c>
      <c r="AC14" s="1">
        <f t="shared" si="33"/>
        <v>164</v>
      </c>
      <c r="AD14" s="1">
        <f t="shared" si="33"/>
        <v>168</v>
      </c>
      <c r="AE14" s="1">
        <f t="shared" si="33"/>
        <v>172</v>
      </c>
      <c r="AF14" s="1">
        <f t="shared" si="33"/>
        <v>176</v>
      </c>
      <c r="AG14" s="1">
        <f t="shared" si="33"/>
        <v>180</v>
      </c>
      <c r="AH14" s="1">
        <f t="shared" si="33"/>
        <v>184</v>
      </c>
      <c r="AI14" s="1">
        <f t="shared" si="33"/>
        <v>188</v>
      </c>
      <c r="DT14" s="2"/>
      <c r="DU14" s="2"/>
      <c r="DV14" s="2"/>
      <c r="DW14" s="2"/>
    </row>
    <row r="15" spans="1:127" x14ac:dyDescent="0.25">
      <c r="A15" s="111"/>
      <c r="B15" s="10" t="str">
        <f t="shared" ref="B15:B21" si="34">"0x"&amp;DEC2HEX(C15,2)</f>
        <v>0x01</v>
      </c>
      <c r="C15" s="9">
        <f>C14+1</f>
        <v>1</v>
      </c>
      <c r="D15" s="1">
        <f t="shared" ref="D15:S21" si="35">($U$2*(D$13+16))/(($C15+1)*2)</f>
        <v>32</v>
      </c>
      <c r="E15" s="1">
        <f t="shared" si="35"/>
        <v>34</v>
      </c>
      <c r="F15" s="1">
        <f t="shared" si="35"/>
        <v>36</v>
      </c>
      <c r="G15" s="1">
        <f t="shared" si="35"/>
        <v>38</v>
      </c>
      <c r="H15" s="1">
        <f t="shared" si="35"/>
        <v>40</v>
      </c>
      <c r="I15" s="1">
        <f t="shared" si="35"/>
        <v>42</v>
      </c>
      <c r="J15" s="1">
        <f t="shared" si="35"/>
        <v>44</v>
      </c>
      <c r="K15" s="1">
        <f t="shared" si="35"/>
        <v>46</v>
      </c>
      <c r="L15" s="1">
        <f t="shared" si="35"/>
        <v>48</v>
      </c>
      <c r="M15" s="1">
        <f t="shared" si="35"/>
        <v>50</v>
      </c>
      <c r="N15" s="1">
        <f t="shared" si="35"/>
        <v>52</v>
      </c>
      <c r="O15" s="1">
        <f t="shared" si="35"/>
        <v>54</v>
      </c>
      <c r="P15" s="1">
        <f t="shared" si="35"/>
        <v>56</v>
      </c>
      <c r="Q15" s="1">
        <f t="shared" si="35"/>
        <v>58</v>
      </c>
      <c r="R15" s="1">
        <f t="shared" si="35"/>
        <v>60</v>
      </c>
      <c r="S15" s="1">
        <f t="shared" si="35"/>
        <v>62</v>
      </c>
      <c r="T15" s="1">
        <f t="shared" si="33"/>
        <v>64</v>
      </c>
      <c r="U15" s="1">
        <f t="shared" si="33"/>
        <v>66</v>
      </c>
      <c r="V15" s="1">
        <f t="shared" si="33"/>
        <v>68</v>
      </c>
      <c r="W15" s="1">
        <f t="shared" si="33"/>
        <v>70</v>
      </c>
      <c r="X15" s="1">
        <f t="shared" si="33"/>
        <v>72</v>
      </c>
      <c r="Y15" s="1">
        <f t="shared" si="33"/>
        <v>74</v>
      </c>
      <c r="Z15" s="1">
        <f t="shared" si="33"/>
        <v>76</v>
      </c>
      <c r="AA15" s="1">
        <f t="shared" si="33"/>
        <v>78</v>
      </c>
      <c r="AB15" s="1">
        <f t="shared" si="33"/>
        <v>80</v>
      </c>
      <c r="AC15" s="1">
        <f t="shared" si="33"/>
        <v>82</v>
      </c>
      <c r="AD15" s="1">
        <f t="shared" si="33"/>
        <v>84</v>
      </c>
      <c r="AE15" s="1">
        <f t="shared" si="33"/>
        <v>86</v>
      </c>
      <c r="AF15" s="1">
        <f t="shared" si="33"/>
        <v>88</v>
      </c>
      <c r="AG15" s="1">
        <f t="shared" si="33"/>
        <v>90</v>
      </c>
      <c r="AH15" s="1">
        <f t="shared" si="33"/>
        <v>92</v>
      </c>
      <c r="AI15" s="1">
        <f t="shared" si="33"/>
        <v>94</v>
      </c>
    </row>
    <row r="16" spans="1:127" x14ac:dyDescent="0.25">
      <c r="A16" s="111"/>
      <c r="B16" s="10" t="str">
        <f t="shared" si="34"/>
        <v>0x02</v>
      </c>
      <c r="C16" s="9">
        <f>C15+1</f>
        <v>2</v>
      </c>
      <c r="D16" s="1">
        <f t="shared" si="35"/>
        <v>21.333333333333332</v>
      </c>
      <c r="E16" s="1">
        <f t="shared" si="33"/>
        <v>22.666666666666668</v>
      </c>
      <c r="F16" s="1">
        <f t="shared" si="33"/>
        <v>24</v>
      </c>
      <c r="G16" s="1">
        <f t="shared" si="33"/>
        <v>25.333333333333332</v>
      </c>
      <c r="H16" s="1">
        <f t="shared" si="33"/>
        <v>26.666666666666668</v>
      </c>
      <c r="I16" s="1">
        <f t="shared" si="33"/>
        <v>28</v>
      </c>
      <c r="J16" s="1">
        <f t="shared" si="33"/>
        <v>29.333333333333332</v>
      </c>
      <c r="K16" s="1">
        <f t="shared" si="33"/>
        <v>30.666666666666668</v>
      </c>
      <c r="L16" s="1">
        <f t="shared" si="33"/>
        <v>32</v>
      </c>
      <c r="M16" s="1">
        <f t="shared" si="33"/>
        <v>33.333333333333336</v>
      </c>
      <c r="N16" s="1">
        <f t="shared" si="33"/>
        <v>34.666666666666664</v>
      </c>
      <c r="O16" s="1">
        <f t="shared" si="33"/>
        <v>36</v>
      </c>
      <c r="P16" s="1">
        <f t="shared" si="33"/>
        <v>37.333333333333336</v>
      </c>
      <c r="Q16" s="1">
        <f t="shared" si="33"/>
        <v>38.666666666666664</v>
      </c>
      <c r="R16" s="1">
        <f t="shared" si="33"/>
        <v>40</v>
      </c>
      <c r="S16" s="1">
        <f t="shared" si="33"/>
        <v>41.333333333333336</v>
      </c>
      <c r="T16" s="1">
        <f t="shared" si="33"/>
        <v>42.666666666666664</v>
      </c>
      <c r="U16" s="1">
        <f t="shared" si="33"/>
        <v>44</v>
      </c>
      <c r="V16" s="1">
        <f t="shared" si="33"/>
        <v>45.333333333333336</v>
      </c>
      <c r="W16" s="1">
        <f t="shared" si="33"/>
        <v>46.666666666666664</v>
      </c>
      <c r="X16" s="1">
        <f t="shared" si="33"/>
        <v>48</v>
      </c>
      <c r="Y16" s="1">
        <f t="shared" si="33"/>
        <v>49.333333333333336</v>
      </c>
      <c r="Z16" s="1">
        <f t="shared" si="33"/>
        <v>50.666666666666664</v>
      </c>
      <c r="AA16" s="1">
        <f t="shared" si="33"/>
        <v>52</v>
      </c>
      <c r="AB16" s="1">
        <f t="shared" si="33"/>
        <v>53.333333333333336</v>
      </c>
      <c r="AC16" s="1">
        <f t="shared" si="33"/>
        <v>54.666666666666664</v>
      </c>
      <c r="AD16" s="1">
        <f t="shared" si="33"/>
        <v>56</v>
      </c>
      <c r="AE16" s="1">
        <f t="shared" si="33"/>
        <v>57.333333333333336</v>
      </c>
      <c r="AF16" s="1">
        <f t="shared" si="33"/>
        <v>58.666666666666664</v>
      </c>
      <c r="AG16" s="1">
        <f t="shared" si="33"/>
        <v>60</v>
      </c>
      <c r="AH16" s="1">
        <f t="shared" si="33"/>
        <v>61.333333333333336</v>
      </c>
      <c r="AI16" s="1">
        <f t="shared" si="33"/>
        <v>62.666666666666664</v>
      </c>
    </row>
    <row r="17" spans="1:35" x14ac:dyDescent="0.25">
      <c r="A17" s="111"/>
      <c r="B17" s="10" t="str">
        <f t="shared" si="34"/>
        <v>0x03</v>
      </c>
      <c r="C17" s="9">
        <f t="shared" ref="C17:C21" si="36">C16+1</f>
        <v>3</v>
      </c>
      <c r="D17" s="1">
        <f t="shared" si="35"/>
        <v>16</v>
      </c>
      <c r="E17" s="1">
        <f t="shared" si="33"/>
        <v>17</v>
      </c>
      <c r="F17" s="1">
        <f t="shared" si="33"/>
        <v>18</v>
      </c>
      <c r="G17" s="1">
        <f t="shared" si="33"/>
        <v>19</v>
      </c>
      <c r="H17" s="1">
        <f t="shared" si="33"/>
        <v>20</v>
      </c>
      <c r="I17" s="1">
        <f t="shared" si="33"/>
        <v>21</v>
      </c>
      <c r="J17" s="1">
        <f t="shared" si="33"/>
        <v>22</v>
      </c>
      <c r="K17" s="1">
        <f t="shared" si="33"/>
        <v>23</v>
      </c>
      <c r="L17" s="1">
        <f t="shared" si="33"/>
        <v>24</v>
      </c>
      <c r="M17" s="1">
        <f t="shared" si="33"/>
        <v>25</v>
      </c>
      <c r="N17" s="1">
        <f t="shared" si="33"/>
        <v>26</v>
      </c>
      <c r="O17" s="1">
        <f t="shared" si="33"/>
        <v>27</v>
      </c>
      <c r="P17" s="1">
        <f t="shared" si="33"/>
        <v>28</v>
      </c>
      <c r="Q17" s="1">
        <f t="shared" si="33"/>
        <v>29</v>
      </c>
      <c r="R17" s="1">
        <f t="shared" si="33"/>
        <v>30</v>
      </c>
      <c r="S17" s="1">
        <f t="shared" si="33"/>
        <v>31</v>
      </c>
      <c r="T17" s="1">
        <f t="shared" si="33"/>
        <v>32</v>
      </c>
      <c r="U17" s="1">
        <f t="shared" si="33"/>
        <v>33</v>
      </c>
      <c r="V17" s="1">
        <f t="shared" si="33"/>
        <v>34</v>
      </c>
      <c r="W17" s="1">
        <f t="shared" si="33"/>
        <v>35</v>
      </c>
      <c r="X17" s="1">
        <f t="shared" si="33"/>
        <v>36</v>
      </c>
      <c r="Y17" s="1">
        <f t="shared" si="33"/>
        <v>37</v>
      </c>
      <c r="Z17" s="1">
        <f t="shared" si="33"/>
        <v>38</v>
      </c>
      <c r="AA17" s="1">
        <f t="shared" si="33"/>
        <v>39</v>
      </c>
      <c r="AB17" s="1">
        <f t="shared" si="33"/>
        <v>40</v>
      </c>
      <c r="AC17" s="1">
        <f t="shared" si="33"/>
        <v>41</v>
      </c>
      <c r="AD17" s="1">
        <f t="shared" si="33"/>
        <v>42</v>
      </c>
      <c r="AE17" s="1">
        <f t="shared" si="33"/>
        <v>43</v>
      </c>
      <c r="AF17" s="1">
        <f t="shared" si="33"/>
        <v>44</v>
      </c>
      <c r="AG17" s="1">
        <f t="shared" si="33"/>
        <v>45</v>
      </c>
      <c r="AH17" s="1">
        <f t="shared" si="33"/>
        <v>46</v>
      </c>
      <c r="AI17" s="1">
        <f t="shared" si="33"/>
        <v>47</v>
      </c>
    </row>
    <row r="18" spans="1:35" x14ac:dyDescent="0.25">
      <c r="A18" s="111"/>
      <c r="B18" s="10" t="str">
        <f t="shared" si="34"/>
        <v>0x04</v>
      </c>
      <c r="C18" s="9">
        <f t="shared" si="36"/>
        <v>4</v>
      </c>
      <c r="D18" s="1">
        <f t="shared" si="35"/>
        <v>12.8</v>
      </c>
      <c r="E18" s="1">
        <f t="shared" si="33"/>
        <v>13.6</v>
      </c>
      <c r="F18" s="1">
        <f t="shared" si="33"/>
        <v>14.4</v>
      </c>
      <c r="G18" s="1">
        <f t="shared" si="33"/>
        <v>15.2</v>
      </c>
      <c r="H18" s="1">
        <f t="shared" si="33"/>
        <v>16</v>
      </c>
      <c r="I18" s="1">
        <f t="shared" si="33"/>
        <v>16.8</v>
      </c>
      <c r="J18" s="1">
        <f t="shared" si="33"/>
        <v>17.600000000000001</v>
      </c>
      <c r="K18" s="1">
        <f t="shared" si="33"/>
        <v>18.399999999999999</v>
      </c>
      <c r="L18" s="1">
        <f t="shared" si="33"/>
        <v>19.2</v>
      </c>
      <c r="M18" s="1">
        <f t="shared" si="33"/>
        <v>20</v>
      </c>
      <c r="N18" s="1">
        <f t="shared" si="33"/>
        <v>20.8</v>
      </c>
      <c r="O18" s="1">
        <f t="shared" si="33"/>
        <v>21.6</v>
      </c>
      <c r="P18" s="1">
        <f t="shared" si="33"/>
        <v>22.4</v>
      </c>
      <c r="Q18" s="1">
        <f t="shared" si="33"/>
        <v>23.2</v>
      </c>
      <c r="R18" s="1">
        <f t="shared" si="33"/>
        <v>24</v>
      </c>
      <c r="S18" s="1">
        <f t="shared" si="33"/>
        <v>24.8</v>
      </c>
      <c r="T18" s="1">
        <f t="shared" si="33"/>
        <v>25.6</v>
      </c>
      <c r="U18" s="1">
        <f t="shared" si="33"/>
        <v>26.4</v>
      </c>
      <c r="V18" s="1">
        <f t="shared" si="33"/>
        <v>27.2</v>
      </c>
      <c r="W18" s="1">
        <f t="shared" si="33"/>
        <v>28</v>
      </c>
      <c r="X18" s="1">
        <f t="shared" si="33"/>
        <v>28.8</v>
      </c>
      <c r="Y18" s="1">
        <f t="shared" si="33"/>
        <v>29.6</v>
      </c>
      <c r="Z18" s="1">
        <f t="shared" si="33"/>
        <v>30.4</v>
      </c>
      <c r="AA18" s="1">
        <f t="shared" si="33"/>
        <v>31.2</v>
      </c>
      <c r="AB18" s="1">
        <f t="shared" si="33"/>
        <v>32</v>
      </c>
      <c r="AC18" s="1">
        <f t="shared" si="33"/>
        <v>32.799999999999997</v>
      </c>
      <c r="AD18" s="1">
        <f t="shared" si="33"/>
        <v>33.6</v>
      </c>
      <c r="AE18" s="1">
        <f t="shared" si="33"/>
        <v>34.4</v>
      </c>
      <c r="AF18" s="1">
        <f t="shared" si="33"/>
        <v>35.200000000000003</v>
      </c>
      <c r="AG18" s="1">
        <f t="shared" si="33"/>
        <v>36</v>
      </c>
      <c r="AH18" s="1">
        <f t="shared" si="33"/>
        <v>36.799999999999997</v>
      </c>
      <c r="AI18" s="1">
        <f t="shared" si="33"/>
        <v>37.6</v>
      </c>
    </row>
    <row r="19" spans="1:35" x14ac:dyDescent="0.25">
      <c r="A19" s="111"/>
      <c r="B19" s="10" t="str">
        <f t="shared" si="34"/>
        <v>0x05</v>
      </c>
      <c r="C19" s="9">
        <f t="shared" si="36"/>
        <v>5</v>
      </c>
      <c r="D19" s="1">
        <f t="shared" si="35"/>
        <v>10.666666666666666</v>
      </c>
      <c r="E19" s="1">
        <f t="shared" si="33"/>
        <v>11.333333333333334</v>
      </c>
      <c r="F19" s="1">
        <f t="shared" si="33"/>
        <v>12</v>
      </c>
      <c r="G19" s="1">
        <f t="shared" si="33"/>
        <v>12.666666666666666</v>
      </c>
      <c r="H19" s="1">
        <f t="shared" si="33"/>
        <v>13.333333333333334</v>
      </c>
      <c r="I19" s="1">
        <f t="shared" si="33"/>
        <v>14</v>
      </c>
      <c r="J19" s="1">
        <f t="shared" si="33"/>
        <v>14.666666666666666</v>
      </c>
      <c r="K19" s="1">
        <f t="shared" si="33"/>
        <v>15.333333333333334</v>
      </c>
      <c r="L19" s="1">
        <f t="shared" si="33"/>
        <v>16</v>
      </c>
      <c r="M19" s="1">
        <f t="shared" si="33"/>
        <v>16.666666666666668</v>
      </c>
      <c r="N19" s="1">
        <f t="shared" si="33"/>
        <v>17.333333333333332</v>
      </c>
      <c r="O19" s="1">
        <f t="shared" si="33"/>
        <v>18</v>
      </c>
      <c r="P19" s="1">
        <f t="shared" si="33"/>
        <v>18.666666666666668</v>
      </c>
      <c r="Q19" s="1">
        <f t="shared" si="33"/>
        <v>19.333333333333332</v>
      </c>
      <c r="R19" s="1">
        <f t="shared" si="33"/>
        <v>20</v>
      </c>
      <c r="S19" s="1">
        <f t="shared" si="33"/>
        <v>20.666666666666668</v>
      </c>
      <c r="T19" s="1">
        <f t="shared" si="33"/>
        <v>21.333333333333332</v>
      </c>
      <c r="U19" s="1">
        <f t="shared" si="33"/>
        <v>22</v>
      </c>
      <c r="V19" s="1">
        <f t="shared" si="33"/>
        <v>22.666666666666668</v>
      </c>
      <c r="W19" s="1">
        <f t="shared" si="33"/>
        <v>23.333333333333332</v>
      </c>
      <c r="X19" s="1">
        <f t="shared" si="33"/>
        <v>24</v>
      </c>
      <c r="Y19" s="1">
        <f t="shared" si="33"/>
        <v>24.666666666666668</v>
      </c>
      <c r="Z19" s="1">
        <f t="shared" si="33"/>
        <v>25.333333333333332</v>
      </c>
      <c r="AA19" s="1">
        <f t="shared" si="33"/>
        <v>26</v>
      </c>
      <c r="AB19" s="1">
        <f t="shared" si="33"/>
        <v>26.666666666666668</v>
      </c>
      <c r="AC19" s="1">
        <f t="shared" si="33"/>
        <v>27.333333333333332</v>
      </c>
      <c r="AD19" s="1">
        <f t="shared" si="33"/>
        <v>28</v>
      </c>
      <c r="AE19" s="1">
        <f t="shared" si="33"/>
        <v>28.666666666666668</v>
      </c>
      <c r="AF19" s="1">
        <f t="shared" si="33"/>
        <v>29.333333333333332</v>
      </c>
      <c r="AG19" s="1">
        <f t="shared" si="33"/>
        <v>30</v>
      </c>
      <c r="AH19" s="1">
        <f t="shared" si="33"/>
        <v>30.666666666666668</v>
      </c>
      <c r="AI19" s="1">
        <f t="shared" si="33"/>
        <v>31.333333333333332</v>
      </c>
    </row>
    <row r="20" spans="1:35" x14ac:dyDescent="0.25">
      <c r="A20" s="111"/>
      <c r="B20" s="10" t="str">
        <f t="shared" si="34"/>
        <v>0x06</v>
      </c>
      <c r="C20" s="9">
        <f t="shared" si="36"/>
        <v>6</v>
      </c>
      <c r="D20" s="1">
        <f t="shared" si="35"/>
        <v>9.1428571428571423</v>
      </c>
      <c r="E20" s="1">
        <f t="shared" si="33"/>
        <v>9.7142857142857135</v>
      </c>
      <c r="F20" s="1">
        <f t="shared" si="33"/>
        <v>10.285714285714286</v>
      </c>
      <c r="G20" s="1">
        <f t="shared" si="33"/>
        <v>10.857142857142858</v>
      </c>
      <c r="H20" s="1">
        <f t="shared" si="33"/>
        <v>11.428571428571429</v>
      </c>
      <c r="I20" s="1">
        <f t="shared" si="33"/>
        <v>12</v>
      </c>
      <c r="J20" s="1">
        <f t="shared" si="33"/>
        <v>12.571428571428571</v>
      </c>
      <c r="K20" s="1">
        <f t="shared" si="33"/>
        <v>13.142857142857142</v>
      </c>
      <c r="L20" s="1">
        <f t="shared" si="33"/>
        <v>13.714285714285714</v>
      </c>
      <c r="M20" s="1">
        <f t="shared" si="33"/>
        <v>14.285714285714286</v>
      </c>
      <c r="N20" s="1">
        <f t="shared" si="33"/>
        <v>14.857142857142858</v>
      </c>
      <c r="O20" s="1">
        <f t="shared" si="33"/>
        <v>15.428571428571429</v>
      </c>
      <c r="P20" s="1">
        <f t="shared" si="33"/>
        <v>16</v>
      </c>
      <c r="Q20" s="1">
        <f t="shared" si="33"/>
        <v>16.571428571428573</v>
      </c>
      <c r="R20" s="1">
        <f t="shared" si="33"/>
        <v>17.142857142857142</v>
      </c>
      <c r="S20" s="1">
        <f t="shared" si="33"/>
        <v>17.714285714285715</v>
      </c>
      <c r="T20" s="1">
        <f t="shared" si="33"/>
        <v>18.285714285714285</v>
      </c>
      <c r="U20" s="1">
        <f t="shared" si="33"/>
        <v>18.857142857142858</v>
      </c>
      <c r="V20" s="1">
        <f t="shared" si="33"/>
        <v>19.428571428571427</v>
      </c>
      <c r="W20" s="1">
        <f t="shared" si="33"/>
        <v>20</v>
      </c>
      <c r="X20" s="1">
        <f t="shared" si="33"/>
        <v>20.571428571428573</v>
      </c>
      <c r="Y20" s="1">
        <f t="shared" si="33"/>
        <v>21.142857142857142</v>
      </c>
      <c r="Z20" s="1">
        <f t="shared" si="33"/>
        <v>21.714285714285715</v>
      </c>
      <c r="AA20" s="1">
        <f t="shared" si="33"/>
        <v>22.285714285714285</v>
      </c>
      <c r="AB20" s="1">
        <f t="shared" si="33"/>
        <v>22.857142857142858</v>
      </c>
      <c r="AC20" s="1">
        <f t="shared" si="33"/>
        <v>23.428571428571427</v>
      </c>
      <c r="AD20" s="1">
        <f t="shared" si="33"/>
        <v>24</v>
      </c>
      <c r="AE20" s="1">
        <f t="shared" si="33"/>
        <v>24.571428571428573</v>
      </c>
      <c r="AF20" s="1">
        <f t="shared" si="33"/>
        <v>25.142857142857142</v>
      </c>
      <c r="AG20" s="1">
        <f t="shared" si="33"/>
        <v>25.714285714285715</v>
      </c>
      <c r="AH20" s="1">
        <f t="shared" si="33"/>
        <v>26.285714285714285</v>
      </c>
      <c r="AI20" s="1">
        <f t="shared" si="33"/>
        <v>26.857142857142858</v>
      </c>
    </row>
    <row r="21" spans="1:35" x14ac:dyDescent="0.25">
      <c r="A21" s="112"/>
      <c r="B21" s="11" t="str">
        <f t="shared" si="34"/>
        <v>0x07</v>
      </c>
      <c r="C21" s="9">
        <f t="shared" si="36"/>
        <v>7</v>
      </c>
      <c r="D21" s="1">
        <f t="shared" si="35"/>
        <v>8</v>
      </c>
      <c r="E21" s="1">
        <f t="shared" si="33"/>
        <v>8.5</v>
      </c>
      <c r="F21" s="1">
        <f t="shared" si="33"/>
        <v>9</v>
      </c>
      <c r="G21" s="1">
        <f t="shared" si="33"/>
        <v>9.5</v>
      </c>
      <c r="H21" s="1">
        <f t="shared" si="33"/>
        <v>10</v>
      </c>
      <c r="I21" s="1">
        <f t="shared" si="33"/>
        <v>10.5</v>
      </c>
      <c r="J21" s="1">
        <f t="shared" si="33"/>
        <v>11</v>
      </c>
      <c r="K21" s="1">
        <f t="shared" si="33"/>
        <v>11.5</v>
      </c>
      <c r="L21" s="1">
        <f t="shared" si="33"/>
        <v>12</v>
      </c>
      <c r="M21" s="1">
        <f t="shared" si="33"/>
        <v>12.5</v>
      </c>
      <c r="N21" s="1">
        <f t="shared" si="33"/>
        <v>13</v>
      </c>
      <c r="O21" s="1">
        <f t="shared" si="33"/>
        <v>13.5</v>
      </c>
      <c r="P21" s="1">
        <f t="shared" si="33"/>
        <v>14</v>
      </c>
      <c r="Q21" s="1">
        <f t="shared" si="33"/>
        <v>14.5</v>
      </c>
      <c r="R21" s="1">
        <f t="shared" si="33"/>
        <v>15</v>
      </c>
      <c r="S21" s="1">
        <f t="shared" si="33"/>
        <v>15.5</v>
      </c>
      <c r="T21" s="1">
        <f t="shared" si="33"/>
        <v>16</v>
      </c>
      <c r="U21" s="1">
        <f t="shared" si="33"/>
        <v>16.5</v>
      </c>
      <c r="V21" s="1">
        <f t="shared" si="33"/>
        <v>17</v>
      </c>
      <c r="W21" s="1">
        <f t="shared" si="33"/>
        <v>17.5</v>
      </c>
      <c r="X21" s="1">
        <f t="shared" si="33"/>
        <v>18</v>
      </c>
      <c r="Y21" s="1">
        <f t="shared" si="33"/>
        <v>18.5</v>
      </c>
      <c r="Z21" s="1">
        <f t="shared" si="33"/>
        <v>19</v>
      </c>
      <c r="AA21" s="1">
        <f t="shared" si="33"/>
        <v>19.5</v>
      </c>
      <c r="AB21" s="1">
        <f t="shared" si="33"/>
        <v>20</v>
      </c>
      <c r="AC21" s="1">
        <f t="shared" si="33"/>
        <v>20.5</v>
      </c>
      <c r="AD21" s="1">
        <f t="shared" si="33"/>
        <v>21</v>
      </c>
      <c r="AE21" s="1">
        <f t="shared" si="33"/>
        <v>21.5</v>
      </c>
      <c r="AF21" s="1">
        <f t="shared" si="33"/>
        <v>22</v>
      </c>
      <c r="AG21" s="1">
        <f t="shared" si="33"/>
        <v>22.5</v>
      </c>
      <c r="AH21" s="1">
        <f t="shared" si="33"/>
        <v>23</v>
      </c>
      <c r="AI21" s="1">
        <f t="shared" si="33"/>
        <v>23.5</v>
      </c>
    </row>
  </sheetData>
  <mergeCells count="6">
    <mergeCell ref="A14:A21"/>
    <mergeCell ref="A1:C2"/>
    <mergeCell ref="D1:V1"/>
    <mergeCell ref="V2:Z6"/>
    <mergeCell ref="A3:B3"/>
    <mergeCell ref="A4:B4"/>
  </mergeCells>
  <phoneticPr fontId="11" type="noConversion"/>
  <conditionalFormatting sqref="S10">
    <cfRule type="expression" dxfId="5" priority="2">
      <formula>"OR(S11 &gt; pll0_phi!$U$6, S11 &lt; pll0_phi!$U$5)"</formula>
    </cfRule>
  </conditionalFormatting>
  <conditionalFormatting sqref="C4">
    <cfRule type="expression" dxfId="4" priority="1">
      <formula>OR(B7/C4 &lt;#REF!, B7/C4&gt;#REF!)</formula>
    </cfRule>
  </conditionalFormatting>
  <conditionalFormatting sqref="D14:AI21">
    <cfRule type="expression" dxfId="3" priority="21" stopIfTrue="1">
      <formula>OR((D14*2)&lt;$U$4,(D14*2)&gt;$U$5)</formula>
    </cfRule>
    <cfRule type="expression" dxfId="2" priority="22">
      <formula>D14&gt;$U$3</formula>
    </cfRule>
    <cfRule type="expression" dxfId="1" priority="23" stopIfTrue="1">
      <formula>D14 = $U$3</formula>
    </cfRule>
  </conditionalFormatting>
  <dataValidations count="1">
    <dataValidation type="list" allowBlank="1" showInputMessage="1" showErrorMessage="1" sqref="C4">
      <formula1>"1,2,3,4,5,6,7"</formula1>
    </dataValidation>
  </dataValidations>
  <hyperlinks>
    <hyperlink ref="S3" location="spll_clk!C3" display="Requested F(phi)"/>
    <hyperlink ref="S2" location="SPLL!C11" display="PLL0 reference"/>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6:AD298"/>
  <sheetViews>
    <sheetView zoomScaleNormal="100" workbookViewId="0">
      <selection activeCell="AD96" sqref="AD96"/>
    </sheetView>
  </sheetViews>
  <sheetFormatPr defaultRowHeight="14.4" x14ac:dyDescent="0.25"/>
  <cols>
    <col min="1" max="1" width="30.5546875" customWidth="1"/>
    <col min="2" max="2" width="46.77734375" customWidth="1"/>
    <col min="7" max="7" width="13.5546875" bestFit="1" customWidth="1"/>
    <col min="8" max="8" width="28.21875" bestFit="1" customWidth="1"/>
    <col min="9" max="9" width="16.21875" bestFit="1" customWidth="1"/>
  </cols>
  <sheetData>
    <row r="6" spans="1:30" ht="15" thickBot="1" x14ac:dyDescent="0.3"/>
    <row r="7" spans="1:30" x14ac:dyDescent="0.25">
      <c r="A7" s="25" t="s">
        <v>75</v>
      </c>
      <c r="B7" s="26" t="s">
        <v>76</v>
      </c>
      <c r="G7" s="65" t="s">
        <v>119</v>
      </c>
      <c r="H7" s="65" t="s">
        <v>120</v>
      </c>
      <c r="I7" s="65" t="s">
        <v>128</v>
      </c>
      <c r="L7" t="str">
        <f>"//Enable oscillators, PLL, and system clock ("&amp;Tree!BB18&amp;" MHz)."</f>
        <v>//Enable oscillators, PLL, and system clock (112 MHz).</v>
      </c>
      <c r="AD7" t="str">
        <f>"//Configure RTC clocking, including RTC_CLKOUT."</f>
        <v>//Configure RTC clocking, including RTC_CLKOUT.</v>
      </c>
    </row>
    <row r="8" spans="1:30" x14ac:dyDescent="0.25">
      <c r="A8" s="53" t="s">
        <v>78</v>
      </c>
      <c r="B8" s="63" t="str">
        <f>"0x"&amp;DEC2HEX(Tree!$C$14,8)</f>
        <v>0x00000000</v>
      </c>
      <c r="G8" s="130" t="s">
        <v>121</v>
      </c>
      <c r="H8" s="70" t="s">
        <v>129</v>
      </c>
      <c r="I8" s="68">
        <f>Tree!U11</f>
        <v>48</v>
      </c>
      <c r="L8" t="str">
        <f>"void SysClk_Init(void)"</f>
        <v>void SysClk_Init(void)</v>
      </c>
      <c r="AD8" t="str">
        <f>"void RTC_ClkInit(void)"</f>
        <v>void RTC_ClkInit(void)</v>
      </c>
    </row>
    <row r="9" spans="1:30" x14ac:dyDescent="0.25">
      <c r="A9" s="53" t="s">
        <v>77</v>
      </c>
      <c r="B9" s="63" t="str">
        <f>"0b00000X11X0000000000000XX0000X00"&amp;DEC2BIN(Tree!G14,1)</f>
        <v>0b00000X11X0000000000000XX0000X001</v>
      </c>
      <c r="G9" s="128"/>
      <c r="H9" s="70" t="s">
        <v>130</v>
      </c>
      <c r="I9" s="68">
        <f>Tree!X26</f>
        <v>8</v>
      </c>
      <c r="L9" t="str">
        <f>"{"</f>
        <v>{</v>
      </c>
      <c r="AD9" t="str">
        <f>"{"</f>
        <v>{</v>
      </c>
    </row>
    <row r="10" spans="1:30" x14ac:dyDescent="0.25">
      <c r="A10" s="53" t="s">
        <v>79</v>
      </c>
      <c r="B10" s="63" t="str">
        <f>"0x"&amp;DEC2HEX((Tree!AV84*POWER(2,8))+(Tree!AV71),8)</f>
        <v>0x00000000</v>
      </c>
      <c r="G10" s="128"/>
      <c r="H10" s="70" t="s">
        <v>131</v>
      </c>
      <c r="I10" s="68">
        <f>Tree!N41</f>
        <v>8</v>
      </c>
      <c r="L10" t="str">
        <f>"    uint32_t temp = 0; //Temporary variable for read-modify-write sequences"</f>
        <v xml:space="preserve">    uint32_t temp = 0; //Temporary variable for read-modify-write sequences</v>
      </c>
      <c r="AD10" t="str">
        <f>"    uint32_t temp = 0;  //Local variable for read-modify-write"</f>
        <v xml:space="preserve">    uint32_t temp = 0;  //Local variable for read-modify-write</v>
      </c>
    </row>
    <row r="11" spans="1:30" x14ac:dyDescent="0.25">
      <c r="A11" s="53" t="s">
        <v>80</v>
      </c>
      <c r="B11" s="63" t="str">
        <f>"0x"&amp;DEC2HEX(Tree!G29,8)</f>
        <v>0x00000001</v>
      </c>
      <c r="G11" s="128"/>
      <c r="H11" s="70" t="s">
        <v>132</v>
      </c>
      <c r="I11" s="68">
        <f>Tree!E58</f>
        <v>0.13075000000000001</v>
      </c>
      <c r="L11" t="str">
        <f>""</f>
        <v/>
      </c>
      <c r="AD11" t="str">
        <f>""</f>
        <v/>
      </c>
    </row>
    <row r="12" spans="1:30" x14ac:dyDescent="0.25">
      <c r="A12" s="53" t="s">
        <v>81</v>
      </c>
      <c r="B12" s="63" t="str">
        <f>"0x0XX0000"&amp;DEC2HEX((Tree!K29*POWER(2,2))+(Tree!N29*POWER(2,1))+(Tree!G29),1)</f>
        <v>0x0XX00005</v>
      </c>
      <c r="G12" s="128"/>
      <c r="H12" s="70" t="s">
        <v>133</v>
      </c>
      <c r="I12" s="68">
        <f>Tree!S175</f>
        <v>3.2687500000000001E-2</v>
      </c>
      <c r="L12" t="str">
        <f>"    //Configure the FIRC"</f>
        <v xml:space="preserve">    //Configure the FIRC</v>
      </c>
      <c r="AD12" t="str">
        <f>"    RTC-&gt;SR &amp;= ~RTC_SR_TCE_MASK;  //Turn off RTC while configuring"</f>
        <v xml:space="preserve">    RTC-&gt;SR &amp;= ~RTC_SR_TCE_MASK;  //Turn off RTC while configuring</v>
      </c>
    </row>
    <row r="13" spans="1:30" x14ac:dyDescent="0.25">
      <c r="A13" s="53" t="s">
        <v>82</v>
      </c>
      <c r="B13" s="63" t="str">
        <f>"0x"&amp;DEC2HEX((Tree!AV110*POWER(2,8))+(Tree!AV97),8)</f>
        <v>0x00000000</v>
      </c>
      <c r="G13" s="128"/>
      <c r="H13" s="70" t="s">
        <v>134</v>
      </c>
      <c r="I13" s="68">
        <f>Tree!AM186</f>
        <v>1.021484375E-3</v>
      </c>
      <c r="L13" t="str">
        <f>"    SCG-&gt;FIRCCFG = "&amp;B8&amp;"; //Trim FIRC to 48 MHz"</f>
        <v xml:space="preserve">    SCG-&gt;FIRCCFG = 0x00000000; //Trim FIRC to 48 MHz</v>
      </c>
      <c r="AD13" t="str">
        <f>""</f>
        <v/>
      </c>
    </row>
    <row r="14" spans="1:30" x14ac:dyDescent="0.25">
      <c r="A14" s="53" t="s">
        <v>83</v>
      </c>
      <c r="B14" s="63" t="str">
        <f>"0b00000000000000000000000000"&amp;DEC2BIN('Oscillator Source Control'!D26,2)&amp;"X"&amp;DEC2BIN(('Oscillator Source Control'!R26*POWER(2,2)),3)</f>
        <v>0b0000000000000000000000000001X000</v>
      </c>
      <c r="G14" s="128"/>
      <c r="H14" s="70" t="s">
        <v>29</v>
      </c>
      <c r="I14" s="68">
        <f>Tree!AI14</f>
        <v>112</v>
      </c>
      <c r="L14" t="str">
        <f>"    SCG-&gt;FIRCCSR "&amp;IF(Tree!G14=1,"|= ","&amp;= ~")&amp;"SCG_FIRCCSR_FIRCEN(0x1); //Turn "&amp;IF(Tree!G14=1,"on","off")&amp;" the FIRC"</f>
        <v xml:space="preserve">    SCG-&gt;FIRCCSR |= SCG_FIRCCSR_FIRCEN(0x1); //Turn on the FIRC</v>
      </c>
      <c r="AD14" t="str">
        <f>"    //RTC BIU receives BUS_CLK ("&amp;'RTC Clocking'!D8&amp;" MHz) and is in "&amp;'RTC Clocking'!P13&amp;"."</f>
        <v xml:space="preserve">    //RTC BIU receives BUS_CLK (112 MHz) and is in Full Functionality.</v>
      </c>
    </row>
    <row r="15" spans="1:30" x14ac:dyDescent="0.25">
      <c r="A15" s="53" t="s">
        <v>84</v>
      </c>
      <c r="B15" s="63" t="str">
        <f>"0b00000X00X00000XX000000000000X00"&amp;DEC2BIN('Oscillator Source Control'!M26,2)</f>
        <v>0b00000X00X00000XX000000000000X0000</v>
      </c>
      <c r="G15" s="128"/>
      <c r="H15" s="70" t="s">
        <v>47</v>
      </c>
      <c r="I15" s="68">
        <f>Tree!BB16</f>
        <v>112</v>
      </c>
      <c r="L15" t="str">
        <f>""</f>
        <v/>
      </c>
      <c r="AD15" t="str">
        <f>""</f>
        <v/>
      </c>
    </row>
    <row r="16" spans="1:30" x14ac:dyDescent="0.25">
      <c r="A16" s="53" t="s">
        <v>85</v>
      </c>
      <c r="B16" s="63" t="str">
        <f>"0x"&amp;DEC2HEX((Tree!AV136*POWER(2,8))+(Tree!AV123),8)</f>
        <v>0x00000000</v>
      </c>
      <c r="G16" s="128"/>
      <c r="H16" s="70" t="s">
        <v>48</v>
      </c>
      <c r="I16" s="68">
        <f>Tree!BB18</f>
        <v>112</v>
      </c>
      <c r="L16" t="str">
        <f>"    //Configure the SIRC"</f>
        <v xml:space="preserve">    //Configure the SIRC</v>
      </c>
      <c r="AD16" t="str">
        <f>"    //Configure RTC prescaler clock"</f>
        <v xml:space="preserve">    //Configure RTC prescaler clock</v>
      </c>
    </row>
    <row r="17" spans="1:30" x14ac:dyDescent="0.25">
      <c r="A17" s="53" t="s">
        <v>86</v>
      </c>
      <c r="B17" s="63" t="str">
        <f>"0x"&amp;DEC2HEX((SPLL!$K$13*POWER(2,16))+(SPLL!$G$13*POWER(2,8)),8)</f>
        <v>0x000C0000</v>
      </c>
      <c r="G17" s="128"/>
      <c r="H17" s="70" t="s">
        <v>49</v>
      </c>
      <c r="I17" s="68">
        <f>Tree!BB24</f>
        <v>112</v>
      </c>
      <c r="L17" t="str">
        <f>"    SCG-&gt;SIRCCFG = "&amp;B11&amp;"; //Select "&amp;IF(Tree!C29=0,"2","8")&amp;" MHz range"</f>
        <v xml:space="preserve">    SCG-&gt;SIRCCFG = 0x00000001; //Select 8 MHz range</v>
      </c>
      <c r="AD17" t="str">
        <f>"    RTC-&gt;CR "&amp;IF('RTC Clocking'!G25=1,"|= ","&amp;= ~")&amp;"RTC_CR_LPOS_MASK;  //"&amp;IF('RTC Clocking'!G25=1,"LPO1K_CLK","RTC_CLK")&amp;" selected as source of RTC prescaler clock ("&amp;'RTC Clocking'!J11&amp;" MHz)."</f>
        <v xml:space="preserve">    RTC-&gt;CR &amp;= ~RTC_CR_LPOS_MASK;  //RTC_CLK selected as source of RTC prescaler clock (0 MHz).</v>
      </c>
    </row>
    <row r="18" spans="1:30" x14ac:dyDescent="0.25">
      <c r="A18" s="53" t="s">
        <v>87</v>
      </c>
      <c r="B18" s="63" t="str">
        <f>"0x"&amp;DEC2HEX((Tree!AV58*POWER(2,8))+(Tree!AV45),8)</f>
        <v>0x00000000</v>
      </c>
      <c r="G18" s="128"/>
      <c r="H18" s="70" t="s">
        <v>50</v>
      </c>
      <c r="I18" s="68">
        <f>Tree!BB31</f>
        <v>56</v>
      </c>
      <c r="L18" t="str">
        <f>"    SCG-&gt;SIRCCSR "&amp;IF(Tree!K29=1,"|= ","&amp;= ~")&amp;"SCG_SIRCCSR_SIRCLPEN(1); //"&amp;"SIRC "&amp;IF(Tree!K29=0,"disabled","enabled")&amp;" in VLPS/VLPR mode"</f>
        <v xml:space="preserve">    SCG-&gt;SIRCCSR |= SCG_SIRCCSR_SIRCLPEN(1); //SIRC enabled in VLPS/VLPR mode</v>
      </c>
      <c r="AD18" t="str">
        <f>""</f>
        <v/>
      </c>
    </row>
    <row r="19" spans="1:30" x14ac:dyDescent="0.25">
      <c r="A19" s="53" t="s">
        <v>88</v>
      </c>
      <c r="B19" s="63" t="str">
        <f>"0b00000XXXX00000XX000000000000000"&amp;DEC2BIN(SPLL!D21,1)</f>
        <v>0b00000XXXX00000XX0000000000000001</v>
      </c>
      <c r="G19" s="128"/>
      <c r="H19" s="70" t="s">
        <v>67</v>
      </c>
      <c r="I19" s="68">
        <f>Tree!BB42</f>
        <v>0</v>
      </c>
      <c r="L19" t="str">
        <f>"    SCG-&gt;SIRCCSR "&amp;IF(Tree!N29=1,"|= ","&amp;= ~")&amp;"SCG_SIRCCSR_SIRCSTEN(1); //SIRC "&amp;IF(Tree!N29=0,"disabled","enabled")&amp;" in STOP mode"</f>
        <v xml:space="preserve">    SCG-&gt;SIRCCSR &amp;= ~SCG_SIRCCSR_SIRCSTEN(1); //SIRC disabled in STOP mode</v>
      </c>
      <c r="AD19" t="str">
        <f>"    //Configure RTC_CLKOUT"</f>
        <v xml:space="preserve">    //Configure RTC_CLKOUT</v>
      </c>
    </row>
    <row r="20" spans="1:30" x14ac:dyDescent="0.25">
      <c r="A20" s="53" t="s">
        <v>89</v>
      </c>
      <c r="B20" s="63" t="str">
        <f>"0x"&amp;DEC2HEX(('Power Mode Control'!E18*POWER(2,7))+('Power Mode Control'!E26*POWER(2,5)),8)</f>
        <v>0x000000A0</v>
      </c>
      <c r="G20" s="128"/>
      <c r="H20" s="70" t="s">
        <v>68</v>
      </c>
      <c r="I20" s="68">
        <f>Tree!BB55</f>
        <v>0</v>
      </c>
      <c r="L20" t="str">
        <f>"    SCG-&gt;SIRCCSR "&amp;IF(Tree!G29=1,"|= ","&amp;= ~")&amp;"SCG_SIRCCSR_SIRCEN(1);  //"&amp;IF(Tree!G29=0,"Disable","Enable")&amp;"SIRC ("&amp;Tree!I26&amp;" MHz)"</f>
        <v xml:space="preserve">    SCG-&gt;SIRCCSR |= SCG_SIRCCSR_SIRCEN(1);  //EnableSIRC (8 MHz)</v>
      </c>
      <c r="AD20" t="str">
        <f>"    temp = RTC-&gt;IER;  //Copy register"</f>
        <v xml:space="preserve">    temp = RTC-&gt;IER;  //Copy register</v>
      </c>
    </row>
    <row r="21" spans="1:30" x14ac:dyDescent="0.25">
      <c r="A21" s="53" t="s">
        <v>90</v>
      </c>
      <c r="B21" s="63" t="str">
        <f>IF('Power Mode Control'!M25="Run","0b0000000000000000000000000"&amp;DEC2BIN(0,2)&amp;"0X000",IF('Power Mode Control'!M25="HSRUN","0b0000000000000000000000000"&amp;DEC2BIN(3,2)&amp;"0X000",IF('Power Mode Control'!M25="VLPR","0b0000000000000000000000000"&amp;DEC2BIN(2,2)&amp;"0X000",IF('Power Mode Control'!M25="VLPS","0b0000000000000000000000000000X"&amp;DEC2BIN(2,3),IF(OR('Power Mode Control'!M25="STOP1",'Power Mode Control'!M25="STOP2"),"0b0000000000000000000000000000X000",1)))))</f>
        <v>0b0000000000000000000000000110X000</v>
      </c>
      <c r="G21" s="128"/>
      <c r="H21" s="70" t="s">
        <v>69</v>
      </c>
      <c r="I21" s="68">
        <f>Tree!BB68</f>
        <v>0</v>
      </c>
      <c r="L21" t="str">
        <f>"    //Configure SIRC low power options"</f>
        <v xml:space="preserve">    //Configure SIRC low power options</v>
      </c>
      <c r="AD21" t="str">
        <f>"    temp &amp;= ~RTC_IER_TSIC_MASK;  //Clear the relevant field"</f>
        <v xml:space="preserve">    temp &amp;= ~RTC_IER_TSIC_MASK;  //Clear the relevant field</v>
      </c>
    </row>
    <row r="22" spans="1:30" x14ac:dyDescent="0.25">
      <c r="A22" s="53" t="s">
        <v>91</v>
      </c>
      <c r="B22" s="63" t="str">
        <f>IF('Power Mode Control'!M25="STOP1","0x"&amp;DEC2HEX((1*POWER(2,6))+(3),8),IF('Power Mode Control'!M25="STOP2","0x"&amp;DEC2HEX((2*POWER(2,6))+(3),8),"0x"&amp;DEC2HEX(3,8)))</f>
        <v>0x00000003</v>
      </c>
      <c r="G22" s="128"/>
      <c r="H22" s="70" t="s">
        <v>70</v>
      </c>
      <c r="I22" s="68">
        <f>Tree!BB80</f>
        <v>0</v>
      </c>
      <c r="L22" t="str">
        <f>"    PMC-&gt;REGSC "&amp;IF(Tree!Q29=1,"|= ","&amp;= ~")&amp;"PMC_REGSC_BIASEN(1); //Biasing "&amp;IF(Tree!Q29=0,"disabled","enabled")</f>
        <v xml:space="preserve">    PMC-&gt;REGSC &amp;= ~PMC_REGSC_BIASEN(1); //Biasing disabled</v>
      </c>
      <c r="AD22" t="str">
        <f>"    temp |= RTC_IER_TSIC("&amp;'RTC Clocking'!T13&amp;");  //RTC_CLKOUT prescaler of "&amp;'RTC Clocking'!T13&amp;". RTC_CLKOUT (pre-mux) signal is "&amp;'RTC Clocking'!V10*1000000&amp;" Hz."</f>
        <v xml:space="preserve">    temp |= RTC_IER_TSIC(0);  //RTC_CLKOUT prescaler of 0. RTC_CLKOUT (pre-mux) signal is 0 Hz.</v>
      </c>
    </row>
    <row r="23" spans="1:30" x14ac:dyDescent="0.25">
      <c r="A23" s="53" t="s">
        <v>92</v>
      </c>
      <c r="B23" s="63" t="str">
        <f>IF('Oscillator Source Control'!H44&lt;0,"0x"&amp;DEC2HEX('Oscillator Source Control'!H44+32,2),"0x"&amp;DEC2HEX('Oscillator Source Control'!H44,2))</f>
        <v>0x1C</v>
      </c>
      <c r="G23" s="128"/>
      <c r="H23" s="70" t="s">
        <v>71</v>
      </c>
      <c r="I23" s="68">
        <f>Tree!BB94</f>
        <v>0</v>
      </c>
      <c r="L23" t="str">
        <f>"    PMC-&gt;REGSC "&amp;IF(Tree!S29=1,"|= ","&amp;= ~")&amp;"PMC_REGSC_CLKBIASDIS(1); //Clock current/voltage "&amp;IF(Tree!S29=0,"disabled","enabled")&amp;" in VLPS"</f>
        <v xml:space="preserve">    PMC-&gt;REGSC &amp;= ~PMC_REGSC_CLKBIASDIS(1); //Clock current/voltage disabled in VLPS</v>
      </c>
      <c r="AD23" t="str">
        <f>"    RTC-&gt;IER = temp;  //Write new value to register"</f>
        <v xml:space="preserve">    RTC-&gt;IER = temp;  //Write new value to register</v>
      </c>
    </row>
    <row r="24" spans="1:30" x14ac:dyDescent="0.25">
      <c r="A24" s="53" t="s">
        <v>93</v>
      </c>
      <c r="B24" s="63" t="str">
        <f>"0b"&amp;DEC2BIN('Oscillator Source Control'!L44,1)&amp;"X000X"&amp;DEC2BIN((Tree!S29*2)+(Tree!Q29),2)</f>
        <v>0b0X000X00</v>
      </c>
      <c r="G24" s="128"/>
      <c r="H24" s="70" t="s">
        <v>72</v>
      </c>
      <c r="I24" s="68">
        <f>Tree!BB106</f>
        <v>0</v>
      </c>
      <c r="L24" t="str">
        <f>""</f>
        <v/>
      </c>
      <c r="AD24" t="str">
        <f>""</f>
        <v/>
      </c>
    </row>
    <row r="25" spans="1:30" x14ac:dyDescent="0.25">
      <c r="A25" s="53" t="s">
        <v>94</v>
      </c>
      <c r="B25" s="63" t="str">
        <f>IF(OR('Power Mode Control'!M25="Run",'Power Mode Control'!M25="STOP1",'Power Mode Control'!M25="STOP2"),"0x"&amp;DEC2HEX((Tree!AL24*POWER(2,24))+(Tree!AS20*POWER(2,16))+(Tree!AV27*POWER(2,4))+(Tree!AV34),8),"0x"&amp;DEC2HEX(0,8))</f>
        <v>0x00000000</v>
      </c>
      <c r="G25" s="128"/>
      <c r="H25" s="70" t="s">
        <v>73</v>
      </c>
      <c r="I25" s="68">
        <f>Tree!BB120</f>
        <v>0</v>
      </c>
      <c r="L25" t="str">
        <f>"    //Configure SOSC"</f>
        <v xml:space="preserve">    //Configure SOSC</v>
      </c>
      <c r="AD25" t="str">
        <f>"    //Select source of RTC_CLKOUT"</f>
        <v xml:space="preserve">    //Select source of RTC_CLKOUT</v>
      </c>
    </row>
    <row r="26" spans="1:30" x14ac:dyDescent="0.25">
      <c r="A26" s="53" t="s">
        <v>95</v>
      </c>
      <c r="B26" s="63" t="str">
        <f>IF(OR('Power Mode Control'!M25="VLPR",'Power Mode Control'!M25="VLPS"),"0x"&amp;DEC2HEX((Tree!AL24*POWER(2,24))+(Tree!AS20*POWER(2,16))+(Tree!AV27*POWER(2,4))+(Tree!AV34),8),"0x"&amp;DEC2HEX(0,8))</f>
        <v>0x00000000</v>
      </c>
      <c r="G26" s="128"/>
      <c r="H26" s="70" t="s">
        <v>74</v>
      </c>
      <c r="I26" s="68">
        <f>Tree!BB132</f>
        <v>0</v>
      </c>
      <c r="L26" t="str">
        <f>"    SCG-&gt;SOSCCFG "&amp;IF('Oscillator Source Control'!R26=1,"|= ","&amp;= ~")&amp;"SCG_SOSCCFG_EREFS(1);  //"&amp;IF('Oscillator Source Control'!R26=0,"Select EXTAL as source of SOSC_CLK so clock signal is driven directly into EXTAL pin","Select external oscillator hooked to XTAL and EXTAL pins as source of SOSC_CLK")</f>
        <v xml:space="preserve">    SCG-&gt;SOSCCFG &amp;= ~SCG_SOSCCFG_EREFS(1);  //Select EXTAL as source of SOSC_CLK so clock signal is driven directly into EXTAL pin</v>
      </c>
      <c r="AD26" t="str">
        <f>"    RTC-&gt;CR "&amp;IF('RTC Clocking'!AD13=1,"|= ","&amp;= ~")&amp;"RTC_CR_CPS_MASK;  //"&amp;IF('RTC Clocking'!AD13=1,"RTC_CLK","RTC_CLKOUT-Prescaler")&amp;" is the source of RTC_CLKOUT signal."</f>
        <v xml:space="preserve">    RTC-&gt;CR &amp;= ~RTC_CR_CPS_MASK;  //RTC_CLKOUT-Prescaler is the source of RTC_CLKOUT signal.</v>
      </c>
    </row>
    <row r="27" spans="1:30" x14ac:dyDescent="0.25">
      <c r="A27" s="53" t="s">
        <v>96</v>
      </c>
      <c r="B27" s="63" t="str">
        <f>IF('Power Mode Control'!M25="HSRUN","0x"&amp;DEC2HEX((Tree!AL24*POWER(2,24))+(Tree!AS20*POWER(2,16))+(Tree!AV27*POWER(2,4))+(Tree!AV34),8),"0x"&amp;DEC2HEX(0,8))</f>
        <v>0x06000001</v>
      </c>
      <c r="G27" s="128"/>
      <c r="H27" s="70" t="s">
        <v>135</v>
      </c>
      <c r="I27" s="68">
        <f>Tree!BO159</f>
        <v>0</v>
      </c>
      <c r="L27" t="str">
        <f>IF('Oscillator Source Control'!R26=1,"    //Select the range of the external oscillator","")</f>
        <v/>
      </c>
      <c r="AD27" t="str">
        <f>"    RTC-&gt;CR "&amp;IF('RTC Clocking'!AH13=1,"|= ","&amp;= ~")&amp;"RTC_CR_CPE_MASK;  //RTC_CLKOUT pin is "&amp;IF('RTC Clocking'!AH13=1,"enabled","disabled")&amp;"."</f>
        <v xml:space="preserve">    RTC-&gt;CR &amp;= ~RTC_CR_CPE_MASK;  //RTC_CLKOUT pin is disabled.</v>
      </c>
    </row>
    <row r="28" spans="1:30" x14ac:dyDescent="0.25">
      <c r="A28" s="53" t="s">
        <v>97</v>
      </c>
      <c r="B28" s="63" t="str">
        <f>"0x"&amp;DEC2HEX(Tree!AP149*POWER(2,24),8)</f>
        <v>0x03000000</v>
      </c>
      <c r="G28" s="128"/>
      <c r="H28" s="70" t="s">
        <v>136</v>
      </c>
      <c r="I28" s="68">
        <f>Tree!BH184</f>
        <v>0.13075000000000001</v>
      </c>
      <c r="L28" t="str">
        <f>IF('Oscillator Source Control'!R26=1,"    temp = SCG-&gt;SOSCCFG;  //read-modify-write for multi-bit RANGE field","")</f>
        <v/>
      </c>
      <c r="AD28" t="str">
        <f>"    RTC-&gt;SR "&amp;IF('RTC Clocking'!Y13=1,"|= ","&amp;= ~")&amp;"RTC_SR_TCE_MASK;  //RTC timer is "&amp;IF('RTC Clocking'!T13=1,"enabled","disabled")&amp;"."</f>
        <v xml:space="preserve">    RTC-&gt;SR &amp;= ~RTC_SR_TCE_MASK;  //RTC timer is disabled.</v>
      </c>
    </row>
    <row r="29" spans="1:30" ht="15" thickBot="1" x14ac:dyDescent="0.3">
      <c r="A29" s="53" t="s">
        <v>98</v>
      </c>
      <c r="B29" s="63" t="str">
        <f>"0x"&amp;DEC2HEX((Tree!$AP$178*POWER(2,4))+(Tree!$AY$188*POWER(2,2))+(Tree!$Q$175*2)+(Tree!$AK$189),8)</f>
        <v>0x00000003</v>
      </c>
      <c r="G29" s="127"/>
      <c r="H29" s="71" t="s">
        <v>137</v>
      </c>
      <c r="I29" s="69">
        <f>Tree!AY197</f>
        <v>0</v>
      </c>
      <c r="L29" t="str">
        <f>IF('Oscillator Source Control'!R26=1,"    temp &amp;= ~SCG_SOSCCFG_RANGE_MASK;  //Clear field","")</f>
        <v/>
      </c>
      <c r="AD29" t="str">
        <f>""</f>
        <v/>
      </c>
    </row>
    <row r="30" spans="1:30" x14ac:dyDescent="0.25">
      <c r="A30" s="53" t="s">
        <v>99</v>
      </c>
      <c r="B30" s="63" t="str">
        <f>"0b0000000000XXXXXX00XX"&amp;DEC2BIN((Tree!BM163*POWER(2,7))+(Tree!BI163*POWER(2,4))+(Tree!BE165),8)&amp;"XXXX"</f>
        <v>0b0000000000XXXXXX00XX00000000XXXX</v>
      </c>
      <c r="G30" s="126" t="s">
        <v>138</v>
      </c>
      <c r="H30" s="70" t="s">
        <v>122</v>
      </c>
      <c r="I30" s="68">
        <f>'Module Domains'!D15</f>
        <v>0</v>
      </c>
      <c r="L30" t="str">
        <f>IF('Oscillator Source Control'!R26=1,"    temp |= "&amp;"SCG_SOSCCFG_RANGE("&amp;'Oscillator Source Control'!D26&amp;");  //"&amp;IF('Oscillator Source Control'!D26=2,"4-8","8-40")&amp;" SOSC range","")</f>
        <v/>
      </c>
      <c r="AD30" t="str">
        <f>"    //RTC_CLKOUT pin is "&amp;'RTC Clocking'!AK10&amp;" MHz."</f>
        <v xml:space="preserve">    //RTC_CLKOUT pin is 0 MHz.</v>
      </c>
    </row>
    <row r="31" spans="1:30" ht="15" thickBot="1" x14ac:dyDescent="0.3">
      <c r="A31" s="53" t="s">
        <v>182</v>
      </c>
      <c r="B31" s="63" t="str">
        <f>"0x"&amp;DEC2HEX((1*POWER(2,31))+('Module Domains'!F16*POWER(2,30))+('Module Domains'!F24*POWER(2,24)),8)</f>
        <v>0x80000000</v>
      </c>
      <c r="G31" s="127"/>
      <c r="H31" s="71" t="s">
        <v>139</v>
      </c>
      <c r="I31" s="69">
        <f>'Module Domains'!D21</f>
        <v>0</v>
      </c>
      <c r="L31" t="str">
        <f>IF('Oscillator Source Control'!R26=1,"    SCG-&gt;SOSCCFG = temp;  //Write new value to register","")</f>
        <v/>
      </c>
      <c r="AD31" t="str">
        <f>"}"</f>
        <v>}</v>
      </c>
    </row>
    <row r="32" spans="1:30" x14ac:dyDescent="0.25">
      <c r="A32" s="53" t="s">
        <v>100</v>
      </c>
      <c r="B32" s="63" t="str">
        <f>"0x"&amp;DEC2HEX((1*POWER(2,31))+('Module Domains'!F35*POWER(2,30))+('Module Domains'!F43*POWER(2,24)),8)</f>
        <v>0x80000000</v>
      </c>
      <c r="G32" s="126" t="s">
        <v>140</v>
      </c>
      <c r="H32" s="70" t="s">
        <v>122</v>
      </c>
      <c r="I32" s="68">
        <f>'Module Domains'!D33</f>
        <v>0</v>
      </c>
      <c r="L32" t="str">
        <f>IF('Oscillator Source Control'!R26=1,"    SCG-&gt;SOSCCSR "&amp;IF('Oscillator Source Control'!M26=1,"|= ","&amp;= ~")&amp;"SCG_SOSCCSR_SOSCEN(1); //"&amp;IF('Oscillator Source Control'!M26=0,"Disable","Enable")&amp;"SOSC ("&amp;'Oscillator Source Control'!O24&amp;" MHz)","")</f>
        <v/>
      </c>
    </row>
    <row r="33" spans="1:30" ht="15" thickBot="1" x14ac:dyDescent="0.3">
      <c r="A33" s="53" t="s">
        <v>101</v>
      </c>
      <c r="B33" s="63" t="str">
        <f>"0x"&amp;DEC2HEX((1*POWER(2,31))+('Module Domains'!I55*POWER(2,30))+('Module Domains'!I62*POWER(2,24)),8)</f>
        <v>0x80000000</v>
      </c>
      <c r="G33" s="127"/>
      <c r="H33" s="71" t="s">
        <v>139</v>
      </c>
      <c r="I33" s="69">
        <f>'Module Domains'!D41</f>
        <v>0</v>
      </c>
      <c r="L33" t="str">
        <f>""</f>
        <v/>
      </c>
      <c r="AD33" t="str">
        <f>"//Configure SAI MCLK and BCLKs."</f>
        <v>//Configure SAI MCLK and BCLKs.</v>
      </c>
    </row>
    <row r="34" spans="1:30" x14ac:dyDescent="0.25">
      <c r="A34" s="53" t="s">
        <v>102</v>
      </c>
      <c r="B34" s="63" t="str">
        <f>"0bXX000000000000000000000000000"&amp;DEC2BIN('Module Domains'!F57,1)&amp;"XX"</f>
        <v>0bXX0000000000000000000000000000XX</v>
      </c>
      <c r="G34" s="126" t="s">
        <v>142</v>
      </c>
      <c r="H34" s="70" t="s">
        <v>122</v>
      </c>
      <c r="I34" s="68">
        <f>'Module Domains'!D52</f>
        <v>0</v>
      </c>
      <c r="L34" t="str">
        <f>IF('Device Select'!G17="S32K14x","    //Configure SPLL","    //SPLL not supported in S32K11x")</f>
        <v xml:space="preserve">    //Configure SPLL</v>
      </c>
      <c r="AD34" t="str">
        <f>"void SAI_ClkInit(void)"</f>
        <v>void SAI_ClkInit(void)</v>
      </c>
    </row>
    <row r="35" spans="1:30" ht="15" thickBot="1" x14ac:dyDescent="0.3">
      <c r="A35" s="53" t="s">
        <v>186</v>
      </c>
      <c r="B35" s="63" t="str">
        <f>"0x"&amp;DEC2HEX((1*POWER(2,31))+('Module Domains'!F72*POWER(2,30))+('Module Domains'!F79*POWER(2,24)),8)</f>
        <v>0x80000000</v>
      </c>
      <c r="G35" s="127"/>
      <c r="H35" s="71" t="s">
        <v>141</v>
      </c>
      <c r="I35" s="69">
        <f>'Module Domains'!D55</f>
        <v>0</v>
      </c>
      <c r="L35" t="str">
        <f>IF('Device Select'!G17="S32K14x","    SCG-&gt;SPLLCSR &amp;= ~SCG_SPLLCSR_SPLLEN_MASK;  //Disable SPLL while being configured","")</f>
        <v xml:space="preserve">    SCG-&gt;SPLLCSR &amp;= ~SCG_SPLLCSR_SPLLEN_MASK;  //Disable SPLL while being configured</v>
      </c>
      <c r="AD35" t="str">
        <f>"{"</f>
        <v>{</v>
      </c>
    </row>
    <row r="36" spans="1:30" x14ac:dyDescent="0.25">
      <c r="A36" s="53" t="s">
        <v>188</v>
      </c>
      <c r="B36" s="63" t="str">
        <f>"0x"&amp;DEC2HEX((1*POWER(2,31))+('Module Domains'!F90*POWER(2,30))+('Module Domains'!F97*POWER(2,24)),8)</f>
        <v>0x80000000</v>
      </c>
      <c r="G36" s="126" t="s">
        <v>143</v>
      </c>
      <c r="H36" s="70" t="s">
        <v>122</v>
      </c>
      <c r="I36" s="68">
        <f>'Module Domains'!D70</f>
        <v>0</v>
      </c>
      <c r="L36" t="str">
        <f>IF('Device Select'!G17="S32K14x","    SCG-&gt;SPLLCFG = SCG_SPLLCFG_MULT("&amp;SPLL!K13&amp;")|SCG_SPLLCFG_PREDIV("&amp;SPLL!G13&amp;");  //Configure the dividers. Prediv = "&amp;SPLL!G13&amp;" Mult = "&amp;SPLL!K13&amp;".","")</f>
        <v xml:space="preserve">    SCG-&gt;SPLLCFG = SCG_SPLLCFG_MULT(12)|SCG_SPLLCFG_PREDIV(0);  //Configure the dividers. Prediv = 0 Mult = 12.</v>
      </c>
      <c r="AD36" t="str">
        <f>IF(Selected_Device="S32K14x","    uint32_t temp = 0; //Local variable for read-modify-write","    //SAI only supported in S32K148.")</f>
        <v xml:space="preserve">    uint32_t temp = 0; //Local variable for read-modify-write</v>
      </c>
    </row>
    <row r="37" spans="1:30" ht="15" thickBot="1" x14ac:dyDescent="0.3">
      <c r="A37" s="53" t="s">
        <v>103</v>
      </c>
      <c r="B37" s="63" t="str">
        <f>"0x"&amp;DEC2HEX((1*POWER(2,31))+('Module Domains'!F108*POWER(2,30)),8)</f>
        <v>0x80000000</v>
      </c>
      <c r="G37" s="127"/>
      <c r="H37" s="71" t="s">
        <v>139</v>
      </c>
      <c r="I37" s="69">
        <f>'Module Domains'!D77</f>
        <v>0</v>
      </c>
      <c r="L37" t="str">
        <f>IF('Device Select'!G17="S32K14x","    SCG-&gt;SPLLCSR "&amp;IF(SPLL!D21=1,"|= ","&amp;= ~")&amp;"SCG_SPLLCSR_SPLLEN(1);  //"&amp;IF(SPLL!D21=0,"Disable","Enable")&amp;" SPLL ("&amp;SPLL!V11&amp;" MHz)","")</f>
        <v xml:space="preserve">    SCG-&gt;SPLLCSR |= SCG_SPLLCSR_SPLLEN(1);  //Enable SPLL (112 MHz)</v>
      </c>
      <c r="AD37" t="str">
        <f>IF(Selected_Device="S32K14x","    bool flag = 0;","")</f>
        <v xml:space="preserve">    bool flag = 0;</v>
      </c>
    </row>
    <row r="38" spans="1:30" x14ac:dyDescent="0.25">
      <c r="A38" s="53" t="s">
        <v>104</v>
      </c>
      <c r="B38" s="63" t="str">
        <f>"0b0000000000000000XXXXXX"&amp;DEC2BIN('Module Domains'!$F$124,2)&amp;"XXXXXXX"&amp;DEC2BIN('Module Domains'!$B$129,1)</f>
        <v>0b0000000000000000XXXXXX01XXXXXXX0</v>
      </c>
      <c r="G38" s="126" t="s">
        <v>144</v>
      </c>
      <c r="H38" s="70" t="s">
        <v>122</v>
      </c>
      <c r="I38" s="68">
        <f>'Module Domains'!D88</f>
        <v>0</v>
      </c>
      <c r="L38" t="str">
        <f>""</f>
        <v/>
      </c>
      <c r="AD38" t="str">
        <f>""</f>
        <v/>
      </c>
    </row>
    <row r="39" spans="1:30" ht="15" thickBot="1" x14ac:dyDescent="0.3">
      <c r="A39" s="53" t="s">
        <v>105</v>
      </c>
      <c r="B39" s="63" t="str">
        <f>"0b0000000000000000000XXXXX00000X"&amp;DEC2BIN('Module Domains'!$F$138,2)</f>
        <v>0b0000000000000000000XXXXX00000X00</v>
      </c>
      <c r="G39" s="127"/>
      <c r="H39" s="71" t="s">
        <v>141</v>
      </c>
      <c r="I39" s="69">
        <f>'Module Domains'!D95</f>
        <v>0</v>
      </c>
      <c r="L39" t="str">
        <f>"    //Configure SCG_CLKOUT"</f>
        <v xml:space="preserve">    //Configure SCG_CLKOUT</v>
      </c>
      <c r="AD39" t="str">
        <f>IF(Selected_Device="S32K14x","    //Configure SAI0","")</f>
        <v xml:space="preserve">    //Configure SAI0</v>
      </c>
    </row>
    <row r="40" spans="1:30" x14ac:dyDescent="0.25">
      <c r="A40" s="53" t="s">
        <v>106</v>
      </c>
      <c r="B40" s="63" t="str">
        <f>"0x"&amp;DEC2HEX((1*POWER(2,31))+('Module Domains'!$F$146*POWER(2,30)),8)</f>
        <v>0xC0000000</v>
      </c>
      <c r="G40" s="126" t="s">
        <v>145</v>
      </c>
      <c r="H40" s="70" t="s">
        <v>122</v>
      </c>
      <c r="I40" s="68">
        <f>'Module Domains'!D108</f>
        <v>0</v>
      </c>
      <c r="L40" t="str">
        <f>"   SCG-&gt;CLKOUTCNFG = "&amp;Summary!B28&amp;";  //Select "&amp;IF(Tree!AP149=0,"SCG_SLOW_CLK",IF(Tree!AP149=1,"SOSC_CLK",IF(Tree!AP149=2,"SIRC_CLK",IF(Tree!AP149=3,"FIRC_CLK",IF(Tree!AP149=6,"SPLL_CLK","error")))))&amp;" as source of SCG_CLKOUT"</f>
        <v xml:space="preserve">   SCG-&gt;CLKOUTCNFG = 0x03000000;  //Select FIRC_CLK as source of SCG_CLKOUT</v>
      </c>
      <c r="AD40" t="str">
        <f>IF(Selected_Device="S32K14x","    PCC-&gt;PCCn[PCC_SAI0_INDEX] = PCC_PCCn_PR_MASK|PCC_PCCn_CGC("&amp;'SAI Clocking'!N15&amp;");  //SAI0 BIU/module clock is "&amp;IF('SAI Clocking'!N15=1,"enabled ("&amp;'SAI Clocking'!P12&amp;" MHz)","disabled")&amp;".","")</f>
        <v xml:space="preserve">    PCC-&gt;PCCn[PCC_SAI0_INDEX] = PCC_PCCn_PR_MASK|PCC_PCCn_CGC(0);  //SAI0 BIU/module clock is disabled.</v>
      </c>
    </row>
    <row r="41" spans="1:30" ht="15" thickBot="1" x14ac:dyDescent="0.3">
      <c r="A41" s="53" t="s">
        <v>191</v>
      </c>
      <c r="B41" s="63" t="str">
        <f>"0x"&amp;DEC2HEX((1*POWER(2,31))+('Module Domains'!$AK$18*POWER(2,30)),8)</f>
        <v>0x80000000</v>
      </c>
      <c r="G41" s="127"/>
      <c r="H41" s="71" t="s">
        <v>146</v>
      </c>
      <c r="I41" s="69">
        <f>'Module Domains'!D112</f>
        <v>0.13075000000000001</v>
      </c>
      <c r="L41" t="str">
        <f>""</f>
        <v/>
      </c>
      <c r="AD41" t="str">
        <f>""</f>
        <v/>
      </c>
    </row>
    <row r="42" spans="1:30" x14ac:dyDescent="0.25">
      <c r="A42" s="53" t="s">
        <v>107</v>
      </c>
      <c r="B42" s="63" t="str">
        <f>"0x"&amp;DEC2HEX((1*POWER(2,31))+('Module Domains'!AK25*POWER(2,30)),8)</f>
        <v>0x80000000</v>
      </c>
      <c r="G42" s="126" t="s">
        <v>148</v>
      </c>
      <c r="H42" s="70" t="s">
        <v>122</v>
      </c>
      <c r="I42" s="68">
        <f>'Module Domains'!K12</f>
        <v>112</v>
      </c>
      <c r="L42" t="str">
        <f>"    //Configure the low power oscillator"</f>
        <v xml:space="preserve">    //Configure the low power oscillator</v>
      </c>
      <c r="AD42" t="str">
        <f>IF(Selected_Device="S32K14x","    //Configure receiver master and bit clocks","")</f>
        <v xml:space="preserve">    //Configure receiver master and bit clocks</v>
      </c>
    </row>
    <row r="43" spans="1:30" ht="15" thickBot="1" x14ac:dyDescent="0.3">
      <c r="A43" s="53" t="s">
        <v>108</v>
      </c>
      <c r="B43" s="63" t="str">
        <f>"0x"&amp;DEC2HEX((1*POWER(2,31))+('Module Domains'!AK32*POWER(2,30)),8)</f>
        <v>0x80000000</v>
      </c>
      <c r="G43" s="127"/>
      <c r="H43" s="71" t="s">
        <v>147</v>
      </c>
      <c r="I43" s="69">
        <f>'Module Domains'!D121</f>
        <v>0.13075000000000001</v>
      </c>
      <c r="L43" t="str">
        <f>"    PMC-&gt;LPTRIM = "&amp;B23&amp;";  //Configure the LPO trim value. LPO is "&amp;'Oscillator Source Control'!P41*1000&amp;" kHz."</f>
        <v xml:space="preserve">    PMC-&gt;LPTRIM = 0x1C;  //Configure the LPO trim value. LPO is 130.75 kHz.</v>
      </c>
      <c r="AD43" t="str">
        <f>IF(Selected_Device="S32K14x","    flag = (bool)((SAI0-&gt;RCSR &amp; SAI_RCSR_RE_MASK) &gt;&gt; SAI_RCSR_RE_SHIFT);  //Save state of receiver","")</f>
        <v xml:space="preserve">    flag = (bool)((SAI0-&gt;RCSR &amp; SAI_RCSR_RE_MASK) &gt;&gt; SAI_RCSR_RE_SHIFT);  //Save state of receiver</v>
      </c>
    </row>
    <row r="44" spans="1:30" x14ac:dyDescent="0.25">
      <c r="A44" s="53" t="s">
        <v>109</v>
      </c>
      <c r="B44" s="63" t="str">
        <f>"0x"&amp;DEC2HEX((1*POWER(2,31))+('Module Domains'!AK39*POWER(2,30)),8)</f>
        <v>0x80000000</v>
      </c>
      <c r="G44" s="126" t="s">
        <v>149</v>
      </c>
      <c r="H44" s="70" t="s">
        <v>122</v>
      </c>
      <c r="I44" s="68">
        <f>'Module Domains'!K536</f>
        <v>112</v>
      </c>
      <c r="L44" t="str">
        <f>"    PMC-&gt;REGSC "&amp;IF('Oscillator Source Control'!L44=1,"|= ","&amp;= ~")&amp;"PMC_REGSC_LPODIS(1); //"&amp;IF('Oscillator Source Control'!L44=0,"Enable","Disable")&amp;" the LPO"</f>
        <v xml:space="preserve">    PMC-&gt;REGSC &amp;= ~PMC_REGSC_LPODIS(1); //Enable the LPO</v>
      </c>
      <c r="AD44" t="str">
        <f>IF(Selected_Device="S32K14x","    SAI0-&gt;RCSR &amp;= ~SAI_RCSR_RE_MASK;  //Disable receiver","")</f>
        <v xml:space="preserve">    SAI0-&gt;RCSR &amp;= ~SAI_RCSR_RE_MASK;  //Disable receiver</v>
      </c>
    </row>
    <row r="45" spans="1:30" ht="15" thickBot="1" x14ac:dyDescent="0.3">
      <c r="A45" s="53" t="s">
        <v>192</v>
      </c>
      <c r="B45" s="63" t="str">
        <f>"0x"&amp;DEC2HEX((1*POWER(2,31))+('Module Domains'!AI50*POWER(2,30)),8)</f>
        <v>0x80000000</v>
      </c>
      <c r="G45" s="127"/>
      <c r="H45" s="71" t="s">
        <v>126</v>
      </c>
      <c r="I45" s="69">
        <f>'Module Domains'!D135</f>
        <v>0</v>
      </c>
      <c r="L45" t="str">
        <f>"    //Configure the LPO_CLK source"</f>
        <v xml:space="preserve">    //Configure the LPO_CLK source</v>
      </c>
      <c r="AD45" t="str">
        <f>IF(Selected_Device="S32K14x","    temp = SAI0-&gt;RCR2;  //Copy register","")</f>
        <v xml:space="preserve">    temp = SAI0-&gt;RCR2;  //Copy register</v>
      </c>
    </row>
    <row r="46" spans="1:30" ht="15" thickBot="1" x14ac:dyDescent="0.3">
      <c r="A46" s="53" t="s">
        <v>194</v>
      </c>
      <c r="B46" s="63" t="str">
        <f>"0x"&amp;DEC2HEX('Module Domains'!AM54,8)</f>
        <v>0x00000000</v>
      </c>
      <c r="G46" s="76" t="s">
        <v>150</v>
      </c>
      <c r="H46" s="71" t="s">
        <v>122</v>
      </c>
      <c r="I46" s="80">
        <f>'Module Domains'!D143</f>
        <v>56</v>
      </c>
      <c r="L46" t="str">
        <f>"    temp = SIM-&gt;LPOCLKS;  //Read-modify-write"</f>
        <v xml:space="preserve">    temp = SIM-&gt;LPOCLKS;  //Read-modify-write</v>
      </c>
      <c r="AD46" t="str">
        <f>IF(Selected_Device="S32K14x","    temp &amp;= ~(SAI_RCR2_SYNC_MASK|SAI_RCR2_BCS_MASK|SAI_RCR2_MSEL_MASK|SAI_RCR2_BCD_MASK|SAI_RCR2_DIV_MASK);","")</f>
        <v xml:space="preserve">    temp &amp;= ~(SAI_RCR2_SYNC_MASK|SAI_RCR2_BCS_MASK|SAI_RCR2_MSEL_MASK|SAI_RCR2_BCD_MASK|SAI_RCR2_DIV_MASK);</v>
      </c>
    </row>
    <row r="47" spans="1:30" ht="15" thickBot="1" x14ac:dyDescent="0.3">
      <c r="A47" s="53" t="s">
        <v>203</v>
      </c>
      <c r="B47" s="63" t="str">
        <f>"0x"&amp;DEC2HEX((1*POWER(2,31))+('Module Domains'!AI60*POWER(2,30)),8)</f>
        <v>0x80000000</v>
      </c>
      <c r="G47" s="74" t="s">
        <v>151</v>
      </c>
      <c r="H47" s="75" t="s">
        <v>119</v>
      </c>
      <c r="I47" s="80">
        <f>'Module Domains'!I153</f>
        <v>112</v>
      </c>
      <c r="L47" t="str">
        <f>"    temp &amp;= ~(SIM_LPOCLKS_LPOCLKSEL_MASK|SIM_LPOCLKS_LPO32KCLKEN_MASK|SIM_LPOCLKS_LPO1KCLKEN);  //Clear the relevant bitfields"</f>
        <v xml:space="preserve">    temp &amp;= ~(SIM_LPOCLKS_LPOCLKSEL_MASK|SIM_LPOCLKS_LPO32KCLKEN_MASK|SIM_LPOCLKS_LPO1KCLKEN);  //Clear the relevant bitfields</v>
      </c>
      <c r="AD47" t="str">
        <f>IF(Selected_Device="S32K14x","    temp |= SAI_RCR2_SYNC("&amp;'SAI Clocking'!$AS$32&amp;")|SAI_RCR2_BCS("&amp;'SAI Clocking'!$AP$32&amp;")|SAI_RCR2_MSEL("&amp;'SAI Clocking'!$T$25&amp;")|SAI_RCR2_BCD("&amp;'SAI Clocking'!$AH$32&amp;")|SAI_RCR2_DIV("&amp;'SAI Clocking'!$AC$30&amp;");  //SAI0 RX MCLK is "&amp;IF('SAI Clocking'!$T$25=0,"Module Clock",IF('SAI Clocking'!$T$25=1,"MCLK[x]",IF('SAI Clocking'!$T$25=2,"SOSCDIV1_CLK","MCLK[y]")))&amp;" ("&amp;'SAI Clocking'!$W$21&amp;" MHz). SAI0 receiver BCLK is "&amp;IF('SAI Clocking'!$AS$32=0,"asynchronous and is "&amp;IF('SAI Clocking'!$AP$32=1,"swapped","not swapped")&amp;".  BCLK is "&amp;IF('SAI Clocking'!$AH$32=0,"BCLK_SAI0 input","MCLK_RX_SAI0 divided by "&amp;(('SAI Clocking'!$AC$30+1)*2)),"synchronous with BCLK_TX_SAI0")&amp;" ("&amp;'SAI Clocking'!$AU$29&amp;" MHz).","")</f>
        <v xml:space="preserve">    temp |= SAI_RCR2_SYNC(0)|SAI_RCR2_BCS(0)|SAI_RCR2_MSEL(0)|SAI_RCR2_BCD(0)|SAI_RCR2_DIV(0);  //SAI0 RX MCLK is Module Clock (0 MHz). SAI0 receiver BCLK is asynchronous and is not swapped.  BCLK is BCLK_SAI0 input (0 MHz).</v>
      </c>
    </row>
    <row r="48" spans="1:30" ht="15" thickBot="1" x14ac:dyDescent="0.3">
      <c r="A48" s="53" t="s">
        <v>204</v>
      </c>
      <c r="B48" s="63" t="str">
        <f>"0b"&amp;DEC2BIN('CAN Clocking'!I22,8)&amp;DEC2BIN(('CAN Clocking'!M22*POWER(2,6))+('CAN Clocking'!Q29*POWER(2,3))+('CAN Clocking'!Q36),8)&amp;DEC2BIN('Module Domains'!AL71,1)&amp;"XXX00XXXXX"&amp;DEC2BIN('CAN Clocking'!Q22,3)</f>
        <v>0b00000000000000000XXX00XXXXX000</v>
      </c>
      <c r="G48" s="76" t="s">
        <v>152</v>
      </c>
      <c r="H48" s="71" t="s">
        <v>122</v>
      </c>
      <c r="I48" s="80">
        <f>'Module Domains'!K536</f>
        <v>112</v>
      </c>
      <c r="L48" t="str">
        <f>"    temp "&amp;IF(Tree!Q175=1,"|= ","&amp;= ~")&amp;"SIM_LPOCLKS_LPO32KCLKEN(1); //"&amp;IF(Tree!Q175=1,"Enable","Disable")&amp;" LPO32K_CLK"</f>
        <v xml:space="preserve">    temp |= SIM_LPOCLKS_LPO32KCLKEN(1); //Enable LPO32K_CLK</v>
      </c>
      <c r="AD48" t="str">
        <f>IF(Selected_Device="S32K14x","    SAI0-&gt;RCR2 = temp; //Write new value to register","")</f>
        <v xml:space="preserve">    SAI0-&gt;RCR2 = temp; //Write new value to register</v>
      </c>
    </row>
    <row r="49" spans="1:30" ht="15" thickBot="1" x14ac:dyDescent="0.3">
      <c r="A49" s="53" t="s">
        <v>110</v>
      </c>
      <c r="B49" s="63" t="str">
        <f>"0x"&amp;DEC2HEX(('Module Domains'!AI78*POWER(2,4))+('Module Domains'!AI86*POWER(2,3))+('Module Domains'!AI94)+('Module Domains'!AI102*POWER(2,2))+('Module Domains'!AI111*POWER(2,1)),8)</f>
        <v>0x0000001F</v>
      </c>
      <c r="G49" s="77" t="s">
        <v>153</v>
      </c>
      <c r="H49" s="75" t="s">
        <v>122</v>
      </c>
      <c r="I49" s="80">
        <f>'Module Domains'!M536</f>
        <v>112</v>
      </c>
      <c r="L49" t="str">
        <f>"    temp "&amp;IF(Tree!AK189=1,"|= ","&amp;= ~")&amp;"SIM_LPOCLKS_LPO1KCLKEN(1);  //"&amp;IF(Tree!AK189=1,"Enable","Disable")&amp;" LPO1K_CLK"</f>
        <v xml:space="preserve">    temp |= SIM_LPOCLKS_LPO1KCLKEN(1);  //Enable LPO1K_CLK</v>
      </c>
      <c r="AD49" t="str">
        <f>IF(Selected_Device="S32K14x","    SAI0-&gt;RCSR "&amp;IF('SAI Clocking'!$AL$32=1,"|= ","&amp;= ~")&amp;"SAI0_RCSR_BCE_MASK;  //BCLK is "&amp;IF('SAI Clocking'!$AL$32=1,"enabled","disabled")&amp;".","")</f>
        <v xml:space="preserve">    SAI0-&gt;RCSR &amp;= ~SAI0_RCSR_BCE_MASK;  //BCLK is disabled.</v>
      </c>
    </row>
    <row r="50" spans="1:30" x14ac:dyDescent="0.25">
      <c r="A50" s="53" t="s">
        <v>209</v>
      </c>
      <c r="B50" s="63" t="str">
        <f>"0x"&amp;DEC2HEX((1*POWER(2,31))+('Module Domains'!AI146*POWER(2,30))+('Module Domains'!AE154*POWER(2,24)),8)</f>
        <v>0x80000000</v>
      </c>
      <c r="G50" s="126" t="s">
        <v>156</v>
      </c>
      <c r="H50" s="73" t="s">
        <v>122</v>
      </c>
      <c r="I50" s="68">
        <f>'Module Domains'!K536</f>
        <v>112</v>
      </c>
      <c r="L50" t="str">
        <f>"    temp |= "&amp;Tree!AY188&amp;";  //Select "&amp;IF(Tree!AY188=0,"LPO128K_CLK",IF(Tree!AY188=1,"no clock",IF(Tree!AY188=2,"LPO32K_CLK","LPO1K_CLK")))&amp;" as source of LPO_CLK"</f>
        <v xml:space="preserve">    temp |= 0;  //Select LPO128K_CLK as source of LPO_CLK</v>
      </c>
      <c r="AD50" t="str">
        <f>IF(Selected_Device="S32K14x","    SAI0-&gt;RCSR |= (uint32_t)(flag &lt;&lt; SAI_RCSR_RE_SHIFT);  //Restore state of receiver","")</f>
        <v xml:space="preserve">    SAI0-&gt;RCSR |= (uint32_t)(flag &lt;&lt; SAI_RCSR_RE_SHIFT);  //Restore state of receiver</v>
      </c>
    </row>
    <row r="51" spans="1:30" x14ac:dyDescent="0.25">
      <c r="A51" s="53" t="s">
        <v>210</v>
      </c>
      <c r="B51" s="63" t="str">
        <f>"0b00000000000000000000000X0"&amp;DEC2BIN('Module Domains'!AM154,2)&amp;"0XX"&amp;DEC2BIN('Module Domains'!AI154,2)</f>
        <v>0b00000000000000000000000X0000XX00</v>
      </c>
      <c r="G51" s="128"/>
      <c r="H51" s="70" t="s">
        <v>154</v>
      </c>
      <c r="I51" s="68">
        <f>'Module Domains'!I185</f>
        <v>1.021484375E-3</v>
      </c>
      <c r="L51" t="str">
        <f>"    SIM-&gt;LPOCLKS = temp;  //Write to register"</f>
        <v xml:space="preserve">    SIM-&gt;LPOCLKS = temp;  //Write to register</v>
      </c>
      <c r="AD51" t="str">
        <f>""</f>
        <v/>
      </c>
    </row>
    <row r="52" spans="1:30" ht="15" thickBot="1" x14ac:dyDescent="0.3">
      <c r="A52" s="53" t="s">
        <v>117</v>
      </c>
      <c r="B52" s="63" t="str">
        <f>"0x"&amp;DEC2HEX(('Module Domains'!AG386*POWER(2,14))+('Module Domains'!AG357*POWER(2,12))+('Module Domains'!AG330*POWER(2,10))+('Module Domains'!AG177*POWER(2,8))+('Module Domains'!AG517*POWER(2,6))+('Module Domains'!AG480*POWER(2,4))+('Module Domains'!AG447*POWER(2,2))+('Module Domains'!AG417),4)&amp;"XXXX"</f>
        <v>0x0000XXXX</v>
      </c>
      <c r="G52" s="127"/>
      <c r="H52" s="71" t="s">
        <v>155</v>
      </c>
      <c r="I52" s="69">
        <f>'Module Domains'!I187</f>
        <v>0</v>
      </c>
      <c r="AD52" t="str">
        <f>IF(Selected_Device="S32K14x","    //Configure transmitter master and bit clocks","")</f>
        <v xml:space="preserve">    //Configure transmitter master and bit clocks</v>
      </c>
    </row>
    <row r="53" spans="1:30" ht="15" thickBot="1" x14ac:dyDescent="0.3">
      <c r="A53" s="53" t="s">
        <v>227</v>
      </c>
      <c r="B53" s="63" t="str">
        <f>"0x"&amp;DEC2HEX((1*POWER(2,31))+('Module Domains'!AI169*POWER(2,30))+('Module Domains'!AL185*POWER(2,24)),8)</f>
        <v>0x80000000</v>
      </c>
      <c r="G53" s="77" t="s">
        <v>65</v>
      </c>
      <c r="H53" s="75" t="s">
        <v>122</v>
      </c>
      <c r="I53" s="80">
        <f>'Module Domains'!D216</f>
        <v>56</v>
      </c>
      <c r="L53" t="str">
        <f>"    //Configure the system clock source and dividers, depending on power mode"</f>
        <v xml:space="preserve">    //Configure the system clock source and dividers, depending on power mode</v>
      </c>
      <c r="AD53" t="str">
        <f>IF(Selected_Device="S32K14x","    flag = (bool)((SAI0-&gt;TCSR &amp; SAI_TCSR_TE_MASK) &gt;&gt; SAI_TCSR_TE_SHIFT);  //Save state of transmitter","")</f>
        <v xml:space="preserve">    flag = (bool)((SAI0-&gt;TCSR &amp; SAI_TCSR_TE_MASK) &gt;&gt; SAI_TCSR_TE_SHIFT);  //Save state of transmitter</v>
      </c>
    </row>
    <row r="54" spans="1:30" ht="15" thickBot="1" x14ac:dyDescent="0.3">
      <c r="A54" s="53" t="s">
        <v>226</v>
      </c>
      <c r="B54" s="63" t="str">
        <f>"0b0000XXXXXXXXXXXX000000XXXXX"&amp;DEC2BIN(('Module Domains'!AQ176*POWER(2,3))+('Module Domains'!AU176),5)</f>
        <v>0b0000XXXXXXXXXXXX000000XXXXX00000</v>
      </c>
      <c r="G54" s="74" t="s">
        <v>157</v>
      </c>
      <c r="H54" s="75" t="s">
        <v>122</v>
      </c>
      <c r="I54" s="80">
        <f>'Module Domains'!D222</f>
        <v>56</v>
      </c>
      <c r="L54" t="str">
        <f>IF(OR('Power Mode Control'!M25="Run",'Power Mode Control'!M25="STOP1",'Power Mode Control'!M25="STOP2"),"    SCG-&gt;RCCR = SCG_RCCR_SCS("&amp;Tree!AL24&amp;")|SCG_RCCR_DIVCORE("&amp;Tree!AS20&amp;")|SCG_RCCR_DIVBUS("&amp;Tree!AV27&amp;")|SCG_RCCR_DIVSLOW("&amp;Tree!AV34&amp;");",IF('Power Mode Control'!M25="HSRUN","    SCG-&gt;HCCR = SCG_HCCR_SCS("&amp;Tree!AL24&amp;")|SCG_HCCR_DIVCORE("&amp;Tree!AS20&amp;")|SCG_HCCR_DIVBUS("&amp;Tree!AV27&amp;")|SCG_HCCR_DIVSLOW("&amp;Tree!AV34&amp;");",IF(OR('Power Mode Control'!M25="VLPR",'Power Mode Control'!M25="VLPS"),"    SCG-&gt;VCCR = SCG_VCCR_SCS("&amp;Tree!AL24&amp;")|SCG_VCCR_DIVCORE("&amp;Tree!AS20&amp;")|SCG_VCCR_DIVBUS("&amp;Tree!AV27&amp;")|SCG_VCCR_DIVSLOW("&amp;Tree!AV34&amp;");",0)))</f>
        <v xml:space="preserve">    SCG-&gt;HCCR = SCG_HCCR_SCS(6)|SCG_HCCR_DIVCORE(0)|SCG_HCCR_DIVBUS(0)|SCG_HCCR_DIVSLOW(1);</v>
      </c>
      <c r="AD54" t="str">
        <f>IF(Selected_Device="S32K14x","    SAI0-&gt;TCSR &amp;= ~SAI_TCSR_RE_MASK;  //Disable transmitter","")</f>
        <v xml:space="preserve">    SAI0-&gt;TCSR &amp;= ~SAI_TCSR_RE_MASK;  //Disable transmitter</v>
      </c>
    </row>
    <row r="55" spans="1:30" ht="15" thickBot="1" x14ac:dyDescent="0.3">
      <c r="A55" s="53" t="s">
        <v>111</v>
      </c>
      <c r="B55" s="63" t="str">
        <f>"0x"&amp;DEC2HEX(((1*POWER(2,31))+('Module Domains'!AS196*POWER(2,30))+('Module Domains'!AG199*POWER(2,24))+('Module Domains'!AK199*POWER(2,4))+'Module Domains'!AN199),8)</f>
        <v>0x80000000</v>
      </c>
      <c r="G55" s="72" t="s">
        <v>158</v>
      </c>
      <c r="H55" s="75" t="s">
        <v>122</v>
      </c>
      <c r="I55" s="80">
        <f>'Module Domains'!AN16</f>
        <v>0</v>
      </c>
      <c r="L55" t="str">
        <f>""</f>
        <v/>
      </c>
      <c r="AD55" t="str">
        <f>IF(Selected_Device="S32K14x","    temp = SAI0-&gt;TCR2;  //Copy register","")</f>
        <v xml:space="preserve">    temp = SAI0-&gt;TCR2;  //Copy register</v>
      </c>
    </row>
    <row r="56" spans="1:30" ht="15" thickBot="1" x14ac:dyDescent="0.3">
      <c r="A56" s="53" t="s">
        <v>112</v>
      </c>
      <c r="B56" s="63" t="str">
        <f>"0b00000000000000000000000XXX"&amp;DEC2BIN('Module Domains'!BC213,2)&amp;"XXXX"</f>
        <v>0b00000000000000000000000XXX00XXXX</v>
      </c>
      <c r="G56" s="74" t="s">
        <v>159</v>
      </c>
      <c r="H56" s="75" t="s">
        <v>122</v>
      </c>
      <c r="I56" s="80">
        <f>'Module Domains'!AN23</f>
        <v>0</v>
      </c>
      <c r="L56" t="str">
        <f>"    //Configure the S32K power modes"</f>
        <v xml:space="preserve">    //Configure the S32K power modes</v>
      </c>
      <c r="AD56" t="str">
        <f>IF(Selected_Device="S32K14x","    temp &amp;= ~(SAI_TCR2_SYNC_MASK|SAI_TCR2_BCS_MASK|SAI_TCR2_MSEL_MASK|SAI_TCR2_BCD_MASK|SAI_TCR2_DIV_MASK);","")</f>
        <v xml:space="preserve">    temp &amp;= ~(SAI_TCR2_SYNC_MASK|SAI_TCR2_BCS_MASK|SAI_TCR2_MSEL_MASK|SAI_TCR2_BCD_MASK|SAI_TCR2_DIV_MASK);</v>
      </c>
    </row>
    <row r="57" spans="1:30" ht="15" thickBot="1" x14ac:dyDescent="0.3">
      <c r="A57" s="53" t="s">
        <v>113</v>
      </c>
      <c r="B57" s="63" t="str">
        <f>"0x"&amp;DEC2HEX(('Module Domains'!AW211*POWER(2,3))+('Module Domains'!BA199*POWER(2,2))+'Module Domains'!AS211,8)</f>
        <v>0x00000000</v>
      </c>
      <c r="G57" s="74" t="s">
        <v>160</v>
      </c>
      <c r="H57" s="75" t="s">
        <v>122</v>
      </c>
      <c r="I57" s="80">
        <f>'Module Domains'!AN31</f>
        <v>0</v>
      </c>
      <c r="L57" t="str">
        <f>"    SMC-&gt;PMPROT = "&amp;B20&amp;";  //HSRUN "&amp;IF('Power Mode Control'!E18=1,"enabled","disabled")&amp;" and VLPR/VLPS "&amp;IF('Power Mode Control'!E26=1,"enabled.","disabled.")</f>
        <v xml:space="preserve">    SMC-&gt;PMPROT = 0x000000A0;  //HSRUN enabled and VLPR/VLPS enabled.</v>
      </c>
      <c r="AD57" t="str">
        <f>IF(Selected_Device="S32K14x","    temp |= SAI_TCR2_SYNC("&amp;'SAI Clocking'!$AS$46&amp;")|SAI_TCR2_BCS("&amp;'SAI Clocking'!$AP$46&amp;")|SAI_TCR2_MSEL("&amp;'SAI Clocking'!$T$40&amp;")|SAI_TCR2_BCD("&amp;'SAI Clocking'!$AH$46&amp;")|SAI_TCR2_DIV("&amp;'SAI Clocking'!$AC$46&amp;");  //SAI0 TX MCLK is "&amp;IF('SAI Clocking'!$T$40=0,"Module Clock",IF('SAI Clocking'!$T$40=1,"MCLK[x]",IF('SAI Clocking'!$T$40=2,"SOSCDIV1_CLK","MCLK[y]")))&amp;" ("&amp;'SAI Clocking'!$W$37&amp;" MHz). SAI0 transmitter BCLK is "&amp;IF('SAI Clocking'!$AS$46=0,"asynchronous and is "&amp;IF('SAI Clocking'!$AP$46=1,"swapped","not swapped")&amp;".  BCLK is "&amp;IF('SAI Clocking'!$AH$46=0,"BCLK_SAI0 input","MCLK_RX_SAI0 divided by "&amp;(('SAI Clocking'!$AC$46+1)*2)),"synchronous with BCLK_RX_SAI0")&amp;" ("&amp;'SAI Clocking'!$AU$42&amp;" MHz).","")</f>
        <v xml:space="preserve">    temp |= SAI_TCR2_SYNC(0)|SAI_TCR2_BCS(0)|SAI_TCR2_MSEL(0)|SAI_TCR2_BCD(0)|SAI_TCR2_DIV(0);  //SAI0 TX MCLK is Module Clock (0 MHz). SAI0 transmitter BCLK is asynchronous and is not swapped.  BCLK is BCLK_SAI0 input (0 MHz).</v>
      </c>
    </row>
    <row r="58" spans="1:30" ht="15" thickBot="1" x14ac:dyDescent="0.3">
      <c r="A58" s="53" t="s">
        <v>114</v>
      </c>
      <c r="B58" s="63" t="str">
        <f>"0x"&amp;DEC2HEX(('RTC Clocking'!AH13*POWER(2,20))+('RTC Clocking'!G25*POWER(2,3))+('RTC Clocking'!AD13*POWER(2,1)),7)&amp;"X"</f>
        <v>0x0000000X</v>
      </c>
      <c r="G58" s="74" t="s">
        <v>125</v>
      </c>
      <c r="H58" s="75" t="s">
        <v>122</v>
      </c>
      <c r="I58" s="80">
        <f>'Module Domains'!AN35</f>
        <v>0</v>
      </c>
      <c r="L58" t="str">
        <f>"    //Switch to "&amp;'Power Mode Control'!M25&amp;"."</f>
        <v xml:space="preserve">    //Switch to HSRUN.</v>
      </c>
      <c r="AD58" t="str">
        <f>IF(Selected_Device="S32K14x","    SAI0-&gt;TCR2 = temp; //Write new value to register","")</f>
        <v xml:space="preserve">    SAI0-&gt;TCR2 = temp; //Write new value to register</v>
      </c>
    </row>
    <row r="59" spans="1:30" ht="15" thickBot="1" x14ac:dyDescent="0.3">
      <c r="A59" s="53" t="s">
        <v>115</v>
      </c>
      <c r="B59" s="63" t="str">
        <f>"0x"&amp;DEC2HEX('RTC Clocking'!Y13,7)&amp;"X"</f>
        <v>0x0000000X</v>
      </c>
      <c r="G59" s="72" t="s">
        <v>161</v>
      </c>
      <c r="H59" s="73" t="s">
        <v>122</v>
      </c>
      <c r="I59" s="80">
        <f>'Module Domains'!M12</f>
        <v>112</v>
      </c>
      <c r="L59" t="str">
        <f>IF('Power Mode Control'!M25="Run","    SMC-&gt;PMCTRL = SMC_PMCTRL_RUNM(0);  //Switch to normal Run mode",IF('Power Mode Control'!M25="HSRUN","    SMC-&gt;PMCTRL = SMC_PMCTRL_RUNM(3);  //Switch to high speed Run mode",IF('Power Mode Control'!M25="VLPR","    SMC-&gt;PMCTRL = SMC_PMCTRL_RUNM(2);  //Switch to VLPR mode",IF('Power Mode Control'!M25="VLPS","    SMC-&gt;PMCTRL = SMC_PMCTRL_STOPM(2);  //Enter VLPS mode",IF('Power Mode Control'!M25="STOP1","    SMC-&gt;STOPCTRL = SMC_STOPCTRL_STOPO(1)|3;  //Configure STOP mode so that when STOP mode is entered, STOP1 is used","    SMC-&gt;STOPCTRL = SMC_STOPCTRL_STOPO(2)|3;  //Configure STOP mode so that whe nSTOP mode is entered, STOP2 is used")))))</f>
        <v xml:space="preserve">    SMC-&gt;PMCTRL = SMC_PMCTRL_RUNM(3);  //Switch to high speed Run mode</v>
      </c>
      <c r="AD59" t="str">
        <f>IF(Selected_Device="S32K14x","    SAI0-&gt;TCSR "&amp;IF('SAI Clocking'!$AL$46=1,"|= ","&amp;= ~")&amp;"SAI_TCSR_BCE_MASK;  //BCLK is "&amp;IF('SAI Clocking'!$AL$46=1,"enabled","disabled")&amp;".","")</f>
        <v xml:space="preserve">    SAI0-&gt;TCSR &amp;= ~SAI_TCSR_BCE_MASK;  //BCLK is disabled.</v>
      </c>
    </row>
    <row r="60" spans="1:30" x14ac:dyDescent="0.25">
      <c r="A60" s="53" t="s">
        <v>116</v>
      </c>
      <c r="B60" s="68" t="str">
        <f>"0x"&amp;DEC2HEX(('RTC Clocking'!T13*POWER(2,12)),7)&amp;"X"</f>
        <v>0x0000000X</v>
      </c>
      <c r="G60" s="126" t="s">
        <v>162</v>
      </c>
      <c r="H60" s="73" t="s">
        <v>122</v>
      </c>
      <c r="I60" s="68">
        <f>'Module Domains'!AK47</f>
        <v>0</v>
      </c>
      <c r="L60" t="str">
        <f>IF(OR('Power Mode Control'!M25="STOP1",'Power Mode Control'!M25="STOP2"),"    SMC-&gt;PMCTRL = SMC_PMCTRL_STOPM(0);  //Enter"&amp;'Power Mode Control'!M25&amp;"mode","")</f>
        <v/>
      </c>
      <c r="AD60" t="str">
        <f>IF(Selected_Device="S32K14x","    SAI0-&gt;TCSR |= (uint32_t)(flag &lt;&lt; SAI_TCSR_TE_SHIFT);  //Restore state of transmitter","")</f>
        <v xml:space="preserve">    SAI0-&gt;TCSR |= (uint32_t)(flag &lt;&lt; SAI_TCSR_TE_SHIFT);  //Restore state of transmitter</v>
      </c>
    </row>
    <row r="61" spans="1:30" ht="15" thickBot="1" x14ac:dyDescent="0.3">
      <c r="A61" s="53" t="s">
        <v>183</v>
      </c>
      <c r="B61" s="68" t="str">
        <f>"0x"&amp;DEC2HEX((1*POWER(2,31))+('Module Domains'!F196*POWER(2,30))+('Module Domains'!F204*POWER(2,24)),8)</f>
        <v>0x80000000</v>
      </c>
      <c r="G61" s="127"/>
      <c r="H61" s="71" t="s">
        <v>126</v>
      </c>
      <c r="I61" s="69">
        <f>'Module Domains'!AO50</f>
        <v>0</v>
      </c>
      <c r="L61" t="str">
        <f>"}"</f>
        <v>}</v>
      </c>
      <c r="AD61" t="str">
        <f>""</f>
        <v/>
      </c>
    </row>
    <row r="62" spans="1:30" x14ac:dyDescent="0.25">
      <c r="A62" s="53" t="s">
        <v>184</v>
      </c>
      <c r="B62" s="68" t="str">
        <f>"0x"&amp;DEC2HEX((1*POWER(2,31))+('Module Domains'!F254*POWER(2,30))+('Module Domains'!F263*POWER(2,24)),8)</f>
        <v>0x80000000</v>
      </c>
      <c r="G62" s="126" t="s">
        <v>124</v>
      </c>
      <c r="H62" s="73" t="s">
        <v>122</v>
      </c>
      <c r="I62" s="68">
        <f>'Module Domains'!$AK$57</f>
        <v>0</v>
      </c>
      <c r="AD62" t="str">
        <f>IF(Selected_Device="S32K14x","    //Configure SAI1","")</f>
        <v xml:space="preserve">    //Configure SAI1</v>
      </c>
    </row>
    <row r="63" spans="1:30" x14ac:dyDescent="0.25">
      <c r="A63" s="53" t="s">
        <v>185</v>
      </c>
      <c r="B63" s="68" t="str">
        <f>"0x"&amp;DEC2HEX((1*POWER(2,31))+('Module Domains'!F274*POWER(2,30))+('Module Domains'!F282*POWER(2,24)),8)</f>
        <v>0x80000000</v>
      </c>
      <c r="G63" s="128"/>
      <c r="H63" s="70" t="s">
        <v>164</v>
      </c>
      <c r="I63" s="68">
        <f>'Module Domains'!$M$12</f>
        <v>112</v>
      </c>
      <c r="L63" t="str">
        <f>"void InitPeriClkGen(void)"</f>
        <v>void InitPeriClkGen(void)</v>
      </c>
      <c r="AD63" t="str">
        <f>IF(Selected_Device="S32K14x","    PCC-&gt;PCCn[PCC_SAI1_INDEX] = PCC_PCCn_PR_MASK|PCC_PCCn_CGC("&amp;'SAI Clocking'!$N$58&amp;");  //SAI0 BIU/module clock is "&amp;IF('SAI Clocking'!$N$58=1,"enabled ("&amp;'SAI Clocking'!$P$55&amp;" MHz)","disabled")&amp;".","")</f>
        <v xml:space="preserve">    PCC-&gt;PCCn[PCC_SAI1_INDEX] = PCC_PCCn_PR_MASK|PCC_PCCn_CGC(0);  //SAI0 BIU/module clock is disabled.</v>
      </c>
    </row>
    <row r="64" spans="1:30" ht="15" thickBot="1" x14ac:dyDescent="0.3">
      <c r="A64" s="53" t="s">
        <v>187</v>
      </c>
      <c r="B64" s="68" t="str">
        <f>"0x"&amp;DEC2HEX((POWER(2,31))+('Module Domains'!F294*POWER(2,30))+('Module Domains'!F302*POWER(2,24)),8)</f>
        <v>0x86000000</v>
      </c>
      <c r="G64" s="127"/>
      <c r="H64" s="71" t="s">
        <v>123</v>
      </c>
      <c r="I64" s="69">
        <f>'Module Domains'!$AN$69</f>
        <v>0</v>
      </c>
      <c r="L64" t="str">
        <f>"{"</f>
        <v>{</v>
      </c>
      <c r="AD64" t="str">
        <f>""</f>
        <v/>
      </c>
    </row>
    <row r="65" spans="1:30" ht="15" thickBot="1" x14ac:dyDescent="0.3">
      <c r="A65" s="53" t="s">
        <v>189</v>
      </c>
      <c r="B65" s="68" t="str">
        <f>"0x"&amp;DEC2HEX(POWER(2,31)+('Module Domains'!F316*POWER(2,30))+('Module Domains'!F325*POWER(2,24)),8)</f>
        <v>0x80000000</v>
      </c>
      <c r="G65" s="74" t="s">
        <v>165</v>
      </c>
      <c r="H65" s="75" t="s">
        <v>122</v>
      </c>
      <c r="I65" s="80">
        <f>'Module Domains'!$AL$74</f>
        <v>112</v>
      </c>
      <c r="L65" t="str">
        <f>"    uint32_t temp = 0;  //Temporary variable for read-modify-write sequences"</f>
        <v xml:space="preserve">    uint32_t temp = 0;  //Temporary variable for read-modify-write sequences</v>
      </c>
      <c r="AD65" t="str">
        <f>IF(Selected_Device="S32K14x","    //Configure receiver master and bit clocks","")</f>
        <v xml:space="preserve">    //Configure receiver master and bit clocks</v>
      </c>
    </row>
    <row r="66" spans="1:30" ht="15" thickBot="1" x14ac:dyDescent="0.3">
      <c r="A66" s="53" t="s">
        <v>190</v>
      </c>
      <c r="B66" s="68" t="str">
        <f>"0x"&amp;DEC2HEX(POWER(2,31)+('Module Domains'!AG216*POWER(2,30)),8)</f>
        <v>0x80000000</v>
      </c>
      <c r="G66" s="74" t="s">
        <v>166</v>
      </c>
      <c r="H66" s="75" t="s">
        <v>122</v>
      </c>
      <c r="I66" s="80">
        <f>'Module Domains'!$AL$82</f>
        <v>112</v>
      </c>
      <c r="L66" t="str">
        <f>""</f>
        <v/>
      </c>
      <c r="AD66" t="str">
        <f>IF(Selected_Device="S32K14x","    flag = (bool)((SAI1-&gt;RCSR &amp; SAI_RCSR_RE_MASK) &gt;&gt; SAI_RCSR_RE_SHIFT);  //Save state of receiver","")</f>
        <v xml:space="preserve">    flag = (bool)((SAI1-&gt;RCSR &amp; SAI_RCSR_RE_MASK) &gt;&gt; SAI_RCSR_RE_SHIFT);  //Save state of receiver</v>
      </c>
    </row>
    <row r="67" spans="1:30" ht="15" thickBot="1" x14ac:dyDescent="0.3">
      <c r="A67" s="53" t="s">
        <v>193</v>
      </c>
      <c r="B67" s="68" t="str">
        <f>"0x"&amp;DEC2HEX((POWER(2,31))+('Module Domains'!AI222*POWER(2,30)),8)</f>
        <v>0x80000000</v>
      </c>
      <c r="G67" s="74" t="s">
        <v>167</v>
      </c>
      <c r="H67" s="75" t="s">
        <v>122</v>
      </c>
      <c r="I67" s="80">
        <f>'Module Domains'!AL90</f>
        <v>112</v>
      </c>
      <c r="L67" t="str">
        <f>"    //Configure the FIRC divided clocks"</f>
        <v xml:space="preserve">    //Configure the FIRC divided clocks</v>
      </c>
      <c r="AD67" t="str">
        <f>IF(Selected_Device="S32K14x","    SAI1-&gt;RCSR &amp;= ~SAI_RCSR_RE_MASK;  //Disable receiver","")</f>
        <v xml:space="preserve">    SAI1-&gt;RCSR &amp;= ~SAI_RCSR_RE_MASK;  //Disable receiver</v>
      </c>
    </row>
    <row r="68" spans="1:30" ht="15" thickBot="1" x14ac:dyDescent="0.3">
      <c r="A68" s="53" t="s">
        <v>195</v>
      </c>
      <c r="B68" s="68" t="str">
        <f>"0x"&amp;DEC2HEX('Module Domains'!AM226,8)</f>
        <v>0x00000000</v>
      </c>
      <c r="G68" s="74" t="s">
        <v>127</v>
      </c>
      <c r="H68" s="75" t="s">
        <v>122</v>
      </c>
      <c r="I68" s="80">
        <f>'Module Domains'!AL99</f>
        <v>112</v>
      </c>
      <c r="L68" t="str">
        <f>"    SCG-&gt;FIRCDIV = "&amp;B10&amp;";  //FIRCDIV1_CLK is "&amp;IF(Tree!AV71=0,"off","FIRC_CLK divided by "&amp;POWER(2,(Tree!AV71-1)))&amp;" ("&amp;Tree!BB68&amp;" MHz) and FIRCDIV2_CLK is "&amp;IF(Tree!AV84=0,"off","FIRC_CLK divided by "&amp;POWER(2,(Tree!AV84-1)))&amp;" ("&amp;Tree!BB80&amp;" MHz)."</f>
        <v xml:space="preserve">    SCG-&gt;FIRCDIV = 0x00000000;  //FIRCDIV1_CLK is off (0 MHz) and FIRCDIV2_CLK is off (0 MHz).</v>
      </c>
      <c r="AD68" t="str">
        <f>IF(Selected_Device="S32K14x","    temp = SAI1-&gt;RCR2;  //Copy register","")</f>
        <v xml:space="preserve">    temp = SAI1-&gt;RCR2;  //Copy register</v>
      </c>
    </row>
    <row r="69" spans="1:30" ht="15" thickBot="1" x14ac:dyDescent="0.3">
      <c r="A69" s="53" t="s">
        <v>196</v>
      </c>
      <c r="B69" s="68" t="str">
        <f>"0x"&amp;DEC2HEX((POWER(2,31))+('Module Domains'!AI232*POWER(2,30)),8)</f>
        <v>0x80000000</v>
      </c>
      <c r="G69" s="74" t="s">
        <v>168</v>
      </c>
      <c r="H69" s="75" t="s">
        <v>122</v>
      </c>
      <c r="I69" s="80">
        <f>'Module Domains'!AL108</f>
        <v>112</v>
      </c>
      <c r="L69" t="str">
        <f>""</f>
        <v/>
      </c>
      <c r="AD69" t="str">
        <f>IF(Selected_Device="S32K14x","    temp &amp;= ~(SAI_RCR2_SYNC_MASK|SAI_RCR2_BCS_MASK|SAI_RCR2_MSEL_MASK|SAI_RCR2_BCD_MASK|SAI_RCR2_DIV_MASK);","")</f>
        <v xml:space="preserve">    temp &amp;= ~(SAI_RCR2_SYNC_MASK|SAI_RCR2_BCS_MASK|SAI_RCR2_MSEL_MASK|SAI_RCR2_BCD_MASK|SAI_RCR2_DIV_MASK);</v>
      </c>
    </row>
    <row r="70" spans="1:30" ht="15" thickBot="1" x14ac:dyDescent="0.3">
      <c r="A70" s="53" t="s">
        <v>197</v>
      </c>
      <c r="B70" s="68" t="str">
        <f>"0x"&amp;DEC2HEX('Module Domains'!AM236,8)</f>
        <v>0x00000000</v>
      </c>
      <c r="G70" s="74" t="s">
        <v>169</v>
      </c>
      <c r="H70" s="75" t="s">
        <v>122</v>
      </c>
      <c r="I70" s="80">
        <f>'Module Domains'!K12</f>
        <v>112</v>
      </c>
      <c r="L70" t="str">
        <f>"    //Configure SIRC divided clocks"</f>
        <v xml:space="preserve">    //Configure SIRC divided clocks</v>
      </c>
      <c r="AD70" t="str">
        <f>IF(Selected_Device="S32K14x","    temp |= SAI_RCR2_SYNC("&amp;'SAI Clocking'!$AS$76&amp;")|SAI_RCR2_BCS("&amp;'SAI Clocking'!$AP$76&amp;")|SAI_RCR2_MSEL("&amp;'SAI Clocking'!$T$68&amp;")|SAI_RCR2_BCD("&amp;'SAI Clocking'!$AH$76&amp;")|SAI_RCR2_DIV("&amp;'SAI Clocking'!$AH$76&amp;");  //SAI1 RX MCLK is "&amp;IF('SAI Clocking'!$T$68=0,"Module Clock",IF('SAI Clocking'!$T$68=1,"MCLK[x]",IF('SAI Clocking'!$T$68=2,"SOSCDIV1_CLK","MCLK[y]")))&amp;" ("&amp;'SAI Clocking'!$W$64&amp;" MHz). SAI1 receiver BCLK is "&amp;IF('SAI Clocking'!$AS$76=0,"asynchronous and is "&amp;IF('SAI Clocking'!$AP$76=1,"swapped","not swapped")&amp;".  BCLK is "&amp;IF('SAI Clocking'!$AH$76=0,"BCLK_SAI0 input","MCLK_RX_SAI0 divided by "&amp;(('SAI Clocking'!$AC$74+1)*2)),"synchronous with BCLK_TX_SAI1")&amp;" ("&amp;'SAI Clocking'!$AU$72&amp;" MHz).","")</f>
        <v xml:space="preserve">    temp |= SAI_RCR2_SYNC(0)|SAI_RCR2_BCS(0)|SAI_RCR2_MSEL(0)|SAI_RCR2_BCD(0)|SAI_RCR2_DIV(0);  //SAI1 RX MCLK is Module Clock (0 MHz). SAI1 receiver BCLK is asynchronous and is not swapped.  BCLK is BCLK_SAI0 input (0 MHz).</v>
      </c>
    </row>
    <row r="71" spans="1:30" ht="15" thickBot="1" x14ac:dyDescent="0.3">
      <c r="A71" s="53" t="s">
        <v>198</v>
      </c>
      <c r="B71" s="68" t="str">
        <f>"0x"&amp;DEC2HEX((POWER(2,31))+('Module Domains'!AI232*POWER(2,30)),8)</f>
        <v>0x80000000</v>
      </c>
      <c r="G71" s="74" t="s">
        <v>170</v>
      </c>
      <c r="H71" s="75" t="s">
        <v>122</v>
      </c>
      <c r="I71" s="80">
        <f>'Module Domains'!K12</f>
        <v>112</v>
      </c>
      <c r="L71" t="str">
        <f>"    SCG-&gt;SIRCDIV = "&amp;B13&amp;";  //SIRCDIV1_CLK is "&amp;IF(Tree!AV97=0,"off","SIRC_CLK divided by "&amp;POWER(2,(Tree!AV97-1)))&amp;" ("&amp;Tree!BB94&amp;" MHz) and SIRCDIV2_CLK is "&amp;IF(Tree!AV110=0,"off","SIRC_CLK divided by "&amp;POWER(2,(Tree!AV110-1)))&amp;" ("&amp;Tree!BB106&amp;" MHz)."</f>
        <v xml:space="preserve">    SCG-&gt;SIRCDIV = 0x00000000;  //SIRCDIV1_CLK is off (0 MHz) and SIRCDIV2_CLK is off (0 MHz).</v>
      </c>
      <c r="AD71" t="str">
        <f>IF(Selected_Device="S32K14x","    SAI1-&gt;RCR2 = temp; //Write new value to register","")</f>
        <v xml:space="preserve">    SAI1-&gt;RCR2 = temp; //Write new value to register</v>
      </c>
    </row>
    <row r="72" spans="1:30" ht="15" thickBot="1" x14ac:dyDescent="0.3">
      <c r="A72" s="53" t="s">
        <v>199</v>
      </c>
      <c r="B72" s="68" t="str">
        <f>"0x"&amp;DEC2HEX('Module Domains'!AM246,8)</f>
        <v>0x00000000</v>
      </c>
      <c r="G72" s="74" t="s">
        <v>171</v>
      </c>
      <c r="H72" s="75" t="s">
        <v>122</v>
      </c>
      <c r="I72" s="80">
        <f>'Module Domains'!K12</f>
        <v>112</v>
      </c>
      <c r="L72" t="str">
        <f>""</f>
        <v/>
      </c>
      <c r="AD72" t="str">
        <f>IF(Selected_Device="S32K14x","    SAI1-&gt;RCSR "&amp;IF('SAI Clocking'!$AL$76=1,"|= ","&amp;= ~")&amp;"SAI_RCSR_BCE_MASK;  //BCLK is "&amp;IF('SAI Clocking'!$AL$76=1,"enabled","disabled")&amp;".","")</f>
        <v xml:space="preserve">    SAI1-&gt;RCSR &amp;= ~SAI_RCSR_BCE_MASK;  //BCLK is disabled.</v>
      </c>
    </row>
    <row r="73" spans="1:30" ht="15" thickBot="1" x14ac:dyDescent="0.3">
      <c r="A73" s="53" t="s">
        <v>200</v>
      </c>
      <c r="B73" s="68" t="str">
        <f>"0x"&amp;DEC2HEX((POWER(2,31))+('Module Domains'!AI252*POWER(2,30)),8)</f>
        <v>0x80000000</v>
      </c>
      <c r="G73" s="72" t="s">
        <v>172</v>
      </c>
      <c r="H73" s="75" t="s">
        <v>173</v>
      </c>
      <c r="I73" s="80">
        <f>'Module Domains'!M12</f>
        <v>112</v>
      </c>
      <c r="L73" t="str">
        <f>"    //Configure SOSC divided clocks"</f>
        <v xml:space="preserve">    //Configure SOSC divided clocks</v>
      </c>
      <c r="AD73" t="str">
        <f>IF(Selected_Device="S32K14x","    SAI1-&gt;RCSR |= (uint32_t)(flag &lt;&lt; SAI_RCSR_RE_SHIFT);  //Restore state of receiver","")</f>
        <v xml:space="preserve">    SAI1-&gt;RCSR |= (uint32_t)(flag &lt;&lt; SAI_RCSR_RE_SHIFT);  //Restore state of receiver</v>
      </c>
    </row>
    <row r="74" spans="1:30" x14ac:dyDescent="0.25">
      <c r="A74" s="53" t="s">
        <v>201</v>
      </c>
      <c r="B74" s="68" t="str">
        <f>"0x"&amp;DEC2HEX('Module Domains'!AM256,8)</f>
        <v>0x00000000</v>
      </c>
      <c r="G74" s="126" t="s">
        <v>174</v>
      </c>
      <c r="H74" s="70" t="s">
        <v>122</v>
      </c>
      <c r="I74" s="68">
        <f>'Module Domains'!AL144</f>
        <v>0</v>
      </c>
      <c r="L74" t="str">
        <f>"    SCG-&gt;SOSCDIV = "&amp;B16&amp;";  //SOSCDIV1_CLK is "&amp;IF(Tree!AV123=0,"off","SOSC_CLK divided by "&amp;POWER(2,(Tree!AV123-1)))&amp;" ("&amp;Tree!BB120&amp;" MHz) and SOSCDIV2_CLK is "&amp;IF(Tree!AV136=0,"off","SOSC_CLK divided by "&amp;POWER(2,(Tree!AV136-1)))&amp;" ("&amp;Tree!BB132&amp;" MHz)."</f>
        <v xml:space="preserve">    SCG-&gt;SOSCDIV = 0x00000000;  //SOSCDIV1_CLK is off (0 MHz) and SOSCDIV2_CLK is off (0 MHz).</v>
      </c>
      <c r="AD74" t="str">
        <f>""</f>
        <v/>
      </c>
    </row>
    <row r="75" spans="1:30" ht="15" thickBot="1" x14ac:dyDescent="0.3">
      <c r="A75" s="53" t="s">
        <v>202</v>
      </c>
      <c r="B75" s="68" t="str">
        <f>"0x"&amp;DEC2HEX((POWER(2,31))+('Module Domains'!AI265*POWER(2,30)),8)</f>
        <v>0x80000000</v>
      </c>
      <c r="G75" s="127"/>
      <c r="H75" s="71" t="s">
        <v>175</v>
      </c>
      <c r="I75" s="69">
        <f>'Module Domains'!AO151</f>
        <v>0</v>
      </c>
      <c r="L75" t="str">
        <f>""</f>
        <v/>
      </c>
      <c r="AD75" t="str">
        <f>IF(Selected_Device="S32K14x","    //Configure transmitter master and bit clocks","")</f>
        <v xml:space="preserve">    //Configure transmitter master and bit clocks</v>
      </c>
    </row>
    <row r="76" spans="1:30" x14ac:dyDescent="0.25">
      <c r="A76" s="53" t="s">
        <v>205</v>
      </c>
      <c r="B76" s="68" t="str">
        <f>"0b"&amp;DEC2BIN('CAN Clocking'!I117,8)&amp;DEC2BIN(('CAN Clocking'!Q117*POWER(2,6))+('CAN Clocking'!Q124*POWER(2,3))+('CAN Clocking'!Q131),8)&amp;'Module Domains'!AL276&amp;"XXX00XXXXX"&amp;DEC2BIN('CAN Clocking'!Q117,3)</f>
        <v>0b00000000000000001XXX00XXXXX000</v>
      </c>
      <c r="G76" s="126" t="s">
        <v>176</v>
      </c>
      <c r="H76" s="70" t="s">
        <v>122</v>
      </c>
      <c r="I76" s="68">
        <f>'Module Domains'!AL166</f>
        <v>0</v>
      </c>
      <c r="L76" t="str">
        <f>IF('Device Select'!G17="S32K14x","    //Configure SPLL divided clocks","    //SPLL not supported in S32K11x")</f>
        <v xml:space="preserve">    //Configure SPLL divided clocks</v>
      </c>
      <c r="AD76" t="str">
        <f>IF(Selected_Device="S32K14x","    flag = (bool)((SAI1-&gt;TCSR &amp; SAI_TCSR_TE_MASK) &gt;&gt; SAI_TCSR_TE_SHIFT);  //Save state of transmitter","")</f>
        <v xml:space="preserve">    flag = (bool)((SAI1-&gt;TCSR &amp; SAI_TCSR_TE_MASK) &gt;&gt; SAI_TCSR_TE_SHIFT);  //Save state of transmitter</v>
      </c>
    </row>
    <row r="77" spans="1:30" ht="15" thickBot="1" x14ac:dyDescent="0.3">
      <c r="A77" s="53" t="s">
        <v>206</v>
      </c>
      <c r="B77" s="68" t="str">
        <f>"0x"&amp;DEC2HEX((POWER(2,31))+('Module Domains'!AI282*POWER(2,30)),8)</f>
        <v>0x80000000</v>
      </c>
      <c r="G77" s="127"/>
      <c r="H77" s="71" t="s">
        <v>177</v>
      </c>
      <c r="I77" s="69">
        <f>'Module Domains'!AW173</f>
        <v>0</v>
      </c>
      <c r="L77" t="str">
        <f>IF('Device Select'!G17="S32K14x","    SCG-&gt;SPLLDIV = "&amp;B18&amp;";  //SPLLDIV1_CLK is "&amp;IF(Tree!AV45=0,"off","SPLL_CLK divided by "&amp;POWER(2,(Tree!AV45-1)))&amp;" ("&amp;Tree!BB42&amp;" MHz) and SPLLDIV2_CLK is "&amp;IF(Tree!AV58=0,"off","SPLL_CLK divided by "&amp;POWER(2,(Tree!AV58-1)))&amp;" ("&amp;Tree!BB55&amp;" MHz).","")</f>
        <v xml:space="preserve">    SCG-&gt;SPLLDIV = 0x00000000;  //SPLLDIV1_CLK is off (0 MHz) and SPLLDIV2_CLK is off (0 MHz).</v>
      </c>
      <c r="AD77" t="str">
        <f>IF(Selected_Device="S32K14x","    SAI1-&gt;TCSR &amp;= ~SAI_TCSR_RE_MASK;  //Disable transmitter","")</f>
        <v xml:space="preserve">    SAI1-&gt;TCSR &amp;= ~SAI_TCSR_RE_MASK;  //Disable transmitter</v>
      </c>
    </row>
    <row r="78" spans="1:30" x14ac:dyDescent="0.25">
      <c r="A78" s="53" t="s">
        <v>207</v>
      </c>
      <c r="B78" s="68" t="str">
        <f>"0b"&amp;DEC2BIN('CAN Clocking'!I207,8)&amp;DEC2BIN(('CAN Clocking'!M207*POWER(2,6))+('CAN Clocking'!Q214*POWER(2,3))+('CAN Clocking'!Q221),8)&amp;'Module Domains'!AL293&amp;"XXX00XXXXX"&amp;DEC2BIN('CAN Clocking'!Q207,3)</f>
        <v>0b00000000000000000XXX00XXXXX000</v>
      </c>
      <c r="G78" s="126" t="s">
        <v>178</v>
      </c>
      <c r="H78" s="73" t="s">
        <v>122</v>
      </c>
      <c r="I78" s="81">
        <f>'Module Domains'!AV192</f>
        <v>0</v>
      </c>
      <c r="L78" t="str">
        <f>""</f>
        <v/>
      </c>
      <c r="AD78" t="str">
        <f>IF(Selected_Device="S32K14x","    temp = SAI1-&gt;TCR2;  //Copy register","")</f>
        <v xml:space="preserve">    temp = SAI1-&gt;TCR2;  //Copy register</v>
      </c>
    </row>
    <row r="79" spans="1:30" x14ac:dyDescent="0.25">
      <c r="A79" s="53" t="s">
        <v>208</v>
      </c>
      <c r="B79" s="68" t="str">
        <f>"0x"&amp;DEC2HEX((POWER(2,31))+('Module Domains'!AI302*POWER(2,30))+('Module Domains'!AE310*POWER(2,24)),8)</f>
        <v>0x80000000</v>
      </c>
      <c r="G79" s="128"/>
      <c r="H79" s="70" t="s">
        <v>179</v>
      </c>
      <c r="I79" s="68">
        <f>'Module Domains'!BC196</f>
        <v>0</v>
      </c>
      <c r="L79" t="str">
        <f>"    //Configure source of RTC_CLK"</f>
        <v xml:space="preserve">    //Configure source of RTC_CLK</v>
      </c>
      <c r="AD79" t="str">
        <f>IF(Selected_Device="S32K14x","    temp &amp;= ~(SAI_TCR2_SYNC_MASK|SAI_TCR2_BCS_MASK|SAI_TCR2_MSEL_MASK|SAI_TCR2_BCD_MASK|SAI_TCR2_DIV_MASK);","")</f>
        <v xml:space="preserve">    temp &amp;= ~(SAI_TCR2_SYNC_MASK|SAI_TCR2_BCS_MASK|SAI_TCR2_MSEL_MASK|SAI_TCR2_BCD_MASK|SAI_TCR2_DIV_MASK);</v>
      </c>
    </row>
    <row r="80" spans="1:30" ht="15" thickBot="1" x14ac:dyDescent="0.3">
      <c r="A80" s="53" t="s">
        <v>211</v>
      </c>
      <c r="B80" s="68" t="str">
        <f>"0b0000000000000000000000000"&amp;DEC2BIN('Module Domains'!AM310,2)&amp;"0XX"&amp;DEC2BIN('Module Domains'!AI310,2)</f>
        <v>0b0000000000000000000000000000XX00</v>
      </c>
      <c r="G80" s="129"/>
      <c r="H80" s="78" t="s">
        <v>180</v>
      </c>
      <c r="I80" s="79">
        <f>'Module Domains'!BE209</f>
        <v>0</v>
      </c>
      <c r="L80" t="str">
        <f>"    temp = SIM-&gt;LPOCLKS;  //Read-modify-write"</f>
        <v xml:space="preserve">    temp = SIM-&gt;LPOCLKS;  //Read-modify-write</v>
      </c>
      <c r="AD80" t="str">
        <f>IF(Selected_Device="S32K14x","    temp |= SAI_TCR2_SYNC("&amp;'SAI Clocking'!$AS$91&amp;")|SAI_TCR2_BCS("&amp;'SAI Clocking'!$AP$91&amp;")|SAI_TCR2_MSEL("&amp;'SAI Clocking'!$T$85&amp;")|SAI_TCR2_BCD("&amp;'SAI Clocking'!$AH$91&amp;")|SAI_TCR2_DIV("&amp;'SAI Clocking'!$AC$91&amp;");  //SAI1 TX MCLK is "&amp;IF('SAI Clocking'!$T$85=0,"Module Clock",IF('SAI Clocking'!$T$85=1,"MCLK[x]",IF('SAI Clocking'!$T$85=2,"SOSCDIV1_CLK","MCLK[y]")))&amp;" ("&amp;'SAI Clocking'!$W$64&amp;" MHz). SAI1 transmitter BCLK is "&amp;IF('SAI Clocking'!$AS$76=0,"asynchronous and is "&amp;IF('SAI Clocking'!$AP$91=1,"swapped","not swapped")&amp;".  BCLK is "&amp;IF('SAI Clocking'!$AH$91=0,"BCLK_SAI1 input","MCLK_RX_SAI1 divided by "&amp;(('SAI Clocking'!$AC$91+1)*2)),"synchronous with BCLK_RX_SAI1")&amp;" ("&amp;'SAI Clocking'!$AU$87&amp;" MHz).","")</f>
        <v xml:space="preserve">    temp |= SAI_TCR2_SYNC(0)|SAI_TCR2_BCS(0)|SAI_TCR2_MSEL(0)|SAI_TCR2_BCD(0)|SAI_TCR2_DIV(0);  //SAI1 TX MCLK is Module Clock (0 MHz). SAI1 transmitter BCLK is asynchronous and is not swapped.  BCLK is BCLK_SAI1 input (0 MHz).</v>
      </c>
    </row>
    <row r="81" spans="1:30" ht="15" thickTop="1" x14ac:dyDescent="0.25">
      <c r="A81" s="53" t="s">
        <v>212</v>
      </c>
      <c r="B81" s="68" t="str">
        <f>"0x"&amp;DEC2HEX((POWER(2,31))+('Module Domains'!AI322*POWER(2,30))+('Module Domains'!AL339*POWER(2,24)),8)</f>
        <v>0x80000000</v>
      </c>
      <c r="L81" t="str">
        <f>"    temp &amp;= ~SIM_LPOCLKS_RTCCLKSEL_MASK;  //Clear the field"</f>
        <v xml:space="preserve">    temp &amp;= ~SIM_LPOCLKS_RTCCLKSEL_MASK;  //Clear the field</v>
      </c>
      <c r="AD81" t="str">
        <f>IF(Selected_Device="S32K14x","    SAI1-&gt;TCR2 = temp; //Write new value to register","")</f>
        <v xml:space="preserve">    SAI1-&gt;TCR2 = temp; //Write new value to register</v>
      </c>
    </row>
    <row r="82" spans="1:30" x14ac:dyDescent="0.25">
      <c r="A82" s="53" t="s">
        <v>213</v>
      </c>
      <c r="B82" s="68" t="str">
        <f>"0b0000XXXXXXXXXXXX000000XXXXX"&amp;DEC2BIN(('Module Domains'!AQ329*POWER(2,3))+('Module Domains'!AU329),5)</f>
        <v>0b0000XXXXXXXXXXXX000000XXXXX00000</v>
      </c>
      <c r="L82" t="str">
        <f>"    temp |= SIM_LPOCLKS_RTCCLKSEL("&amp;Tree!AP178&amp;");  //Use"&amp;IF(Tree!AP178=0,"SOSCDIV1_CLK",IF(Tree!AP178=1,"LPO32K_CLK",IF(Tree!AP178=2,"RTC_CLKIN",IF(Tree!AP178=3,"FIRCDIV1_CLK","error"))))&amp;"as source of RTC_CLK"</f>
        <v xml:space="preserve">    temp |= SIM_LPOCLKS_RTCCLKSEL(0);  //UseSOSCDIV1_CLKas source of RTC_CLK</v>
      </c>
      <c r="AD82" t="str">
        <f>IF(Selected_Device="S32K14x","    SAI1-&gt;TCSR "&amp;IF('SAI Clocking'!$AL$91=1,"|= ","&amp;= ~")&amp;"SAI_TCSR_BCE_MASK;  //BCLK is "&amp;IF('SAI Clocking'!$AL$91=1,"enabled","disabled")&amp;".","")</f>
        <v xml:space="preserve">    SAI1-&gt;TCSR &amp;= ~SAI_TCSR_BCE_MASK;  //BCLK is disabled.</v>
      </c>
    </row>
    <row r="83" spans="1:30" x14ac:dyDescent="0.25">
      <c r="A83" s="53" t="s">
        <v>214</v>
      </c>
      <c r="B83" s="68" t="str">
        <f>"0x"&amp;DEC2HEX((POWER(2,31))+('Module Domains'!AI348*POWER(2,30))+('Module Domains'!AL366*POWER(2,24)),8)</f>
        <v>0x80000000</v>
      </c>
      <c r="L83" t="str">
        <f>"    SIM-&gt;LPOCLKS = temp;  //Write to register"</f>
        <v xml:space="preserve">    SIM-&gt;LPOCLKS = temp;  //Write to register</v>
      </c>
      <c r="AD83" t="str">
        <f>IF(Selected_Device="S32K14x","    SAI1-&gt;TCSR |= (uint32_t)(flag &lt;&lt; SAI_TCSR_TE_SHIFT);  //Restore state of transmitter","")</f>
        <v xml:space="preserve">    SAI1-&gt;TCSR |= (uint32_t)(flag &lt;&lt; SAI_TCSR_TE_SHIFT);  //Restore state of transmitter</v>
      </c>
    </row>
    <row r="84" spans="1:30" x14ac:dyDescent="0.25">
      <c r="A84" s="53" t="s">
        <v>215</v>
      </c>
      <c r="B84" s="68" t="str">
        <f>"0b0000XXXXXXXXXXXX000000XXXXX"&amp;DEC2BIN(('Module Domains'!AQ356*POWER(2,3))+('Module Domains'!AU356),5)</f>
        <v>0b0000XXXXXXXXXXXX000000XXXXX00000</v>
      </c>
      <c r="L84" t="str">
        <f>""</f>
        <v/>
      </c>
      <c r="AD84" t="str">
        <f>"}"</f>
        <v>}</v>
      </c>
    </row>
    <row r="85" spans="1:30" x14ac:dyDescent="0.25">
      <c r="A85" s="53" t="s">
        <v>216</v>
      </c>
      <c r="B85" s="68" t="str">
        <f>"0x"&amp;DEC2HEX((POWER(2,31))+('Module Domains'!AI377*POWER(2,30))+('Module Domains'!AL397*POWER(2,24)),8)</f>
        <v>0x80000000</v>
      </c>
      <c r="L85" t="str">
        <f>"    //Configure CLKOUT source and divider"</f>
        <v xml:space="preserve">    //Configure CLKOUT source and divider</v>
      </c>
    </row>
    <row r="86" spans="1:30" x14ac:dyDescent="0.25">
      <c r="A86" s="53" t="s">
        <v>217</v>
      </c>
      <c r="B86" s="68" t="str">
        <f>"0b0000XXXXXXXXXXXX000000XXXXX"&amp;DEC2BIN(('Module Domains'!AQ384*POWER(2,3))+('Module Domains'!AU384),5)</f>
        <v>0b0000XXXXXXXXXXXX000000XXXXX00000</v>
      </c>
      <c r="L86" t="str">
        <f>"    temp = SIM-&gt;CHIPCTL;  //Copy register for read-modify-write"</f>
        <v xml:space="preserve">    temp = SIM-&gt;CHIPCTL;  //Copy register for read-modify-write</v>
      </c>
      <c r="AD86" t="str">
        <f>"//Configure ENET clocks"</f>
        <v>//Configure ENET clocks</v>
      </c>
    </row>
    <row r="87" spans="1:30" x14ac:dyDescent="0.25">
      <c r="A87" s="53" t="s">
        <v>218</v>
      </c>
      <c r="B87" s="68" t="str">
        <f>"0x"&amp;DEC2HEX((POWER(2,31))+('Module Domains'!AI407*POWER(2,30))+('Module Domains'!AL428*POWER(2,24)),8)</f>
        <v>0x80000000</v>
      </c>
      <c r="L87" t="str">
        <f>"    temp &amp;= ~(SIM_CHIPCTL_CLKOUTEN_MASK|SIM_CHIPCTL_CLKOUTDIV_MASK|SIM_CHIPCTL_CLKOUTSEL_MASK);  //Clear the relevant fields"</f>
        <v xml:space="preserve">    temp &amp;= ~(SIM_CHIPCTL_CLKOUTEN_MASK|SIM_CHIPCTL_CLKOUTDIV_MASK|SIM_CHIPCTL_CLKOUTSEL_MASK);  //Clear the relevant fields</v>
      </c>
      <c r="AD87" t="str">
        <f>"void ENET_ClkInit(void)"</f>
        <v>void ENET_ClkInit(void)</v>
      </c>
    </row>
    <row r="88" spans="1:30" x14ac:dyDescent="0.25">
      <c r="A88" s="53" t="s">
        <v>219</v>
      </c>
      <c r="B88" s="68" t="str">
        <f>"0b0000XXXXXXXXXXXX000000XXXXX"&amp;DEC2BIN(('Module Domains'!AQ415*POWER(2,3))+('Module Domains'!AU415),5)</f>
        <v>0b0000XXXXXXXXXXXX000000XXXXX00000</v>
      </c>
      <c r="L88" t="str">
        <f>"    temp |= SIM_CHIPCTL_CLKOUTSEL("&amp;Tree!BE165&amp;");  //CLKOUT source is "&amp;IF(Tree!BE165=0,"SCG_CLKOUT",IF(Tree!BE165=2,"SOSCDIV2_CLK",IF(Tree!BE165=4,"SIRCDIV2_CLK",IF(Tree!BE165=6,"FIRCDIV2_CLK",IF(Tree!BE165=8,"SPLLDIV2_CLK",IF(Tree!BE165=9,"BUS_CLK",IF(Tree!BE165=10,"LPO128K_CLK",IF(Tree!BE165=12,"LPO_CLK",IF(Tree!BE165=14,"RTC_CLK",IF(Tree!BE165=5,"QSPI_SFIF_CLK_HYP_PREMUX",IF(Tree!BE165=11,"QSPI Module Clock",IF(Tree!BE165=13,"QSPI_SFIF_CLK",IF(Tree!BE165=15,"2xQSPI_SFIF_CLK","error")))))))))))))</f>
        <v xml:space="preserve">    temp |= SIM_CHIPCTL_CLKOUTSEL(0);  //CLKOUT source is SCG_CLKOUT</v>
      </c>
      <c r="AD88" t="str">
        <f>"{"</f>
        <v>{</v>
      </c>
    </row>
    <row r="89" spans="1:30" x14ac:dyDescent="0.25">
      <c r="A89" s="53" t="s">
        <v>220</v>
      </c>
      <c r="B89" s="68" t="str">
        <f>"0x"&amp;DEC2HEX((POWER(2,31))+('Module Domains'!AI437*POWER(2,30))+('Module Domains'!AL460*POWER(2,24)),8)</f>
        <v>0x80000000</v>
      </c>
      <c r="L89" t="str">
        <f>"    temp |= SIM_CHIPCTL_CLKOUTDIV("&amp;Tree!BI163&amp;");  //CLKOUT is the source signal divided by "&amp;SUM(1,Tree!BI163)</f>
        <v xml:space="preserve">    temp |= SIM_CHIPCTL_CLKOUTDIV(0);  //CLKOUT is the source signal divided by 1</v>
      </c>
      <c r="AD89" t="str">
        <f>IF(Selected_Device="S32K14x","    PCC-&gt;PCCn[PCC_ENET_INDEX] = PCC_PCCn_PR_MASK|PCC_PCCn_CGC("&amp;'ENET Clocking'!N16&amp;")|PCC_PCCn_PCS("&amp;'ENET Clocking'!N36&amp;")|PCC_PCCn_FRAC("&amp;'ENET Clocking'!R36&amp;")|PCC_PCCn_PCD("&amp;'ENET Clocking'!U36&amp;");  //ENET DMA is clocked at "&amp;'ENET Clocking'!$P$12&amp;" MHz.  ENET timer clock is "&amp;IF('ENET Clocking'!$N$36=0,"off",IF('ENET Clocking'!$N$36=1,"SOSCDIV1_CLK",IF('ENET Clocking'!$N$36=2,"SIRCDIV1_CLK",IF('ENET Clocking'!$N$36=3,"FIRCDIV1_CLK",IF('ENET Clocking'!$N$36=6,"SPLLDIV1_CLK","invalid")))))&amp;IF(OR('ENET Clocking'!$N$36=0,'ENET Clocking'!$N$36=4,'ENET Clocking'!$N$36=5,'ENET Clocking'!$N$36=7,AND('ENET Clocking'!$R$36=0,'ENET Clocking'!$U$36=0)),""," and is further divided by "&amp;('ENET Clocking'!$R$36+1)/('ENET Clocking'!$U$36+1))&amp;" ("&amp;'ENET Clocking'!$W$33&amp;" MHz).","    //ENET only supported in S32K148")</f>
        <v xml:space="preserve">    PCC-&gt;PCCn[PCC_ENET_INDEX] = PCC_PCCn_PR_MASK|PCC_PCCn_CGC(0)|PCC_PCCn_PCS(0)|PCC_PCCn_FRAC(0)|PCC_PCCn_PCD(0);  //ENET DMA is clocked at 0 MHz.  ENET timer clock is off (0 MHz).</v>
      </c>
    </row>
    <row r="90" spans="1:30" x14ac:dyDescent="0.25">
      <c r="A90" s="53" t="s">
        <v>221</v>
      </c>
      <c r="B90" s="68" t="str">
        <f>"0b0000XXXXXXXXXXXX000000XXXXX"&amp;DEC2BIN(('Module Domains'!AQ445*POWER(2,3))+('Module Domains'!AU445),5)</f>
        <v>0b0000XXXXXXXXXXXX000000XXXXX00000</v>
      </c>
      <c r="L90" t="str">
        <f>"    temp "&amp;IF(Tree!BM163=1,"|= ","&amp;= ~")&amp;"SIM_CHIPCTL_CLKOUTEN(1);  //CLKOUT signal is "&amp;IF(Tree!BM163=1,"enabled","disabled")&amp;" ("&amp;Tree!BO159&amp;" MHz)."</f>
        <v xml:space="preserve">    temp &amp;= ~SIM_CHIPCTL_CLKOUTEN(1);  //CLKOUT signal is disabled (0 MHz).</v>
      </c>
      <c r="AD90" t="str">
        <f>""</f>
        <v/>
      </c>
    </row>
    <row r="91" spans="1:30" x14ac:dyDescent="0.25">
      <c r="A91" s="53" t="s">
        <v>222</v>
      </c>
      <c r="B91" s="68" t="str">
        <f>"0x"&amp;DEC2HEX((POWER(2,31))+('Module Domains'!AI469*POWER(2,30))+('Module Domains'!AL493*POWER(2,24)),8)</f>
        <v>0x80000000</v>
      </c>
      <c r="L91" t="str">
        <f>"    SIM-&gt;CHIPCTL = temp;  //Write to register"</f>
        <v xml:space="preserve">    SIM-&gt;CHIPCTL = temp;  //Write to register</v>
      </c>
      <c r="AD91" t="str">
        <f>IF(Selected_Device="S32K14x","    //Configure MII_TX_CLK and RMII_CLK","")</f>
        <v xml:space="preserve">    //Configure MII_TX_CLK and RMII_CLK</v>
      </c>
    </row>
    <row r="92" spans="1:30" x14ac:dyDescent="0.25">
      <c r="A92" s="53" t="s">
        <v>223</v>
      </c>
      <c r="B92" s="68" t="str">
        <f>"0b0000XXXXXXXXXXXX000000XXXXX"&amp;DEC2BIN(('Module Domains'!AQ478*POWER(2,3))+('Module Domains'!AU478),5)</f>
        <v>0b0000XXXXXXXXXXXX000000XXXXX00000</v>
      </c>
      <c r="L92" t="str">
        <f>""</f>
        <v/>
      </c>
      <c r="AD92" t="str">
        <f>IF(Selected_Device="S32K14x","    SIM-&gt;MISCTRL0 "&amp;IF('ENET Clocking'!$AT$17=1,"|= ","&amp;= ~")&amp;"SIM_MISCTRL0_RMII_CLK_OBE_MASK;  //SOSCDIV1_CLK is "&amp;IF('ENET Clocking'!$AT$17=1,"enabled","disabled")&amp;"as RMII clock source.","")</f>
        <v xml:space="preserve">    SIM-&gt;MISCTRL0 &amp;= ~SIM_MISCTRL0_RMII_CLK_OBE_MASK;  //SOSCDIV1_CLK is disabledas RMII clock source.</v>
      </c>
    </row>
    <row r="93" spans="1:30" x14ac:dyDescent="0.25">
      <c r="A93" s="53" t="s">
        <v>224</v>
      </c>
      <c r="B93" s="68" t="str">
        <f>"0x"&amp;DEC2HEX((POWER(2,31))+('Module Domains'!AI505*POWER(2,30))+('Module Domains'!AL530*POWER(2,24)),8)</f>
        <v>0x80000000</v>
      </c>
      <c r="L93" t="str">
        <f>"    //Configure LPSPI0 clocking"</f>
        <v xml:space="preserve">    //Configure LPSPI0 clocking</v>
      </c>
      <c r="AD93" t="str">
        <f>IF(Selected_Device="S32K14x","    SIM-&gt;MISCTRL0 "&amp;IF('ENET Clocking'!$AP$23=1,"|= ","&amp;= ~")&amp;"SIM_MISCTRL0_RMII_CLK_SEL_MASK;  //"&amp;IF('ENET Clocking'!$AP$23=0,"Tx_clk (PAD)","SOSCDIV1_CLK")&amp;" is the source of MII_TX_CLK and RMII_CLK ("&amp;'ENET Clocking'!$AN$19&amp;" MHz).","")</f>
        <v xml:space="preserve">    SIM-&gt;MISCTRL0 &amp;= ~SIM_MISCTRL0_RMII_CLK_SEL_MASK;  //Tx_clk (PAD) is the source of MII_TX_CLK and RMII_CLK (2.5 MHz).</v>
      </c>
    </row>
    <row r="94" spans="1:30" x14ac:dyDescent="0.25">
      <c r="A94" s="53" t="s">
        <v>225</v>
      </c>
      <c r="B94" s="68" t="str">
        <f>"0b0000XXXXXXXXXXXX000000XXXXX"&amp;DEC2BIN(('Module Domains'!AQ514*POWER(2,3))+('Module Domains'!AU514),5)</f>
        <v>0b0000XXXXXXXXXXXX000000XXXXX00000</v>
      </c>
      <c r="L94" t="str">
        <f>"    PCC-&gt;PCCn[PCC_LPSPI0_INDEX] = PCC_PCCn_PR_MASK|PCC_PCCn_CGC("&amp;'Module Domains'!$F$16&amp;")|PCC_PCCn_PCS("&amp;'Module Domains'!$F$24&amp;");  //LPSPI0 BIU clock is "&amp;IF('Module Domains'!$F$16=1,"enabled ("&amp;'Module Domains'!D15&amp;" MHz)","disabled")&amp;" and peripheral clock source is "&amp;IF('Module Domains'!$F$24=0,"off",IF('Module Domains'!$F$24=1,"SOSCDIV2_CLK",IF('Module Domains'!$F$24=2,"SIRCDIV2_CLK",IF('Module Domains'!$F$24=3,"FIRCDIV2_CLK",IF('Module Domains'!$F$24=6,"SPLLDIV2_CLK","invalid")))))&amp;" ("&amp;'Module Domains'!D21&amp;" MHz)."</f>
        <v xml:space="preserve">    PCC-&gt;PCCn[PCC_LPSPI0_INDEX] = PCC_PCCn_PR_MASK|PCC_PCCn_CGC(0)|PCC_PCCn_PCS(0);  //LPSPI0 BIU clock is disabled and peripheral clock source is off (0 MHz).</v>
      </c>
      <c r="AD94" t="str">
        <f>""</f>
        <v/>
      </c>
    </row>
    <row r="95" spans="1:30" x14ac:dyDescent="0.25">
      <c r="A95" s="53" t="s">
        <v>3129</v>
      </c>
      <c r="B95" s="68" t="str">
        <f>"0x"&amp;DEC2HEX((POWER(2,31))+('SAI Clocking'!$N$15*POWER(2,30)),8)</f>
        <v>0x80000000</v>
      </c>
      <c r="L95" t="str">
        <f>""</f>
        <v/>
      </c>
      <c r="AD95" t="str">
        <f>IF(Selected_Device="S32K14x","    //MII_RX_CLK is sourced from pad ("&amp;'ENET Clocking'!$AW$31&amp;" MHz).","")</f>
        <v xml:space="preserve">    //MII_RX_CLK is sourced from pad (2.5 MHz).</v>
      </c>
    </row>
    <row r="96" spans="1:30" x14ac:dyDescent="0.25">
      <c r="A96" s="53" t="s">
        <v>3130</v>
      </c>
      <c r="B96" s="68" t="str">
        <f>"0b"&amp;DEC2BIN(('SAI Clocking'!$AS$32*POWER(2,1))+('SAI Clocking'!$AP$32),3)&amp;"X"&amp;DEC2BIN('SAI Clocking'!$T$25,2)&amp;"X"&amp;DEC2BIN('SAI Clocking'!$AH$32,1)&amp;"0000000000000000"&amp;DEC2BIN('SAI Clocking'!$AC$30,8)</f>
        <v>0b000X00X0000000000000000000000000</v>
      </c>
      <c r="L96" t="str">
        <f>"    //Configure LPIT"</f>
        <v xml:space="preserve">    //Configure LPIT</v>
      </c>
      <c r="AD96" t="str">
        <f>"}"</f>
        <v>}</v>
      </c>
    </row>
    <row r="97" spans="1:30" x14ac:dyDescent="0.25">
      <c r="A97" s="53" t="s">
        <v>3131</v>
      </c>
      <c r="B97" s="68" t="str">
        <f>"0bX0X"&amp;DEC2BIN('SAI Clocking'!$AL$32,1)&amp;"000X000XXXXX000XXXXX000000XX"</f>
        <v>0bX0X0000X000XXXXX000XXXXX000000XX</v>
      </c>
      <c r="L97" t="str">
        <f>"    PCC-&gt;PCCn[PCC_LPIT_INDEX] = PCC_PCCn_PR_MASK|PCC_PCCn_CGC("&amp;'Module Domains'!$F$35&amp;")|PCC_PCCn_PCS("&amp;'Module Domains'!$F$43&amp;");  //LPIT BIU clock is "&amp;IF('Module Domains'!$F$35=1,"enabled ("&amp;'Module Domains'!D33&amp;" MHz)","disabled")&amp;" and peripheral clock is "&amp;IF('Module Domains'!$F$43=0,"off",IF('Module Domains'!$F$43=1,"SOSCDIV2_CLK",IF('Module Domains'!$F$43=2,"SIRCDIV2_CLK",IF('Module Domains'!$F$43=3,"FIRCDIV2_CLK",IF('Module Domains'!$F$43=6,"SPLLDIV2_CLK","invalid")))))&amp;" ("&amp;'Module Domains'!D41&amp;" MHz)."</f>
        <v xml:space="preserve">    PCC-&gt;PCCn[PCC_LPIT_INDEX] = PCC_PCCn_PR_MASK|PCC_PCCn_CGC(0)|PCC_PCCn_PCS(0);  //LPIT BIU clock is disabled and peripheral clock is off (0 MHz).</v>
      </c>
    </row>
    <row r="98" spans="1:30" x14ac:dyDescent="0.25">
      <c r="A98" s="53" t="s">
        <v>3132</v>
      </c>
      <c r="B98" s="68" t="str">
        <f>"0b"&amp;DEC2BIN(('SAI Clocking'!$AS$46*POWER(2,1))+('SAI Clocking'!$AP$46),3)&amp;"X"&amp;DEC2BIN('SAI Clocking'!$T$40,2)&amp;"X"&amp;DEC2BIN('SAI Clocking'!$AH$46,1)&amp;"0000000000000000"&amp;DEC2BIN('SAI Clocking'!$AC$46,8)</f>
        <v>0b000X00X0000000000000000000000000</v>
      </c>
      <c r="L98" t="str">
        <f>""</f>
        <v/>
      </c>
      <c r="AD98" t="str">
        <f>"//Configure FlexCAN clocks"</f>
        <v>//Configure FlexCAN clocks</v>
      </c>
    </row>
    <row r="99" spans="1:30" x14ac:dyDescent="0.25">
      <c r="A99" s="53" t="s">
        <v>3133</v>
      </c>
      <c r="B99" s="68" t="str">
        <f>"0bX0X"&amp;DEC2BIN('SAI Clocking'!$AL$46,1)&amp;"000X000XXXXX000XXXXX000000XX"</f>
        <v>0bX0X0000X000XXXXX000XXXXX000000XX</v>
      </c>
      <c r="L99" t="str">
        <f>"    //Configure FlexIO"</f>
        <v xml:space="preserve">    //Configure FlexIO</v>
      </c>
      <c r="AD99" t="str">
        <f>"void FlexCAN_ClkInit(void)"</f>
        <v>void FlexCAN_ClkInit(void)</v>
      </c>
    </row>
    <row r="100" spans="1:30" x14ac:dyDescent="0.25">
      <c r="A100" s="53" t="s">
        <v>3138</v>
      </c>
      <c r="B100" s="68" t="str">
        <f>"0x"&amp;DEC2HEX((POWER(2,31))+('SAI Clocking'!$N$58*POWER(2,30)),8)</f>
        <v>0x80000000</v>
      </c>
      <c r="L100" t="str">
        <f>"    PCC-&gt;PCCn[PCC_FLEXIO_INDEX] = PCC_PCCn_PR_MASK|PCC_PCCn_CGC("&amp;'Module Domains'!$I$55&amp;")|PCC_PCCn_PCS("&amp;'Module Domains'!$I$62&amp;");  //FlexIO BIU clock is "&amp;IF('Module Domains'!$I$55=1,"enabled ("&amp;'Module Domains'!D52&amp;" MHz)","disabled")&amp;" and peripheral clock is "&amp;IF('Module Domains'!$I$62=0,"off",IF('Module Domains'!$I$62=1,"SOSCDIV2_CLK",IF('Module Domains'!$I$62=2,"SIRCDIV2_CLK",IF('Module Domains'!$I$62=3,"FIRCDIV2_CLK",IF('Module Domains'!$I$62=6,"SPLLDIV2_CLK","invalid")))))&amp;" ("&amp;'Module Domains'!D55&amp;" MHz)."</f>
        <v xml:space="preserve">    PCC-&gt;PCCn[PCC_FLEXIO_INDEX] = PCC_PCCn_PR_MASK|PCC_PCCn_CGC(0)|PCC_PCCn_PCS(0);  //FlexIO BIU clock is disabled and peripheral clock is off (0 MHz).</v>
      </c>
      <c r="AD100" t="str">
        <f>"{"</f>
        <v>{</v>
      </c>
    </row>
    <row r="101" spans="1:30" x14ac:dyDescent="0.25">
      <c r="A101" s="53" t="s">
        <v>3134</v>
      </c>
      <c r="B101" s="68" t="str">
        <f>"0b"&amp;DEC2BIN(('SAI Clocking'!$AS$76*POWER(2,1))+('SAI Clocking'!$AP$76),3)&amp;"X"&amp;DEC2BIN('SAI Clocking'!$T$68,2)&amp;"X"&amp;DEC2BIN('SAI Clocking'!$AH$76,1)&amp;"0000000000000000"&amp;DEC2BIN('SAI Clocking'!$AC$74,8)</f>
        <v>0b000X00X0000000000000000000000000</v>
      </c>
      <c r="L101" t="str">
        <f>"    FLEXIO-&gt;CTRL "&amp;IF('Module Domains'!$F$57=1,"|= ","&amp;= ~")&amp;"FLEXIO_CTRL_FASTACC_MASK;  //Fast access is "&amp;IF('Module Domains'!$F$57=0,"disabled.","enabled.  Functional clock must be at least twice the bus clock.")</f>
        <v xml:space="preserve">    FLEXIO-&gt;CTRL &amp;= ~FLEXIO_CTRL_FASTACC_MASK;  //Fast access is disabled.</v>
      </c>
      <c r="AD101" t="str">
        <f>"    //This function only configures PCC and clock select. Does not configure time segment lengths"</f>
        <v xml:space="preserve">    //This function only configures PCC and clock select. Does not configure time segment lengths</v>
      </c>
    </row>
    <row r="102" spans="1:30" x14ac:dyDescent="0.25">
      <c r="A102" s="53" t="s">
        <v>3135</v>
      </c>
      <c r="B102" s="68" t="str">
        <f>"0bX0X"&amp;DEC2BIN('SAI Clocking'!$AL$76,1)&amp;"000X000XXXXX000XXXXX000000XX"</f>
        <v>0bX0X0000X000XXXXX000XXXXX000000XX</v>
      </c>
      <c r="L102" t="str">
        <f>""</f>
        <v/>
      </c>
      <c r="AD102" t="str">
        <f>""</f>
        <v/>
      </c>
    </row>
    <row r="103" spans="1:30" x14ac:dyDescent="0.25">
      <c r="A103" s="53" t="s">
        <v>3136</v>
      </c>
      <c r="B103" s="68" t="str">
        <f>"0b"&amp;DEC2BIN(('SAI Clocking'!$AS$91*POWER(2,1))+('SAI Clocking'!$AP$91),3)&amp;"X"&amp;DEC2BIN('SAI Clocking'!$T$85,2)&amp;"X"&amp;DEC2BIN('SAI Clocking'!$AH$91,1)&amp;"0000000000000000"&amp;DEC2BIN('SAI Clocking'!$AC$91,8)</f>
        <v>0b000X00X0000000000000000000000000</v>
      </c>
      <c r="L103" t="str">
        <f>"    //Configure LPI2C0"</f>
        <v xml:space="preserve">    //Configure LPI2C0</v>
      </c>
      <c r="AD103" t="str">
        <f>"    //FlexCAN0"</f>
        <v xml:space="preserve">    //FlexCAN0</v>
      </c>
    </row>
    <row r="104" spans="1:30" x14ac:dyDescent="0.25">
      <c r="A104" s="53" t="s">
        <v>3137</v>
      </c>
      <c r="B104" s="68" t="str">
        <f>"0bX0X"&amp;DEC2BIN('SAI Clocking'!$AL$91,1)&amp;"000X000XXXXX000XXXXX000000XX"</f>
        <v>0bX0X0000X000XXXXX000XXXXX000000XX</v>
      </c>
      <c r="L104" t="str">
        <f>"    PCC-&gt;PCCn[PCC_LPI2C0_INDEX] = PCC_PCCn_PR_MASK|PCC_PCCn_CGC("&amp;'Module Domains'!$F$72&amp;")|PCC_PCCn_PCS("&amp;'Module Domains'!$F$79&amp;");  //LPI2C0 BIU clock is "&amp;IF('Module Domains'!$F$72=1,"enabled ("&amp;'Module Domains'!D70&amp;" MHz)","disabled")&amp;" and peripheral clock is "&amp;IF('Module Domains'!$F$79=0,"off",IF('Module Domains'!$F$79=1,"SOSCDIV2_CLK",IF('Module Domains'!$F$79=2,"SIRCDIV2_CLK",IF('Module Domains'!$F$79=3,"FIRCDIV2_CLK",IF('Module Domains'!$F$79=6,"SPLLDIV2_CLK","invalid")))))&amp;" ("&amp;'Module Domains'!D77&amp;" MHz)."</f>
        <v xml:space="preserve">    PCC-&gt;PCCn[PCC_LPI2C0_INDEX] = PCC_PCCn_PR_MASK|PCC_PCCn_CGC(0)|PCC_PCCn_PCS(0);  //LPI2C0 BIU clock is disabled and peripheral clock is off (0 MHz).</v>
      </c>
      <c r="AD104" t="str">
        <f>"    PCC-&gt;PCCn[PCC_FlexCAN0_INDEX] = PCC_PCCn_PR_MASK|PCC_PCCn_CGC("&amp;'Module Domains'!AI60&amp;");  //FlexCAN0 BIU is "&amp;IF('Module Domains'!AI60=1,"enabled ("&amp;'Module Domains'!AK57&amp;" MHz)","disabled")&amp;"."</f>
        <v xml:space="preserve">    PCC-&gt;PCCn[PCC_FlexCAN0_INDEX] = PCC_PCCn_PR_MASK|PCC_PCCn_CGC(0);  //FlexCAN0 BIU is disabled.</v>
      </c>
    </row>
    <row r="105" spans="1:30" x14ac:dyDescent="0.25">
      <c r="A105" s="53" t="s">
        <v>3139</v>
      </c>
      <c r="B105" s="68" t="str">
        <f>"0x"&amp;DEC2HEX((POWER(2,31))+('ENET Clocking'!$N$16*POWER(2,30))+('ENET Clocking'!$N$36*POWER(2,24))+('ENET Clocking'!$R$36*POWER(2,3))+('ENET Clocking'!$U$36),8)</f>
        <v>0x80000000</v>
      </c>
      <c r="L105" t="str">
        <f>""</f>
        <v/>
      </c>
      <c r="AD105" t="str">
        <f>"    //FlexCAN0 CHI clock is "&amp;'CAN Clocking'!D15&amp;" MHz."</f>
        <v xml:space="preserve">    //FlexCAN0 CHI clock is 112 MHz.</v>
      </c>
    </row>
    <row r="106" spans="1:30" x14ac:dyDescent="0.25">
      <c r="A106" s="53" t="s">
        <v>3140</v>
      </c>
      <c r="B106" s="68" t="str">
        <f>"0xX"&amp;DEC2HEX(('QSPI Clocking'!V38*POWER(2,2))+('ENET Clocking'!$AP$23*POWER(2,1))+('ENET Clocking'!$AT$17),1)&amp;"XXXX00"</f>
        <v>0xX0XXXX00</v>
      </c>
      <c r="L106" t="str">
        <f>"    //Configure LPUART0"</f>
        <v xml:space="preserve">    //Configure LPUART0</v>
      </c>
      <c r="AD106" t="str">
        <f>"    CAN0-&gt;CTRL1 "&amp;IF('Module Domains'!AL71,"|= ","&amp;= ~")&amp;"CAN_CTRL1_CLKSRC_MASK;  //FlexCAN0 protocol clock is "&amp;IF('Module Domains'!AL71=0,"SOSCDIV2_CLK","SYS_CLK")&amp;" and used to generate the CAN time segments ("&amp;'Module Domains'!AN69&amp;" MHz)."</f>
        <v xml:space="preserve">    CAN0-&gt;CTRL1 &amp;= ~CAN_CTRL1_CLKSRC_MASK;  //FlexCAN0 protocol clock is SOSCDIV2_CLK and used to generate the CAN time segments (0 MHz).</v>
      </c>
    </row>
    <row r="107" spans="1:30" x14ac:dyDescent="0.25">
      <c r="A107" s="53" t="s">
        <v>3141</v>
      </c>
      <c r="B107" s="68" t="str">
        <f>"0x"&amp;DEC2HEX(('CAN Clocking'!G44*POWER(2,31))+('CAN Clocking'!M44*POWER(2,21))+('CAN Clocking'!T44*POWER(2,16))+('CAN Clocking'!AA44*POWER(2,10))+('CAN Clocking'!AA52*POWER(2,5))+('CAN Clocking'!AA59),8)</f>
        <v>0x00000000</v>
      </c>
      <c r="L107" t="str">
        <f>"    PCC-&gt;PCCn[PCC_LPUART0_INDEX] = PCC_PCCn_PR_MASK|PCC_PCCn_CGC("&amp;'Module Domains'!$F$90&amp;")|PCC_PCCn_PCS("&amp;'Module Domains'!$F$97&amp;");  //LPUART0 BIU clock is "&amp;IF('Module Domains'!$F$90=1,"enabled ("&amp;'Module Domains'!D88&amp;" MHz)","disabled")&amp;" and peripheral clock is "&amp;IF('Module Domains'!$F$97=0,"off",IF('Module Domains'!$F$97=1,"SOSCDIV2_CLK",IF('Module Domains'!$F$97=2,"SIRCDIV2_CLK",IF('Module Domains'!$F$97=3,"FIRCDIV2_CLK",IF('Module Domains'!$F$97=6,"SPLLDIV2_CLK","invalid")))))&amp;" ("&amp;'Module Domains'!D95&amp;" MHz)."</f>
        <v xml:space="preserve">    PCC-&gt;PCCn[PCC_LPUART0_INDEX] = PCC_PCCn_PR_MASK|PCC_PCCn_CGC(0)|PCC_PCCn_PCS(0);  //LPUART0 BIU clock is disabled and peripheral clock is off (0 MHz).</v>
      </c>
      <c r="AD107" t="str">
        <f>""</f>
        <v/>
      </c>
    </row>
    <row r="108" spans="1:30" x14ac:dyDescent="0.25">
      <c r="A108" s="53" t="s">
        <v>3142</v>
      </c>
      <c r="B108" s="68" t="str">
        <f>"0bXXXXX0XXX0XX00XXXXXX"&amp;DEC2BIN('CAN Clocking'!G74,1)&amp;"0XX0XXXXXXX"</f>
        <v>0bXXXXX0XXX0XX00XXXXXX00XX0XXXXXXX</v>
      </c>
      <c r="L108" t="str">
        <f>""</f>
        <v/>
      </c>
      <c r="AD108" t="str">
        <f>"    //FlexCAN1"</f>
        <v xml:space="preserve">    //FlexCAN1</v>
      </c>
    </row>
    <row r="109" spans="1:30" x14ac:dyDescent="0.25">
      <c r="A109" s="53" t="s">
        <v>3143</v>
      </c>
      <c r="B109" s="68" t="str">
        <f>"0x"&amp;DEC2HEX('CAN Clocking'!K74*POWER(2,3),1)&amp;"00XXXXX"</f>
        <v>0x800XXXXX</v>
      </c>
      <c r="L109" t="str">
        <f>"    //Configure EWM"</f>
        <v xml:space="preserve">    //Configure EWM</v>
      </c>
      <c r="AD109" t="str">
        <f>"    PCC-&gt;PCCn[PCC_FlexCAN1_INDEX] = PCC_PCCn_PR_MASK|PCC_PCCn_CGC("&amp;'Module Domains'!AI265&amp;");  //FlexCAN1 BIU is "&amp;IF('Module Domains'!AI265=1,"enabled ("&amp;'Module Domains'!AK262&amp;" MHz)","disabled")&amp;"."</f>
        <v xml:space="preserve">    PCC-&gt;PCCn[PCC_FlexCAN1_INDEX] = PCC_PCCn_PR_MASK|PCC_PCCn_CGC(0);  //FlexCAN1 BIU is disabled.</v>
      </c>
    </row>
    <row r="110" spans="1:30" x14ac:dyDescent="0.25">
      <c r="A110" s="53" t="s">
        <v>3144</v>
      </c>
      <c r="B110" s="68" t="str">
        <f>"0x"&amp;DEC2HEX(('CAN Clocking'!Q74*POWER(2,20))+('CAN Clocking'!U74*POWER(2,16))+('CAN Clocking'!AA74*POWER(2,10))+('CAN Clocking'!AA82*POWER(2,5))+('CAN Clocking'!AA89),8)</f>
        <v>0x00000000</v>
      </c>
      <c r="L110" t="str">
        <f>"    PCC-&gt;PCCn[PCC_EWM_INDEX] "&amp;IF('Module Domains'!$F$108=1,"|= ","&amp;= ~")&amp;"PCC_PCCn_CGC_MASK;  //EWM BIU clock is "&amp;IF('Module Domains'!$F$108=1,"enabled ("&amp;'Module Domains'!D108&amp;" MHz)","disabled")&amp;".  Low power clock is "&amp;'Module Domains'!D112*1000&amp;" kHz."</f>
        <v xml:space="preserve">    PCC-&gt;PCCn[PCC_EWM_INDEX] &amp;= ~PCC_PCCn_CGC_MASK;  //EWM BIU clock is disabled.  Low power clock is 130.75 kHz.</v>
      </c>
      <c r="AD110" t="str">
        <f>"    //FlexCAN1 CHI clock is "&amp;'CAN Clocking'!D110&amp;" MHz."</f>
        <v xml:space="preserve">    //FlexCAN1 CHI clock is 112 MHz.</v>
      </c>
    </row>
    <row r="111" spans="1:30" x14ac:dyDescent="0.25">
      <c r="A111" s="53" t="s">
        <v>3145</v>
      </c>
      <c r="B111" s="68" t="str">
        <f>"0x"&amp;DEC2HEX(('CAN Clocking'!G140*POWER(2,31))+('CAN Clocking'!M140*POWER(2,21))+('CAN Clocking'!T140*POWER(2,16))+('CAN Clocking'!AA140*POWER(2,10))+('CAN Clocking'!AA148*POWER(2,5))+('CAN Clocking'!AA155),8)</f>
        <v>0x00000000</v>
      </c>
      <c r="L111" t="str">
        <f>""</f>
        <v/>
      </c>
      <c r="AD111" t="str">
        <f>"    CAN1-&gt;CTRL1 "&amp;IF('Module Domains'!AL276,"|= ","&amp;= ~")&amp;"CAN_CTRL1_CLKSRC_MASK;  //FlexCAN1 protocol clock is "&amp;IF('Module Domains'!AL276=0,"SOSCDIV2_CLK","SYS_CLK")&amp;" and used to generate the CAN time segments ("&amp;'Module Domains'!AN273&amp;" MHz)."</f>
        <v xml:space="preserve">    CAN1-&gt;CTRL1 |= CAN_CTRL1_CLKSRC_MASK;  //FlexCAN1 protocol clock is SYS_CLK and used to generate the CAN time segments (112 MHz).</v>
      </c>
    </row>
    <row r="112" spans="1:30" x14ac:dyDescent="0.25">
      <c r="A112" s="53" t="s">
        <v>3146</v>
      </c>
      <c r="B112" s="68" t="str">
        <f>"0bXXXXX0XXX0XX00XXXXXX"&amp;DEC2BIN('CAN Clocking'!G170,1)&amp;"0XX0XXXXXXX"</f>
        <v>0bXXXXX0XXX0XX00XXXXXX00XX0XXXXXXX</v>
      </c>
      <c r="L112" t="str">
        <f>"    //Configure WDOG"</f>
        <v xml:space="preserve">    //Configure WDOG</v>
      </c>
      <c r="AD112" t="str">
        <f>""</f>
        <v/>
      </c>
    </row>
    <row r="113" spans="1:30" x14ac:dyDescent="0.25">
      <c r="A113" s="53" t="s">
        <v>3147</v>
      </c>
      <c r="B113" s="68" t="str">
        <f>"0x"&amp;DEC2HEX('CAN Clocking'!K170*POWER(2,3),1)&amp;"00XXXXX"</f>
        <v>0x800XXXXX</v>
      </c>
      <c r="L113" t="str">
        <f>"    temp = WDOG-&gt;CS;  //Copy current register value"</f>
        <v xml:space="preserve">    temp = WDOG-&gt;CS;  //Copy current register value</v>
      </c>
      <c r="AD113" t="str">
        <f>"    //FlexCAN2"</f>
        <v xml:space="preserve">    //FlexCAN2</v>
      </c>
    </row>
    <row r="114" spans="1:30" x14ac:dyDescent="0.25">
      <c r="A114" s="53" t="s">
        <v>3148</v>
      </c>
      <c r="B114" s="68" t="str">
        <f>"0x"&amp;DEC2HEX(('CAN Clocking'!Q170*POWER(2,20))+('CAN Clocking'!U170*POWER(2,16))+('CAN Clocking'!AA170*POWER(2,10))+('CAN Clocking'!AA178*POWER(2,5))+('CAN Clocking'!AA185),8)</f>
        <v>0x00000000</v>
      </c>
      <c r="L114" t="str">
        <f>"    temp &amp;= ~(WDOG_CS_CLK_MASK|WDOG_CS_STOP_MASK);  //Clear the clock select and STOP mode enable fields"</f>
        <v xml:space="preserve">    temp &amp;= ~(WDOG_CS_CLK_MASK|WDOG_CS_STOP_MASK);  //Clear the clock select and STOP mode enable fields</v>
      </c>
      <c r="AD114" t="str">
        <f>"    PCC-&gt;PCCn[PCC_FlexCAN2_INDEX] = PCC_PCCn_PR_MASK|PCC_PCCn_CGC("&amp;'Module Domains'!AI282&amp;");  //FlexCAN2 BIU is "&amp;IF('Module Domains'!AI282=1,"enabled ("&amp;'Module Domains'!AK279&amp;" MHz)","disabled")&amp;"."</f>
        <v xml:space="preserve">    PCC-&gt;PCCn[PCC_FlexCAN2_INDEX] = PCC_PCCn_PR_MASK|PCC_PCCn_CGC(0);  //FlexCAN2 BIU is disabled.</v>
      </c>
    </row>
    <row r="115" spans="1:30" x14ac:dyDescent="0.25">
      <c r="A115" s="53" t="s">
        <v>3149</v>
      </c>
      <c r="B115" s="68" t="str">
        <f>"0x"&amp;DEC2HEX(('CAN Clocking'!G230*POWER(2,31))+('CAN Clocking'!M230*POWER(2,21))+('CAN Clocking'!T230*POWER(2,16))+('CAN Clocking'!AA230*POWER(2,10))+('CAN Clocking'!AA238*POWER(2,5))+('CAN Clocking'!AA245),8)</f>
        <v>0x00000000</v>
      </c>
      <c r="L115" t="str">
        <f>"    temp |= WDOG_CS_CLK("&amp;'Module Domains'!$F$124&amp;")|WDOG_CS_STOP("&amp;'Module Domains'!$B$129&amp;");  //"&amp;IF('Module Domains'!$F$124=0,"BUS_CLK",IF('Module Domains'!$F$124=1,"LPO_CLK",IF('Module Domains'!$F$124=2,"SOSC_CLK","SIRC_CLK")))&amp;" is selected as WDOG clock and WDOG is "&amp;IF('Module Domains'!$B$129=0,"disabled","enabled")&amp;" in STOPn mode."</f>
        <v xml:space="preserve">    temp |= WDOG_CS_CLK(1)|WDOG_CS_STOP(0);  //LPO_CLK is selected as WDOG clock and WDOG is disabled in STOPn mode.</v>
      </c>
      <c r="AD115" t="str">
        <f>"    //FlexCAN2 CHI clock is "&amp;'CAN Clocking'!D200&amp;" MHz."</f>
        <v xml:space="preserve">    //FlexCAN2 CHI clock is 112 MHz.</v>
      </c>
    </row>
    <row r="116" spans="1:30" x14ac:dyDescent="0.25">
      <c r="A116" s="53" t="s">
        <v>3150</v>
      </c>
      <c r="B116" s="68" t="str">
        <f>"0bXXXXX0XXX0XX00XXXXXX"&amp;DEC2BIN('CAN Clocking'!G261,1)&amp;"0XX0XXXXXXX"</f>
        <v>0bXXXXX0XXX0XX00XXXXXX00XX0XXXXXXX</v>
      </c>
      <c r="L116" t="str">
        <f>"    WDOG-&gt;CS = temp;  //Write new value to register.  WDOG BIU is "&amp;'Module Domains'!K12&amp;" MHz and WDOG clock is "&amp;'Module Domains'!D121&amp;" MHz."</f>
        <v xml:space="preserve">    WDOG-&gt;CS = temp;  //Write new value to register.  WDOG BIU is 112 MHz and WDOG clock is 0.13075 MHz.</v>
      </c>
      <c r="AD116" t="str">
        <f>"    CAN2-&gt;CTRL1 "&amp;IF('Module Domains'!AL293,"|= ","&amp;= ~")&amp;"CAN_CTRL1_CLKSRC_MASK;  //FlexCAN2 protocol clock is "&amp;IF('Module Domains'!AL293=0,"SOSCDIV2_CLK","SYS_CLK")&amp;" and used to generate the CAN time segments ("&amp;'Module Domains'!AN290&amp;" MHz)."</f>
        <v xml:space="preserve">    CAN2-&gt;CTRL1 &amp;= ~CAN_CTRL1_CLKSRC_MASK;  //FlexCAN2 protocol clock is SOSCDIV2_CLK and used to generate the CAN time segments (0 MHz).</v>
      </c>
    </row>
    <row r="117" spans="1:30" x14ac:dyDescent="0.25">
      <c r="A117" s="53" t="s">
        <v>3151</v>
      </c>
      <c r="B117" s="68" t="str">
        <f>"0x"&amp;DEC2HEX('CAN Clocking'!K261*POWER(2,3),1)&amp;"00XXXXX"</f>
        <v>0x800XXXXX</v>
      </c>
      <c r="L117" t="str">
        <f>""</f>
        <v/>
      </c>
      <c r="AD117" t="str">
        <f>"}"</f>
        <v>}</v>
      </c>
    </row>
    <row r="118" spans="1:30" x14ac:dyDescent="0.25">
      <c r="A118" s="53" t="s">
        <v>3152</v>
      </c>
      <c r="B118" s="68" t="str">
        <f>"0x"&amp;DEC2HEX(('CAN Clocking'!Q261*POWER(2,20))+('CAN Clocking'!U261*POWER(2,16))+('CAN Clocking'!AA261*POWER(2,10))+('CAN Clocking'!AA269*POWER(2,5))+('CAN Clocking'!AA276),8)</f>
        <v>0x00000000</v>
      </c>
      <c r="L118" t="str">
        <f>"    //Configure RCM"</f>
        <v xml:space="preserve">    //Configure RCM</v>
      </c>
    </row>
    <row r="119" spans="1:30" x14ac:dyDescent="0.25">
      <c r="A119" s="53" t="s">
        <v>3153</v>
      </c>
      <c r="B119" s="68" t="str">
        <f>"0x"&amp;DEC2HEX((POWER(2,31))+('QSPI Clocking'!R27*POWER(2,30)),8)</f>
        <v>0x80000000</v>
      </c>
      <c r="L119" t="str">
        <f>"    temp = RCM-&gt;RPC;  //Get current register value"</f>
        <v xml:space="preserve">    temp = RCM-&gt;RPC;  //Get current register value</v>
      </c>
    </row>
    <row r="120" spans="1:30" x14ac:dyDescent="0.25">
      <c r="A120" s="53" t="s">
        <v>3154</v>
      </c>
      <c r="B120" s="68" t="str">
        <f>"0bX"&amp;DEC2BIN('QSPI Clocking'!R16,1)&amp;DEC2BIN('QSPI Clocking'!AI38,1)&amp;DEC2BIN('QSPI Clocking'!R38,1)&amp;"X"&amp;DEC2BIN('QSPI Clocking'!AF84,1)&amp;"X"&amp;DEC2BIN('QSPI Clocking'!AF72,1)&amp;"0000XXXXXX00000XXXXXXXXX"</f>
        <v>0bX000X0X00000XXXXXX00000XXXXXXXXX</v>
      </c>
      <c r="L120" t="str">
        <f>"    temp &amp;= ~RCM_RPC_RSTFLTSRW_MASK;  //Clear the reset pin filter clock field"</f>
        <v xml:space="preserve">    temp &amp;= ~RCM_RPC_RSTFLTSRW_MASK;  //Clear the reset pin filter clock field</v>
      </c>
    </row>
    <row r="121" spans="1:30" ht="15" thickBot="1" x14ac:dyDescent="0.3">
      <c r="A121" s="54" t="s">
        <v>3155</v>
      </c>
      <c r="B121" s="69" t="str">
        <f>"0x"&amp;DEC2HEX(('QSPI Clocking'!AD38*POWER(2,1))+('QSPI Clocking'!Z38),1)&amp;"XXXXXXX"</f>
        <v>0x0XXXXXXX</v>
      </c>
      <c r="L121" t="str">
        <f>"    temp |= RCM_RPC_RSTFLTSRW("&amp;'Module Domains'!F138&amp;");  //Reset pin filter clock is "&amp;IF('Module Domains'!F138=0,"off",IF('Module Domains'!F138=1,"BUS_CLK","LPO128K_CLK"))&amp;"."</f>
        <v xml:space="preserve">    temp |= RCM_RPC_RSTFLTSRW(0);  //Reset pin filter clock is off.</v>
      </c>
    </row>
    <row r="122" spans="1:30" x14ac:dyDescent="0.25">
      <c r="L122" t="str">
        <f>"    RCM-&gt;RPC = temp;  //Write new value to register. RCM is in full functionality. RCM BIU is "&amp;'Module Domains'!K12&amp;" MHz and filter clock is "&amp;'Module Domains'!D135&amp;" MHz."</f>
        <v xml:space="preserve">    RCM-&gt;RPC = temp;  //Write new value to register. RCM is in full functionality. RCM BIU is 112 MHz and filter clock is 0 MHz.</v>
      </c>
    </row>
    <row r="123" spans="1:30" x14ac:dyDescent="0.25">
      <c r="L123" t="str">
        <f>""</f>
        <v/>
      </c>
    </row>
    <row r="124" spans="1:30" x14ac:dyDescent="0.25">
      <c r="L124" t="str">
        <f>"    //Configure FTFC"</f>
        <v xml:space="preserve">    //Configure FTFC</v>
      </c>
    </row>
    <row r="125" spans="1:30" x14ac:dyDescent="0.25">
      <c r="L125" t="str">
        <f>"    PCC-&gt;PCCn[PCC_FTFC_INDEX] "&amp;IF('Module Domains'!F146=1,"|= ","&amp;= ~")&amp;"PCC_PCCn_CGC_MASK;  //FTFC BIU clock is "&amp;IF('Module Domains'!F146=1,"enabled ("&amp;'Module Domains'!D143&amp;" MHz)","disabled")&amp;"."</f>
        <v xml:space="preserve">    PCC-&gt;PCCn[PCC_FTFC_INDEX] |= PCC_PCCn_CGC_MASK;  //FTFC BIU clock is enabled (56 MHz).</v>
      </c>
    </row>
    <row r="126" spans="1:30" x14ac:dyDescent="0.25">
      <c r="L126" t="str">
        <f>""</f>
        <v/>
      </c>
    </row>
    <row r="127" spans="1:30" x14ac:dyDescent="0.25">
      <c r="L127" t="str">
        <f>"    //NVIC uses CORE_CLK ("&amp;'Module Domains'!I153&amp;" MHz), SMC uses BUS_CLK ("&amp;'Module Domains'!K12&amp;" MHz) and is in "&amp;'Module Domains'!B162&amp;", and Cache uses SYS_CLK ("&amp;'Module Domains'!M12&amp;" MHz) and is in "&amp;'Module Domains'!B168&amp;"."</f>
        <v xml:space="preserve">    //NVIC uses CORE_CLK (112 MHz), SMC uses BUS_CLK (112 MHz) and is in Full Functionality, and Cache uses SYS_CLK (112 MHz) and is in Full Functionality.</v>
      </c>
    </row>
    <row r="128" spans="1:30" x14ac:dyDescent="0.25">
      <c r="L128" t="str">
        <f>""</f>
        <v/>
      </c>
    </row>
    <row r="129" spans="12:12" x14ac:dyDescent="0.25">
      <c r="L129" t="str">
        <f>"    //Configure LPSPI1"</f>
        <v xml:space="preserve">    //Configure LPSPI1</v>
      </c>
    </row>
    <row r="130" spans="12:12" x14ac:dyDescent="0.25">
      <c r="L130" t="str">
        <f>"    PCC-&gt;PCCn[PCC_LPSPI1_INDEX] = PCC_PCCn_PR_MASK|PCC_PCCn_CGC("&amp;'Module Domains'!F196&amp;")|PCC_PCCn_PCS("&amp;'Module Domains'!F204&amp;");  //LPSPI1 BIU clock is "&amp;IF('Module Domains'!F196=1,"enabled ("&amp;'Module Domains'!D195&amp;" MHz)","disabled")&amp;" and peripheral clock is "&amp;IF('Module Domains'!F204=0,"off",IF('Module Domains'!F204=1,"SOSCDIV2_CLK",IF('Module Domains'!F204=2,"SIRCDIV2_CLK",IF('Module Domains'!F204=3,"FIRCDIV2_CLK",IF('Module Domains'!F204=6,"SPLLDIV2_CLK","invalid")))))&amp;" ("&amp;'Module Domains'!D201&amp;" MHz)."</f>
        <v xml:space="preserve">    PCC-&gt;PCCn[PCC_LPSPI1_INDEX] = PCC_PCCn_PR_MASK|PCC_PCCn_CGC(0)|PCC_PCCn_PCS(0);  //LPSPI1 BIU clock is disabled and peripheral clock is off (0 MHz).</v>
      </c>
    </row>
    <row r="131" spans="12:12" x14ac:dyDescent="0.25">
      <c r="L131" t="str">
        <f>""</f>
        <v/>
      </c>
    </row>
    <row r="132" spans="12:12" x14ac:dyDescent="0.25">
      <c r="L132" t="str">
        <f>"    //Flash and Flex Memory modules use FLASH_CLK ("&amp;'Module Domains'!D216&amp;" MHz). Flash Memory in "&amp;'Module Domains'!B221&amp;" and Flex Memory in "&amp;'Module Domains'!B227&amp;"."</f>
        <v xml:space="preserve">    //Flash and Flex Memory modules use FLASH_CLK (56 MHz). Flash Memory in Read Only and Flex Memory in Full Functionality.</v>
      </c>
    </row>
    <row r="133" spans="12:12" x14ac:dyDescent="0.25">
      <c r="L133" t="str">
        <f>""</f>
        <v/>
      </c>
    </row>
    <row r="134" spans="12:12" x14ac:dyDescent="0.25">
      <c r="L134" t="str">
        <f>"    //Regulator, LVD/LVR, and Brown-out Detection require no clock. Regulator is in "&amp;'Module Domains'!B235&amp;", LVD/LVR is in "&amp;'Module Domains'!B243&amp;", and Brown-out Detection is in "&amp;'Module Domains'!B249&amp;"."</f>
        <v xml:space="preserve">    //Regulator, LVD/LVR, and Brown-out Detection require no clock. Regulator is in Run Regulation, LVD/LVR is in LVD and LVR Active, and Brown-out Detection is in Full Functionality.</v>
      </c>
    </row>
    <row r="135" spans="12:12" x14ac:dyDescent="0.25">
      <c r="L135" t="str">
        <f>""</f>
        <v/>
      </c>
    </row>
    <row r="136" spans="12:12" x14ac:dyDescent="0.25">
      <c r="L136" t="str">
        <f>"    //Configure LPSPI2"</f>
        <v xml:space="preserve">    //Configure LPSPI2</v>
      </c>
    </row>
    <row r="137" spans="12:12" x14ac:dyDescent="0.25">
      <c r="L137" t="str">
        <f>"    PCC-&gt;PCCn[PCC_LPSPI2_INDEX] = PCC_PCCn_PR_MASK|PCC_PCCn_CGC("&amp;'Module Domains'!F254&amp;")|PCC_PCCn_PCS("&amp;'Module Domains'!F263&amp;");  //LPSPI2 BIU clock is "&amp;IF('Module Domains'!F254=1,"enabled ("&amp;'Module Domains'!D253&amp;" MHz)","disabled")&amp;" and peripheral clock is "&amp;IF('Module Domains'!F263=0,"off",IF('Module Domains'!F263=1,"SOSCDIV2_CLK",IF('Module Domains'!F263=2,"SIRCDIV2_CLK",IF('Module Domains'!F263=3,"FIRCDIV2_CLK",IF('Module Domains'!F263=6,"SPLLDIV2_CLK","invalid")))))&amp;" ("&amp;'Module Domains'!D260&amp;" MHz)."</f>
        <v xml:space="preserve">    PCC-&gt;PCCn[PCC_LPSPI2_INDEX] = PCC_PCCn_PR_MASK|PCC_PCCn_CGC(0)|PCC_PCCn_PCS(0);  //LPSPI2 BIU clock is disabled and peripheral clock is off (0 MHz).</v>
      </c>
    </row>
    <row r="138" spans="12:12" x14ac:dyDescent="0.25">
      <c r="L138" t="str">
        <f>""</f>
        <v/>
      </c>
    </row>
    <row r="139" spans="12:12" x14ac:dyDescent="0.25">
      <c r="L139" t="str">
        <f>"    //Configure LPI2C1"</f>
        <v xml:space="preserve">    //Configure LPI2C1</v>
      </c>
    </row>
    <row r="140" spans="12:12" x14ac:dyDescent="0.25">
      <c r="L140" t="str">
        <f>"    PCC-&gt;PCCn[PCC_LPI2C1_INDEX] = PCC_PCCn_PR_MASK|PCC_PCCn_CGC("&amp;'Module Domains'!F274&amp;")|PCC_PCCn_PCS("&amp;'Module Domains'!F282&amp;");  //LPI2C1 BIU clock is "&amp;IF('Module Domains'!F274=1,"enabled ("&amp;'Module Domains'!D272&amp;" MHz)","disabled")&amp;" and peripheral clock is "&amp;IF('Module Domains'!F282=0,"off",IF('Module Domains'!F282=1,"SOSCDIV2_CLK",IF('Module Domains'!F282=2,"SIRCDIV2_CLK",IF('Module Domains'!F282=3,"FIRCDIV2_CLK",IF('Module Domains'!F282=6,"SPLLDIV2_CLK","invalid")))))&amp;" ("&amp;'Module Domains'!D278&amp;" MHz)."</f>
        <v xml:space="preserve">    PCC-&gt;PCCn[PCC_LPI2C1_INDEX] = PCC_PCCn_PR_MASK|PCC_PCCn_CGC(0)|PCC_PCCn_PCS(0);  //LPI2C1 BIU clock is disabled and peripheral clock is off (0 MHz).</v>
      </c>
    </row>
    <row r="141" spans="12:12" x14ac:dyDescent="0.25">
      <c r="L141" t="str">
        <f>""</f>
        <v/>
      </c>
    </row>
    <row r="142" spans="12:12" x14ac:dyDescent="0.25">
      <c r="L142" t="str">
        <f>"    //Configure LPUART1"</f>
        <v xml:space="preserve">    //Configure LPUART1</v>
      </c>
    </row>
    <row r="143" spans="12:12" x14ac:dyDescent="0.25">
      <c r="L143" t="str">
        <f>"    PCC-&gt;PCCn[PCC_LPUART1_INDEX] = PCC_PCCn_PR_MASK|PCC_PCCn_CGC("&amp;'Module Domains'!F294&amp;")|PCC_PCCn_PCS("&amp;'Module Domains'!F302&amp;");  //LPUART1 BIU clock is "&amp;IF('Module Domains'!F294=1,"enabled ("&amp;'Module Domains'!D293&amp;" MHz)","disabled")&amp;" and peripheral clock is "&amp;IF('Module Domains'!F302=0,"off",IF('Module Domains'!F302=1,"SOSCDIV2_CLK",IF('Module Domains'!F302=2,"SIRCDIV2_CLK",IF('Module Domains'!F302=3,"FIRCDIV2_CLK",IF('Module Domains'!F302=6,"SPLLDIV2_CLK","invalid")))))&amp;" ("&amp;'Module Domains'!D299&amp;" MHz)."</f>
        <v xml:space="preserve">    PCC-&gt;PCCn[PCC_LPUART1_INDEX] = PCC_PCCn_PR_MASK|PCC_PCCn_CGC(0)|PCC_PCCn_PCS(6);  //LPUART1 BIU clock is disabled and peripheral clock is SPLLDIV2_CLK (0 MHz).</v>
      </c>
    </row>
    <row r="144" spans="12:12" x14ac:dyDescent="0.25">
      <c r="L144" t="str">
        <f>""</f>
        <v/>
      </c>
    </row>
    <row r="145" spans="12:12" x14ac:dyDescent="0.25">
      <c r="L145" t="str">
        <f>"    //Configure LPUART2"</f>
        <v xml:space="preserve">    //Configure LPUART2</v>
      </c>
    </row>
    <row r="146" spans="12:12" x14ac:dyDescent="0.25">
      <c r="L146" t="str">
        <f>"    PCC-&gt;PCCn[PCC_LPUART2_INDEX] = PCC_PCCn_PR_MASK|PCC_PCCn_CGC("&amp;'Module Domains'!F316&amp;")|PCC_PCCn_PCS("&amp;'Module Domains'!F325&amp;");  //LPUART2 BIU is "&amp;IF('Module Domains'!F316=1,"enabled ("&amp;'Module Domains'!D315&amp;" MHz)","disabled")&amp;" and peripheral clock is "&amp;IF('Module Domains'!F325=0,"off",IF('Module Domains'!F325=1,"SOSCDIV2_CLK",IF('Module Domains'!F325=2,"SIRCDIV2_CLK",IF('Module Domains'!F325=3,"FIRCDIV2_CLK",IF('Module Domains'!F325=6,"SPLLDIV2_CLK","invalid")))))&amp;" ("&amp;'Module Domains'!D322&amp;" MHz)."</f>
        <v xml:space="preserve">    PCC-&gt;PCCn[PCC_LPUART2_INDEX] = PCC_PCCn_PR_MASK|PCC_PCCn_CGC(0)|PCC_PCCn_PCS(0);  //LPUART2 BIU is disabled and peripheral clock is off (0 MHz).</v>
      </c>
    </row>
    <row r="147" spans="12:12" x14ac:dyDescent="0.25">
      <c r="L147" t="str">
        <f>""</f>
        <v/>
      </c>
    </row>
    <row r="148" spans="12:12" x14ac:dyDescent="0.25">
      <c r="L148" t="str">
        <f>IF(Selected_Device="S32K14x","    //Configure PDB0","")</f>
        <v xml:space="preserve">    //Configure PDB0</v>
      </c>
    </row>
    <row r="149" spans="12:12" x14ac:dyDescent="0.25">
      <c r="L149" t="str">
        <f>IF(Selected_Device="S32K14x","    PCC-&gt;PCCn[PCC_PDB0_INDEX] "&amp;IF('Module Domains'!AK18=1,"|= ","&amp;= ~")&amp;"PCC_PCCn_CGC_MASK; //PDB0 is "&amp;IF('Module Domains'!AK18=1,"enabled ("&amp;'Module Domains'!AN16&amp;" MHz)","disabled")&amp;".","    //PDB0 not supported in S32K11x")</f>
        <v xml:space="preserve">    PCC-&gt;PCCn[PCC_PDB0_INDEX] &amp;= ~PCC_PCCn_CGC_MASK; //PDB0 is disabled.</v>
      </c>
    </row>
    <row r="150" spans="12:12" x14ac:dyDescent="0.25">
      <c r="L150" t="str">
        <f>""</f>
        <v/>
      </c>
    </row>
    <row r="151" spans="12:12" x14ac:dyDescent="0.25">
      <c r="L151" t="str">
        <f>"    //Configure DMAMUX"</f>
        <v xml:space="preserve">    //Configure DMAMUX</v>
      </c>
    </row>
    <row r="152" spans="12:12" x14ac:dyDescent="0.25">
      <c r="L152" t="str">
        <f>"    PCC-&gt;PCCn[PCC_DMAMUX_INDEX] "&amp;IF('Module Domains'!AK25=1,"|= ","&amp;= ~")&amp;"PCC_PCCn_CGC_MASK;  //DMAMUX is "&amp;IF('Module Domains'!AK25=1,"enabled ("&amp;'Module Domains'!AN23&amp;" MHz)","disabled")&amp;"."</f>
        <v xml:space="preserve">    PCC-&gt;PCCn[PCC_DMAMUX_INDEX] &amp;= ~PCC_PCCn_CGC_MASK;  //DMAMUX is disabled.</v>
      </c>
    </row>
    <row r="153" spans="12:12" x14ac:dyDescent="0.25">
      <c r="L153" t="str">
        <f>""</f>
        <v/>
      </c>
    </row>
    <row r="154" spans="12:12" x14ac:dyDescent="0.25">
      <c r="L154" t="str">
        <f>"    //Configure CMP0"</f>
        <v xml:space="preserve">    //Configure CMP0</v>
      </c>
    </row>
    <row r="155" spans="12:12" x14ac:dyDescent="0.25">
      <c r="L155" t="str">
        <f>"    PCC-&gt;PCCn[PCC_CMP0_INDEX] "&amp;IF('Module Domains'!AK32=1,"|= ","&amp;= ~")&amp;"PCC_PCCn_CGC_MASK;  //CMP0 is "&amp;IF('Module Domains'!AK32=1,"enabled ("&amp;'Module Domains'!AN31&amp;" MHz)","disabled")&amp;"."</f>
        <v xml:space="preserve">    PCC-&gt;PCCn[PCC_CMP0_INDEX] &amp;= ~PCC_PCCn_CGC_MASK;  //CMP0 is disabled.</v>
      </c>
    </row>
    <row r="156" spans="12:12" x14ac:dyDescent="0.25">
      <c r="L156" t="str">
        <f>""</f>
        <v/>
      </c>
    </row>
    <row r="157" spans="12:12" x14ac:dyDescent="0.25">
      <c r="L157" t="str">
        <f>"    //Configure CRC"</f>
        <v xml:space="preserve">    //Configure CRC</v>
      </c>
    </row>
    <row r="158" spans="12:12" x14ac:dyDescent="0.25">
      <c r="L158" t="str">
        <f>"    PCC-&gt;PCCn[PCC_CRC_INDEX] "&amp;IF('Module Domains'!AK39=1,"|= ","&amp;= ~")&amp;"PCC_PCCn_CGC_MASK;  //CRC is "&amp;IF('Module Domains'!AK39=1,"enabled ("&amp;'Module Domains'!AN35&amp;" MHz)","disabled")&amp;"."</f>
        <v xml:space="preserve">    PCC-&gt;PCCn[PCC_CRC_INDEX] &amp;= ~PCC_PCCn_CGC_MASK;  //CRC is disabled.</v>
      </c>
    </row>
    <row r="159" spans="12:12" x14ac:dyDescent="0.25">
      <c r="L159" t="str">
        <f>""</f>
        <v/>
      </c>
    </row>
    <row r="160" spans="12:12" x14ac:dyDescent="0.25">
      <c r="L160" t="str">
        <f>"    //Configure PORTA"</f>
        <v xml:space="preserve">    //Configure PORTA</v>
      </c>
    </row>
    <row r="161" spans="12:12" x14ac:dyDescent="0.25">
      <c r="L161" t="str">
        <f>"    PCC-&gt;PCCn[PCC_PORTA_INDEX] "&amp;IF('Module Domains'!AI50=1,"|= ","&amp;= ~")&amp;"PCC_PCCn_CGC_MASK;  //PORTA BIU is "&amp;IF('Module Domains'!AI50=1,"enabled ("&amp;'Module Domains'!AK47&amp;" MHz)","disabled")&amp;"."</f>
        <v xml:space="preserve">    PCC-&gt;PCCn[PCC_PORTA_INDEX] &amp;= ~PCC_PCCn_CGC_MASK;  //PORTA BIU is disabled.</v>
      </c>
    </row>
    <row r="162" spans="12:12" x14ac:dyDescent="0.25">
      <c r="L162" t="str">
        <f>"    PORTA-&gt;DFCR "&amp;IF('Module Domains'!AM54=1,"|= ","&amp;= ~")&amp;"PORTA_DFCR_CS_MASK;  //PORTA filter clock uses "&amp;IF('Module Domains'!AM54=1,"LPO128K_CLK ("&amp;'Module Domains'!AO50*1000&amp;" kHz)","BUS_CLK ("&amp;'Module Domains'!AO50&amp;" MHz)")&amp;"."</f>
        <v xml:space="preserve">    PORTA-&gt;DFCR &amp;= ~PORTA_DFCR_CS_MASK;  //PORTA filter clock uses BUS_CLK (0 MHz).</v>
      </c>
    </row>
    <row r="163" spans="12:12" x14ac:dyDescent="0.25">
      <c r="L163" t="str">
        <f>""</f>
        <v/>
      </c>
    </row>
    <row r="164" spans="12:12" x14ac:dyDescent="0.25">
      <c r="L164" t="str">
        <f>"    //Configure EIM"</f>
        <v xml:space="preserve">    //Configure EIM</v>
      </c>
    </row>
    <row r="165" spans="12:12" x14ac:dyDescent="0.25">
      <c r="L165" t="str">
        <f>"    SIM-&gt;PLATCGC "&amp;IF('Module Domains'!AI78=1,"|= ","&amp;= ~")&amp;"SIM_PLATCGC_CGCEIM_MASK;  //EIM is "&amp;IF('Module Domains'!AI78=1,"enabled ("&amp;'Module Domains'!AL74&amp;" MHz)","disabled")&amp;"."</f>
        <v xml:space="preserve">    SIM-&gt;PLATCGC |= SIM_PLATCGC_CGCEIM_MASK;  //EIM is enabled (112 MHz).</v>
      </c>
    </row>
    <row r="166" spans="12:12" x14ac:dyDescent="0.25">
      <c r="L166" t="str">
        <f>""</f>
        <v/>
      </c>
    </row>
    <row r="167" spans="12:12" x14ac:dyDescent="0.25">
      <c r="L167" t="str">
        <f>"    //Configure ERM"</f>
        <v xml:space="preserve">    //Configure ERM</v>
      </c>
    </row>
    <row r="168" spans="12:12" x14ac:dyDescent="0.25">
      <c r="L168" t="str">
        <f>"    SIM-&gt;PLATCGC "&amp;IF('Module Domains'!AI86=1,"|= ","&amp;= ~")&amp;"SIM_PLATCGC_CGCERM_MASK;  //ERM is "&amp;IF('Module Domains'!AI86=1,"enabled ("&amp;'Module Domains'!AL82&amp;" MHz)","disabled")&amp;"."</f>
        <v xml:space="preserve">    SIM-&gt;PLATCGC |= SIM_PLATCGC_CGCERM_MASK;  //ERM is enabled (112 MHz).</v>
      </c>
    </row>
    <row r="169" spans="12:12" x14ac:dyDescent="0.25">
      <c r="L169" t="str">
        <f>""</f>
        <v/>
      </c>
    </row>
    <row r="170" spans="12:12" x14ac:dyDescent="0.25">
      <c r="L170" t="str">
        <f>"    //Configure MSCM"</f>
        <v xml:space="preserve">    //Configure MSCM</v>
      </c>
    </row>
    <row r="171" spans="12:12" x14ac:dyDescent="0.25">
      <c r="L171" t="str">
        <f>"    SIM-&gt;PLATCGC "&amp;IF('Module Domains'!AI94=1,"|= ","&amp;= ~")&amp;"SIM_PLATCGC_CGCMSCM_MASK;  //MSCM is "&amp;IF('Module Domains'!AI94=1,"enabled ("&amp;'Module Domains'!AL90&amp;" MHz)","disabled")&amp;"."</f>
        <v xml:space="preserve">    SIM-&gt;PLATCGC |= SIM_PLATCGC_CGCMSCM_MASK;  //MSCM is enabled (112 MHz).</v>
      </c>
    </row>
    <row r="172" spans="12:12" x14ac:dyDescent="0.25">
      <c r="L172" t="str">
        <f>""</f>
        <v/>
      </c>
    </row>
    <row r="173" spans="12:12" x14ac:dyDescent="0.25">
      <c r="L173" t="str">
        <f>"    //Configure DMA"</f>
        <v xml:space="preserve">    //Configure DMA</v>
      </c>
    </row>
    <row r="174" spans="12:12" x14ac:dyDescent="0.25">
      <c r="L174" t="str">
        <f>"    SIM-&gt;PLATCGC "&amp;IF('Module Domains'!AI102=1,"|= ","&amp;= ~")&amp;"SIM_PLATCGC_CGCDMA_MASK;  //DMA is "&amp;IF('Module Domains'!AI102=1,"enabled ("&amp;'Module Domains'!AL99&amp;" MHz)","disabled")&amp;"."</f>
        <v xml:space="preserve">    SIM-&gt;PLATCGC |= SIM_PLATCGC_CGCDMA_MASK;  //DMA is enabled (112 MHz).</v>
      </c>
    </row>
    <row r="175" spans="12:12" x14ac:dyDescent="0.25">
      <c r="L175" t="str">
        <f>""</f>
        <v/>
      </c>
    </row>
    <row r="176" spans="12:12" x14ac:dyDescent="0.25">
      <c r="L176" t="str">
        <f>"    //Configure MPU"</f>
        <v xml:space="preserve">    //Configure MPU</v>
      </c>
    </row>
    <row r="177" spans="12:12" x14ac:dyDescent="0.25">
      <c r="L177" t="str">
        <f>"    SIM-&gt;PLATCGC "&amp;IF('Module Domains'!AI111=1,"|= ","&amp;= ~")&amp;"SIM_PLATCGC_CGCMPU_MASK;  //MPU is "&amp;IF('Module Domains'!AI111=1,"enabled ("&amp;'Module Domains'!AL108&amp;" MHz)","disabled")&amp;"."</f>
        <v xml:space="preserve">    SIM-&gt;PLATCGC |= SIM_PLATCGC_CGCMPU_MASK;  //MPU is enabled (112 MHz).</v>
      </c>
    </row>
    <row r="178" spans="12:12" x14ac:dyDescent="0.25">
      <c r="L178" t="str">
        <f>""</f>
        <v/>
      </c>
    </row>
    <row r="179" spans="12:12" x14ac:dyDescent="0.25">
      <c r="L179" t="str">
        <f>"    //SIM, PMC, and TRGMUX use BUS_CLK ("&amp;'Module Domains'!K12&amp;" MHz).  PMC is in "&amp;'Module Domains'!AQ127&amp;". TRGMUX is in "&amp;'Module Domains'!AQ135&amp;"."</f>
        <v xml:space="preserve">    //SIM, PMC, and TRGMUX use BUS_CLK (112 MHz).  PMC is in Full Functionality. TRGMUX is in Full Functionality.</v>
      </c>
    </row>
    <row r="180" spans="12:12" x14ac:dyDescent="0.25">
      <c r="L180" t="str">
        <f>""</f>
        <v/>
      </c>
    </row>
    <row r="181" spans="12:12" x14ac:dyDescent="0.25">
      <c r="L181" t="str">
        <f>"    //System RAM uses SYS_CLK ("&amp;'Module Domains'!M12&amp;" MHz) and is in "&amp;'Module Domains'!AQ142&amp;"."</f>
        <v xml:space="preserve">    //System RAM uses SYS_CLK (112 MHz) and is in Full Functionality.</v>
      </c>
    </row>
    <row r="182" spans="12:12" x14ac:dyDescent="0.25">
      <c r="L182" t="str">
        <f>""</f>
        <v/>
      </c>
    </row>
    <row r="183" spans="12:12" x14ac:dyDescent="0.25">
      <c r="L183" t="str">
        <f>"    //Configure ADC0"</f>
        <v xml:space="preserve">    //Configure ADC0</v>
      </c>
    </row>
    <row r="184" spans="12:12" x14ac:dyDescent="0.25">
      <c r="L184" t="str">
        <f>"    PCC-&gt;PCCn[PCC_ADC0_INDEX] = PCC_PCCn_PR_MASK|PCC_PCCn_CGC("&amp;'Module Domains'!AI146&amp;")|PCC_PCCn_PCS("&amp;'Module Domains'!AE154&amp;");  //ADC0 BIU clock is "&amp;IF('Module Domains'!AI146=1,"enabled ("&amp;'Module Domains'!AL144&amp;" MHz)","disabled")&amp;" and ALTCLK1 is "&amp;IF('Module Domains'!AE154=0,"off",IF('Module Domains'!AE154=1,"SOSCDIV2_CLK",IF('Module Domains'!AE154=2,"SIRCDIV2_CLK",IF('Module Domains'!AE154=3,"FIRCDIV2_CLK",IF('Module Domains'!AE154=6,"SPLLDIV2_CLK","invalid")))))&amp;" ("&amp;'Module Domains'!AG151&amp;" MHz)."</f>
        <v xml:space="preserve">    PCC-&gt;PCCn[PCC_ADC0_INDEX] = PCC_PCCn_PR_MASK|PCC_PCCn_CGC(0)|PCC_PCCn_PCS(0);  //ADC0 BIU clock is disabled and ALTCLK1 is off (0 MHz).</v>
      </c>
    </row>
    <row r="185" spans="12:12" x14ac:dyDescent="0.25">
      <c r="L185" t="str">
        <f>"    temp = ADC0-&gt;CFG1;  //Copy register for read-modify-write"</f>
        <v xml:space="preserve">    temp = ADC0-&gt;CFG1;  //Copy register for read-modify-write</v>
      </c>
    </row>
    <row r="186" spans="12:12" x14ac:dyDescent="0.25">
      <c r="L186" t="str">
        <f>"    temp &amp;= ~(ADC_CFG1_ADIV_MASK|ADC_CFG1_ADICLK_MASK);  //Clear the relevant fields"</f>
        <v xml:space="preserve">    temp &amp;= ~(ADC_CFG1_ADIV_MASK|ADC_CFG1_ADICLK_MASK);  //Clear the relevant fields</v>
      </c>
    </row>
    <row r="187" spans="12:12" x14ac:dyDescent="0.25">
      <c r="L187" t="str">
        <f>"    temp |= ADC_CFG1_ADIV("&amp;'Module Domains'!AM154&amp;")|ADC_CFG1_ADICLK("&amp;'Module Domains'!AI154&amp;");  //ALTCLK"&amp;SUM('Module Domains'!AI154,1)&amp;" is selected.  Only ALTCLK1 is connected in S32K14x.  ALTCLK1 is divided by "&amp;POWER(2,'Module Domains'!AM154)&amp;" so the final conversion clock frequency is "&amp;'Module Domains'!AO151&amp;" MHz."</f>
        <v xml:space="preserve">    temp |= ADC_CFG1_ADIV(0)|ADC_CFG1_ADICLK(0);  //ALTCLK1 is selected.  Only ALTCLK1 is connected in S32K14x.  ALTCLK1 is divided by 1 so the final conversion clock frequency is 0 MHz.</v>
      </c>
    </row>
    <row r="188" spans="12:12" x14ac:dyDescent="0.25">
      <c r="L188" t="str">
        <f>"    ADC0-&gt;CFG1 = temp;  //Write new value to register"</f>
        <v xml:space="preserve">    ADC0-&gt;CFG1 = temp;  //Write new value to register</v>
      </c>
    </row>
    <row r="189" spans="12:12" x14ac:dyDescent="0.25">
      <c r="L189" t="str">
        <f>""</f>
        <v/>
      </c>
    </row>
    <row r="190" spans="12:12" x14ac:dyDescent="0.25">
      <c r="L190" t="str">
        <f>"    //Configure FTM0"</f>
        <v xml:space="preserve">    //Configure FTM0</v>
      </c>
    </row>
    <row r="191" spans="12:12" x14ac:dyDescent="0.25">
      <c r="L191" t="str">
        <f>"    SIM-&gt;FTMOPT0 &amp;= ~SIM_FTMOPT0_FTM0CLKSEL_MASK;  //Clear the FTM0 TCLK select field"</f>
        <v xml:space="preserve">    SIM-&gt;FTMOPT0 &amp;= ~SIM_FTMOPT0_FTM0CLKSEL_MASK;  //Clear the FTM0 TCLK select field</v>
      </c>
    </row>
    <row r="192" spans="12:12" x14ac:dyDescent="0.25">
      <c r="L192" t="str">
        <f>"    SIM-&gt;FTMOPT0 |= SIM_FTMOPT0_FTM0CLKSEL("&amp;'Module Domains'!AG177&amp;");  //"&amp;IF('Module Domains'!AG177=0,"TCLK0",IF('Module Domains'!AG177=1,"TCLK1",IF('Module Domains'!AG177=2,"TCLK2","No clock input")))&amp;" is selected as input of TCLK signal ("&amp;'Module Domains'!AI178&amp;" MHz)."</f>
        <v xml:space="preserve">    SIM-&gt;FTMOPT0 |= SIM_FTMOPT0_FTM0CLKSEL(0);  //TCLK0 is selected as input of TCLK signal (0 MHz).</v>
      </c>
    </row>
    <row r="193" spans="12:12" x14ac:dyDescent="0.25">
      <c r="L193" t="str">
        <f>"    PCC-&gt;PCCn[PCC_FTM0_INDEX] = PCC_PCCn_PR_MASK|PCC_PCCn_CGC("&amp;'Module Domains'!AI169&amp;")|PCC_PCCn_PCS("&amp;'Module Domains'!AL185&amp;");  //FTM System Clock is "&amp;IF('Module Domains'!AI169=1,"enabled ("&amp;'Module Domains'!AL166&amp;" MHz)","disabled")&amp;" and FTM0 external clock is "&amp;IF('Module Domains'!AL185=0,"TCLK",IF('Module Domains'!AL185=1,"SOSCDIV1_CLK",IF('Module Domains'!AL185=2,"SIRCDIV1_CLK",IF('Module Domains'!AL185=3,"FIRCDIV1_CLK",IF('Module Domains'!AL185=6,"SPLLDIV1_CLK","invalid")))))&amp;" ("&amp;'Module Domains'!AN181&amp;" MHz)."</f>
        <v xml:space="preserve">    PCC-&gt;PCCn[PCC_FTM0_INDEX] = PCC_PCCn_PR_MASK|PCC_PCCn_CGC(0)|PCC_PCCn_PCS(0);  //FTM System Clock is disabled and FTM0 external clock is TCLK (0 MHz).</v>
      </c>
    </row>
    <row r="194" spans="12:12" x14ac:dyDescent="0.25">
      <c r="L194" t="str">
        <f>"    temp = FTM0-&gt;SC;  //Copy for read-modify-write"</f>
        <v xml:space="preserve">    temp = FTM0-&gt;SC;  //Copy for read-modify-write</v>
      </c>
    </row>
    <row r="195" spans="12:12" x14ac:dyDescent="0.25">
      <c r="L195" t="str">
        <f>"    temp &amp;= ~(FTM_SC_CLKS_MASK|FTM_SC_PS_MASK);  //Clear the relevant fields"</f>
        <v xml:space="preserve">    temp &amp;= ~(FTM_SC_CLKS_MASK|FTM_SC_PS_MASK);  //Clear the relevant fields</v>
      </c>
    </row>
    <row r="196" spans="12:12" x14ac:dyDescent="0.25">
      <c r="L196" t="str">
        <f>"    temp |= FTM_SC_CLKS("&amp;'Module Domains'!AQ176&amp;")|FTM_SC_PS("&amp;'Module Domains'!AU176&amp;");  //"&amp;IF('Module Domains'!AQ176=0,"No clock",IF('Module Domains'!AQ176=1,"FTM system clock",IF('Module Domains'!AQ176=2,"RTC_CLK","External clock")))&amp;" is selected as source of counter clock and is divided by "&amp;POWER(2,'Module Domains'!AU176)&amp;" ("&amp;'Module Domains'!AW173&amp;" MHz)."</f>
        <v xml:space="preserve">    temp |= FTM_SC_CLKS(0)|FTM_SC_PS(0);  //No clock is selected as source of counter clock and is divided by 1 (0 MHz).</v>
      </c>
    </row>
    <row r="197" spans="12:12" x14ac:dyDescent="0.25">
      <c r="L197" t="str">
        <f>"    FTM0-&gt;SC = temp; //Write new value to register"</f>
        <v xml:space="preserve">    FTM0-&gt;SC = temp; //Write new value to register</v>
      </c>
    </row>
    <row r="198" spans="12:12" x14ac:dyDescent="0.25">
      <c r="L198" t="str">
        <f>""</f>
        <v/>
      </c>
    </row>
    <row r="199" spans="12:12" x14ac:dyDescent="0.25">
      <c r="L199" t="str">
        <f>"    //Configure LPTMR"</f>
        <v xml:space="preserve">    //Configure LPTMR</v>
      </c>
    </row>
    <row r="200" spans="12:12" x14ac:dyDescent="0.25">
      <c r="L200" t="str">
        <f>"    PCC-&gt;PCCn[PCC_LPTMR0_INDEX] = PCC_PCCn_PR_MASK|PCC_PCCn_CGC("&amp;'Module Domains'!AS196&amp;")|PCC_PCCn_PCS("&amp;'Module Domains'!AG199&amp;")|PCC_PCCn_FRAC("&amp;'Module Domains'!AK199&amp;")|PCC_PCCn_PCD("&amp;'Module Domains'!AN199&amp;");  //LPTMR0 BIU clock is "&amp;IF('Module Domains'!AS196=1,"enabled ("&amp;'Module Domains'!AV192&amp;" MHz)","disabled")&amp;" and PCC clock is "&amp;IF('Module Domains'!AG199=0,"off",IF('Module Domains'!AG199=1,"SOSCDIV2_CLK",IF('Module Domains'!AG199=2,"SIRCDIV2_CLK",IF('Module Domains'!AG199=3,"FIRCDIV2_CLK",IF('Module Domains'!AG199=6,"SPLLDIV2_CLK","invalid")))))&amp;IF(OR('Module Domains'!AG199=0,'Module Domains'!AG199=4,'Module Domains'!AG199=5,'Module Domains'!AG199=7,AND('Module Domains'!AK199=0,'Module Domains'!AN199=0)),""," and is divided by "&amp;('Module Domains'!AK199+1)/('Module Domains'!AN199+1))&amp;" ("&amp;'Module Domains'!AP196&amp;" MHz)."</f>
        <v xml:space="preserve">    PCC-&gt;PCCn[PCC_LPTMR0_INDEX] = PCC_PCCn_PR_MASK|PCC_PCCn_CGC(0)|PCC_PCCn_PCS(0)|PCC_PCCn_FRAC(0)|PCC_PCCn_PCD(0);  //LPTMR0 BIU clock is disabled and PCC clock is off (0 MHz).</v>
      </c>
    </row>
    <row r="201" spans="12:12" x14ac:dyDescent="0.25">
      <c r="L201" t="str">
        <f>"    temp = LPTMR0-&gt;PSR;  //Copy for read-modify-write"</f>
        <v xml:space="preserve">    temp = LPTMR0-&gt;PSR;  //Copy for read-modify-write</v>
      </c>
    </row>
    <row r="202" spans="12:12" x14ac:dyDescent="0.25">
      <c r="L202" t="str">
        <f>"    temp &amp;= ~(LPTMR_PSR_PCS_MASK|LPTMR_PSR_PRESCALE_MASK|LPTMR_PSR_PBYP_MASK);"</f>
        <v xml:space="preserve">    temp &amp;= ~(LPTMR_PSR_PCS_MASK|LPTMR_PSR_PRESCALE_MASK|LPTMR_PSR_PBYP_MASK);</v>
      </c>
    </row>
    <row r="203" spans="12:12" x14ac:dyDescent="0.25">
      <c r="L203" t="str">
        <f>"    temp |= (LPTMR_PSR_PCS("&amp;'Module Domains'!AS211&amp;")|LPTMR_PSR_PRESCALE("&amp;'Module Domains'!AW211&amp;")|LPTMR_PSR_PBYP("&amp;'Module Domains'!BA199&amp;"));  //"&amp;IF('Module Domains'!AS211=0,"SIRCDIV2_CLK",IF('Module Domains'!AS211=1,"LPO1K_CLK",IF('Module Domains'!AS211=2,"RTC_CLK","PCC clock")))&amp;" is selected as sourece of LPTMR0 prescaler/glitch filter clock. "&amp;IF('Module Domains'!BA199=1,"The divider is bypassed","It is divided by "&amp;POWER(2,'Module Domains'!AW211+1)&amp;" and the glitch filter "&amp;IF('Module Domains'!AW211=0,"is not supported","recognizes changes after "&amp;POWER(2,'Module Domains'!AW211)&amp;" rising clock edges"))&amp;" ("&amp;'Module Domains'!BC196&amp;" MHz)."</f>
        <v xml:space="preserve">    temp |= (LPTMR_PSR_PCS(0)|LPTMR_PSR_PRESCALE(0)|LPTMR_PSR_PBYP(0));  //SIRCDIV2_CLK is selected as sourece of LPTMR0 prescaler/glitch filter clock. It is divided by 2 and the glitch filter is not supported (0 MHz).</v>
      </c>
    </row>
    <row r="204" spans="12:12" x14ac:dyDescent="0.25">
      <c r="L204" t="str">
        <f>"    LPTMR0-&gt;PSR = temp;  //Write new value to register"</f>
        <v xml:space="preserve">    LPTMR0-&gt;PSR = temp;  //Write new value to register</v>
      </c>
    </row>
    <row r="205" spans="12:12" x14ac:dyDescent="0.25">
      <c r="L205" t="str">
        <f>"    temp = LPTMR0-&gt;CSR;  //Copy for read-modify-write"</f>
        <v xml:space="preserve">    temp = LPTMR0-&gt;CSR;  //Copy for read-modify-write</v>
      </c>
    </row>
    <row r="206" spans="12:12" x14ac:dyDescent="0.25">
      <c r="L206" t="str">
        <f>"    temp &amp;= ~LPTMR_CSR_TPS_MASK;  //Clear the field"</f>
        <v xml:space="preserve">    temp &amp;= ~LPTMR_CSR_TPS_MASK;  //Clear the field</v>
      </c>
    </row>
    <row r="207" spans="12:12" x14ac:dyDescent="0.25">
      <c r="L207" t="str">
        <f>"    temp |= LPTMR_CSR_TPS("&amp;'Module Domains'!BC213&amp;");  //"&amp;IF('Module Domains'!BC213=0,"TRGMUX_LPTMR0",IF('Module Domains'!BC213=1,"LPTMR_ALT1",IF('Module Domains'!BC213=2,"LPTMR_ALT2","LPTMR_ALT3")))&amp;" is selected as source of LPTMR0 pulse counter."</f>
        <v xml:space="preserve">    temp |= LPTMR_CSR_TPS(0);  //TRGMUX_LPTMR0 is selected as source of LPTMR0 pulse counter.</v>
      </c>
    </row>
    <row r="208" spans="12:12" x14ac:dyDescent="0.25">
      <c r="L208" t="str">
        <f>"    LPTMR0-&gt;CSR = temp; // Write new value to register"</f>
        <v xml:space="preserve">    LPTMR0-&gt;CSR = temp; // Write new value to register</v>
      </c>
    </row>
    <row r="209" spans="12:12" x14ac:dyDescent="0.25">
      <c r="L209" t="str">
        <f>""</f>
        <v/>
      </c>
    </row>
    <row r="210" spans="12:12" x14ac:dyDescent="0.25">
      <c r="L210" t="str">
        <f>IF(Selected_Device="S32K14x","    //Configure PDB1","")</f>
        <v xml:space="preserve">    //Configure PDB1</v>
      </c>
    </row>
    <row r="211" spans="12:12" x14ac:dyDescent="0.25">
      <c r="L211" t="str">
        <f>IF('Device Select'!G17="S32K14x","    PCC-&gt;PCCn[PCC_PDB1_INDEX] = PCC_PCCn_PR_MASK|PCC_PCCn_CGC("&amp;'Module Domains'!AG216&amp;");  //PDB1 is "&amp;IF('Module Domains'!AG216=1,"enabled ("&amp;'Module Domains'!AI214&amp;" MHz)","disabled")&amp;".","    //PDB1 not supported in S32K11x.")</f>
        <v xml:space="preserve">    PCC-&gt;PCCn[PCC_PDB1_INDEX] = PCC_PCCn_PR_MASK|PCC_PCCn_CGC(0);  //PDB1 is disabled.</v>
      </c>
    </row>
    <row r="212" spans="12:12" x14ac:dyDescent="0.25">
      <c r="L212" t="str">
        <f>""</f>
        <v/>
      </c>
    </row>
    <row r="213" spans="12:12" x14ac:dyDescent="0.25">
      <c r="L213" t="str">
        <f>"    //Configure PORTB"</f>
        <v xml:space="preserve">    //Configure PORTB</v>
      </c>
    </row>
    <row r="214" spans="12:12" x14ac:dyDescent="0.25">
      <c r="L214" t="str">
        <f>"    PCC-&gt;PCCn[PCC_PORTB_INDEX] = PCC_PCCn_PR_MASK|PCC_PCCn_CGC("&amp;'Module Domains'!AI222&amp;");  //PORTB is "&amp;IF('Module Domains'!AI222=1,"enabled","disabled")&amp;" ("&amp;'Module Domains'!AK219&amp;" MHz)."</f>
        <v xml:space="preserve">    PCC-&gt;PCCn[PCC_PORTB_INDEX] = PCC_PCCn_PR_MASK|PCC_PCCn_CGC(0);  //PORTB is disabled (0 MHz).</v>
      </c>
    </row>
    <row r="215" spans="12:12" x14ac:dyDescent="0.25">
      <c r="L215" t="str">
        <f>"    PORTB-&gt;DFCR "&amp;IF('Module Domains'!AM236=1,"|= ","&amp;= ~")&amp;"PORT_DFCR_CS_MASK;  //PORTB filter clock source is "&amp;IF('Module Domains'!AM226=0,"BUS_CLK","LPO128K_CLK")&amp;" ("&amp;'Module Domains'!AO222&amp;" MHz)."</f>
        <v xml:space="preserve">    PORTB-&gt;DFCR &amp;= ~PORT_DFCR_CS_MASK;  //PORTB filter clock source is BUS_CLK (0 MHz).</v>
      </c>
    </row>
    <row r="216" spans="12:12" x14ac:dyDescent="0.25">
      <c r="L216" t="str">
        <f>""</f>
        <v/>
      </c>
    </row>
    <row r="217" spans="12:12" x14ac:dyDescent="0.25">
      <c r="L217" t="str">
        <f>"    //Configure PORTC"</f>
        <v xml:space="preserve">    //Configure PORTC</v>
      </c>
    </row>
    <row r="218" spans="12:12" x14ac:dyDescent="0.25">
      <c r="L218" t="str">
        <f>"    PCC-&gt;PCCn[PCC_PORTC_INDEX] = PCC_PCCn_PR_MASK|PCC_PCCn_CGC("&amp;'Module Domains'!AI232&amp;");  //PORTC is "&amp;IF('Module Domains'!AI232=1,"enabled","disabled")&amp;" ("&amp;'Module Domains'!AK229&amp;" MHz)."</f>
        <v xml:space="preserve">    PCC-&gt;PCCn[PCC_PORTC_INDEX] = PCC_PCCn_PR_MASK|PCC_PCCn_CGC(0);  //PORTC is disabled (0 MHz).</v>
      </c>
    </row>
    <row r="219" spans="12:12" x14ac:dyDescent="0.25">
      <c r="L219" t="str">
        <f>"    PORTC-&gt;DFCR "&amp;IF('Module Domains'!AM236=1,"|= ","&amp;= ~")&amp;"PORT_DFCR_CS_MASK;  //PORTC filter clock source is "&amp;IF('Module Domains'!AM236=0,"BUS_CLK","LPO128K_CLK")&amp;" ("&amp;'Module Domains'!AM236&amp;" MHz)."</f>
        <v xml:space="preserve">    PORTC-&gt;DFCR &amp;= ~PORT_DFCR_CS_MASK;  //PORTC filter clock source is BUS_CLK (0 MHz).</v>
      </c>
    </row>
    <row r="220" spans="12:12" x14ac:dyDescent="0.25">
      <c r="L220" t="str">
        <f>""</f>
        <v/>
      </c>
    </row>
    <row r="221" spans="12:12" x14ac:dyDescent="0.25">
      <c r="L221" t="str">
        <f>"    //Configure PORTD"</f>
        <v xml:space="preserve">    //Configure PORTD</v>
      </c>
    </row>
    <row r="222" spans="12:12" x14ac:dyDescent="0.25">
      <c r="L222" t="str">
        <f>"    PCC-&gt;PCCn[PCC_PORTD_INDEX] = PCC_PCCn_PR_MASK|PCC_PCCn_CGC("&amp;'Module Domains'!AI242&amp;");  //PORTD is "&amp;IF('Module Domains'!AI242=1,"enabled","disabled")&amp;" ("&amp;'Module Domains'!AK239&amp;" MHz)."</f>
        <v xml:space="preserve">    PCC-&gt;PCCn[PCC_PORTD_INDEX] = PCC_PCCn_PR_MASK|PCC_PCCn_CGC(0);  //PORTD is disabled (0 MHz).</v>
      </c>
    </row>
    <row r="223" spans="12:12" x14ac:dyDescent="0.25">
      <c r="L223" t="str">
        <f>"    PORTD-&gt;DFCR "&amp;IF('Module Domains'!AM246=1,"|= ","&amp;= ~")&amp;"PORT_DFCR_CS_MASK;  //PORTD filter clock source is "&amp;IF('Module Domains'!AM246=0,"BUS_CLK","LPO128K_CLK")&amp;" ("&amp;'Module Domains'!AO244&amp;" MHz)."</f>
        <v xml:space="preserve">    PORTD-&gt;DFCR &amp;= ~PORT_DFCR_CS_MASK;  //PORTD filter clock source is BUS_CLK (0 MHz).</v>
      </c>
    </row>
    <row r="224" spans="12:12" x14ac:dyDescent="0.25">
      <c r="L224" t="str">
        <f>""</f>
        <v/>
      </c>
    </row>
    <row r="225" spans="12:12" x14ac:dyDescent="0.25">
      <c r="L225" t="str">
        <f>"    //Configure PORTE"</f>
        <v xml:space="preserve">    //Configure PORTE</v>
      </c>
    </row>
    <row r="226" spans="12:12" x14ac:dyDescent="0.25">
      <c r="L226" t="str">
        <f>"    PCC-&gt;PCCn[PCC_PORTE_INDEX] = PCC_PCCn_PR_MASK|PCC_PCCn_CGC("&amp;'Module Domains'!AI252&amp;");  //PORTE is "&amp;IF('Module Domains'!AI252=1,"enabled","disabled")&amp;" ("&amp;'Module Domains'!AK249&amp;" MHz)."</f>
        <v xml:space="preserve">    PCC-&gt;PCCn[PCC_PORTE_INDEX] = PCC_PCCn_PR_MASK|PCC_PCCn_CGC(0);  //PORTE is disabled (0 MHz).</v>
      </c>
    </row>
    <row r="227" spans="12:12" x14ac:dyDescent="0.25">
      <c r="L227" t="str">
        <f>"    PORTE-&gt;DFCR "&amp;IF('Module Domains'!AM256=1,"|= ","&amp;= ~")&amp;"PORT_DFCR_CS_MASK;  //PORTE filter clock source is "&amp;IF('Module Domains'!AM256=0,"BUS_CLK","LPO128K_CLK")&amp;" ("&amp;'Module Domains'!AO254&amp;" MHz)."</f>
        <v xml:space="preserve">    PORTE-&gt;DFCR &amp;= ~PORT_DFCR_CS_MASK;  //PORTE filter clock source is BUS_CLK (0 MHz).</v>
      </c>
    </row>
    <row r="228" spans="12:12" x14ac:dyDescent="0.25">
      <c r="L228" t="str">
        <f>""</f>
        <v/>
      </c>
    </row>
    <row r="229" spans="12:12" x14ac:dyDescent="0.25">
      <c r="L229" t="str">
        <f>"    //Configure ADC1"</f>
        <v xml:space="preserve">    //Configure ADC1</v>
      </c>
    </row>
    <row r="230" spans="12:12" x14ac:dyDescent="0.25">
      <c r="L230" t="str">
        <f>"    PCC-&gt;PCCn[PCC_ADC1_INDEX]  = PCC_PCCn_PR_MASK|PCC_PCCn_CGC("&amp;'Module Domains'!AI302&amp;")|PCC_PCCn_PCS("&amp;'Module Domains'!AE310&amp;");  //ADC1 BIU clock is "&amp;IF('Module Domains'!AI302=1,"enabled ("&amp;'Module Domains'!AL301&amp;" MHz)","disabled")&amp;" and peripheral clock source is "&amp;IF('Module Domains'!AE310=0,"off",IF('Module Domains'!AE310=1,"SOSCDIV2_CLK",IF('Module Domains'!AE310=2,"SIRCDIV2_CLK",IF('Module Domains'!AE310=3,"FIRCDIV2_CLK",IF('Module Domains'!AE310=6,"SPLLDIV2_CLK","invalid")))))&amp;" ("&amp;'Module Domains'!AG307&amp;" MHz)."</f>
        <v xml:space="preserve">    PCC-&gt;PCCn[PCC_ADC1_INDEX]  = PCC_PCCn_PR_MASK|PCC_PCCn_CGC(0)|PCC_PCCn_PCS(0);  //ADC1 BIU clock is disabled and peripheral clock source is off (0 MHz).</v>
      </c>
    </row>
    <row r="231" spans="12:12" x14ac:dyDescent="0.25">
      <c r="L231" t="str">
        <f>"    temp = ADC1-&gt;CFG1;  //Copy register for read-modify-write"</f>
        <v xml:space="preserve">    temp = ADC1-&gt;CFG1;  //Copy register for read-modify-write</v>
      </c>
    </row>
    <row r="232" spans="12:12" x14ac:dyDescent="0.25">
      <c r="L232" t="str">
        <f>"    temp &amp;= ~(ADC_CFG1_ADIV_MASK|ADC_CFG1_ADICLK_MASK);  //Clear the relevant fields"</f>
        <v xml:space="preserve">    temp &amp;= ~(ADC_CFG1_ADIV_MASK|ADC_CFG1_ADICLK_MASK);  //Clear the relevant fields</v>
      </c>
    </row>
    <row r="233" spans="12:12" x14ac:dyDescent="0.25">
      <c r="L233" t="str">
        <f>"    temp |= ADC_CFG1_ADIV("&amp;'Module Domains'!AM310&amp;")|ADC_CFG1_ADICLK("&amp;'Module Domains'!AI310&amp;");  //ALTCLK"&amp;SUM('Module Domains'!AI310,1)&amp;" is selected.  Only ALTCLK1 is connected in S32K14x.  ALTCLK1 is divided by "&amp;POWER(2,'Module Domains'!AM310)&amp;" so the final conversion clock frequency is "&amp;'Module Domains'!AO307&amp;" MHz."</f>
        <v xml:space="preserve">    temp |= ADC_CFG1_ADIV(0)|ADC_CFG1_ADICLK(0);  //ALTCLK1 is selected.  Only ALTCLK1 is connected in S32K14x.  ALTCLK1 is divided by 1 so the final conversion clock frequency is 0 MHz.</v>
      </c>
    </row>
    <row r="234" spans="12:12" x14ac:dyDescent="0.25">
      <c r="L234" t="str">
        <f>"    ADC1-&gt;CFG1 = temp;  //Write new value to register"</f>
        <v xml:space="preserve">    ADC1-&gt;CFG1 = temp;  //Write new value to register</v>
      </c>
    </row>
    <row r="235" spans="12:12" x14ac:dyDescent="0.25">
      <c r="L235" t="str">
        <f>""</f>
        <v/>
      </c>
    </row>
    <row r="236" spans="12:12" x14ac:dyDescent="0.25">
      <c r="L236" t="str">
        <f>"    //Configure FTM1"</f>
        <v xml:space="preserve">    //Configure FTM1</v>
      </c>
    </row>
    <row r="237" spans="12:12" x14ac:dyDescent="0.25">
      <c r="L237" t="str">
        <f>"    SIM-&gt;FTMOPT0 &amp;= ~SIM_FTMOPT0_FTM1CLKSEL_MASK;  //Clear the FTM1 TCLK select field"</f>
        <v xml:space="preserve">    SIM-&gt;FTMOPT0 &amp;= ~SIM_FTMOPT0_FTM1CLKSEL_MASK;  //Clear the FTM1 TCLK select field</v>
      </c>
    </row>
    <row r="238" spans="12:12" x14ac:dyDescent="0.25">
      <c r="L238" t="str">
        <f>"    SIM-&gt;FTMOPT0 |= SIM_FTMOPT0_FTM1CLKSEL("&amp;'Module Domains'!AG330&amp;");  //"&amp;IF('Module Domains'!AG330=0,"TCLK0",IF('Module Domains'!AG330=1,"TCLK1",IF('Module Domains'!AG330=2,"TCLK2","No clock input")))&amp;" is selected as input of TCLK signal ("&amp;'Module Domains'!AI332&amp;" MHz)."</f>
        <v xml:space="preserve">    SIM-&gt;FTMOPT0 |= SIM_FTMOPT0_FTM1CLKSEL(0);  //TCLK0 is selected as input of TCLK signal (0 MHz).</v>
      </c>
    </row>
    <row r="239" spans="12:12" x14ac:dyDescent="0.25">
      <c r="L239" t="str">
        <f>"    PCC-&gt;PCCn[PCC_FTM1_INDEX] = PCC_PCCn_PR_MASK|PCC_PCCn_CGC("&amp;'Module Domains'!AI322&amp;")|PCC_PCCn_PCS("&amp;'Module Domains'!AL339&amp;");  //FTM System Clock is "&amp;IF('Module Domains'!AI322=1,"enabled ("&amp;'Module Domains'!AL319&amp;" MHz)","disabled")&amp;" and FTM1 external clock is "&amp;IF('Module Domains'!AL339,"TCLK",IF('Module Domains'!AL339=1,"SOSCDIV1_CLK",IF('Module Domains'!AL339=2,"SIRCDIV1_CLK",IF('Module Domains'!AL339=3,"FIRCDIV1_CLK",IF('Module Domains'!AL339=6,"SPLLDIV1_CLK","invalid")))))&amp;" ("&amp;'Module Domains'!AN335&amp;" MHz)."</f>
        <v xml:space="preserve">    PCC-&gt;PCCn[PCC_FTM1_INDEX] = PCC_PCCn_PR_MASK|PCC_PCCn_CGC(0)|PCC_PCCn_PCS(0);  //FTM System Clock is disabled and FTM1 external clock is invalid (0 MHz).</v>
      </c>
    </row>
    <row r="240" spans="12:12" x14ac:dyDescent="0.25">
      <c r="L240" t="str">
        <f>"    temp = FTM1-&gt;SC;  //Copy for read-modify-write"</f>
        <v xml:space="preserve">    temp = FTM1-&gt;SC;  //Copy for read-modify-write</v>
      </c>
    </row>
    <row r="241" spans="12:12" x14ac:dyDescent="0.25">
      <c r="L241" t="str">
        <f>"    temp &amp;= ~(FTM_SC_CLKS_MASK|FTM_SC_PS_MASK);  //Clear the relevant fields"</f>
        <v xml:space="preserve">    temp &amp;= ~(FTM_SC_CLKS_MASK|FTM_SC_PS_MASK);  //Clear the relevant fields</v>
      </c>
    </row>
    <row r="242" spans="12:12" x14ac:dyDescent="0.25">
      <c r="L242" t="str">
        <f>"    temp |= FTM_SC_CLKS("&amp;'Module Domains'!AQ329&amp;")|FTM_SC_PS("&amp;'Module Domains'!AU329&amp;");  //"&amp;IF('Module Domains'!AQ329=0,"No clock",IF('Module Domains'!AQ329=1,"FTM system clock",IF('Module Domains'!AQ329=2,"RTC_CLK","External clock")))&amp;" is selected as source of counter clock and is divided by "&amp;POWER(2,'Module Domains'!AU329)&amp;" ("&amp;'Module Domains'!AW326&amp;" MHz)."</f>
        <v xml:space="preserve">    temp |= FTM_SC_CLKS(0)|FTM_SC_PS(0);  //No clock is selected as source of counter clock and is divided by 1 (0 MHz).</v>
      </c>
    </row>
    <row r="243" spans="12:12" x14ac:dyDescent="0.25">
      <c r="L243" t="str">
        <f>"    FTM1-&gt;SC = temp; //Write new value to register"</f>
        <v xml:space="preserve">    FTM1-&gt;SC = temp; //Write new value to register</v>
      </c>
    </row>
    <row r="244" spans="12:12" x14ac:dyDescent="0.25">
      <c r="L244" t="str">
        <f>""</f>
        <v/>
      </c>
    </row>
    <row r="245" spans="12:12" x14ac:dyDescent="0.25">
      <c r="L245" t="str">
        <f>"    //Configure FTM2"</f>
        <v xml:space="preserve">    //Configure FTM2</v>
      </c>
    </row>
    <row r="246" spans="12:12" x14ac:dyDescent="0.25">
      <c r="L246" t="str">
        <f>"    SIM-&gt;FTMOPT0 &amp;= ~SIM_FTMOPT0_FTM2CLKSEL_MASK;  //Clear the FTM2 TCLK select field"</f>
        <v xml:space="preserve">    SIM-&gt;FTMOPT0 &amp;= ~SIM_FTMOPT0_FTM2CLKSEL_MASK;  //Clear the FTM2 TCLK select field</v>
      </c>
    </row>
    <row r="247" spans="12:12" x14ac:dyDescent="0.25">
      <c r="L247" t="str">
        <f>"    SIM-&gt;FTMOPT0 |= SIM_FTMOPT0_FTM2CLKSEL("&amp;'Module Domains'!AG357&amp;");  //"&amp;IF('Module Domains'!AG357=0,"TCLK0",IF('Module Domains'!AG357=1,"TCLK1",IF('Module Domains'!AG357=2,"TCLK2","No clock input")))&amp;" is selected as input of TCLK signal ("&amp;'Module Domains'!AI359&amp;" MHz)."</f>
        <v xml:space="preserve">    SIM-&gt;FTMOPT0 |= SIM_FTMOPT0_FTM2CLKSEL(0);  //TCLK0 is selected as input of TCLK signal (0 MHz).</v>
      </c>
    </row>
    <row r="248" spans="12:12" x14ac:dyDescent="0.25">
      <c r="L248" t="str">
        <f>"    PCC-&gt;PCCn[PCC_FTM2_INDEX] = PCC_PCCn_PR_MASK|PCC_PCCn_CGC("&amp;'Module Domains'!AI348&amp;")|PCC_PCCn_PCS("&amp;'Module Domains'!AL366&amp;");  //FTM System Clock is "&amp;IF('Module Domains'!AI348=1,"enabled ("&amp;'Module Domains'!AO345&amp;" MHz)","disabled")&amp;" and FTM2 external clock is "&amp;IF('Module Domains'!AL366,"TCLK",IF('Module Domains'!AL366=1,"SOSCDIV1_CLK",IF('Module Domains'!AL366=2,"SIRCDIV1_CLK",IF('Module Domains'!AL366=3,"FIRCDIV1_CLK",IF('Module Domains'!AL366=6,"SPLLDIV1_CLK","invalid")))))&amp;" ("&amp;'Module Domains'!AN362&amp;" MHz)."</f>
        <v xml:space="preserve">    PCC-&gt;PCCn[PCC_FTM2_INDEX] = PCC_PCCn_PR_MASK|PCC_PCCn_CGC(0)|PCC_PCCn_PCS(0);  //FTM System Clock is disabled and FTM2 external clock is invalid (0 MHz).</v>
      </c>
    </row>
    <row r="249" spans="12:12" x14ac:dyDescent="0.25">
      <c r="L249" t="str">
        <f>"    temp = FTM2-&gt;SC;  //Copy for read-modify-write"</f>
        <v xml:space="preserve">    temp = FTM2-&gt;SC;  //Copy for read-modify-write</v>
      </c>
    </row>
    <row r="250" spans="12:12" x14ac:dyDescent="0.25">
      <c r="L250" t="str">
        <f>"    temp &amp;= ~(FTM_SC_CLKS_MASK|FTM_SC_PS_MASK);  //Clear the relevant fields"</f>
        <v xml:space="preserve">    temp &amp;= ~(FTM_SC_CLKS_MASK|FTM_SC_PS_MASK);  //Clear the relevant fields</v>
      </c>
    </row>
    <row r="251" spans="12:12" x14ac:dyDescent="0.25">
      <c r="L251" t="str">
        <f>"    temp |= FTM_SC_CLKS("&amp;'Module Domains'!AQ356&amp;")|FTM_SC_PS("&amp;'Module Domains'!AU356&amp;");  //"&amp;IF('Module Domains'!AQ356=0,"No clock",IF('Module Domains'!AQ356=1,"FTM system clock",IF('Module Domains'!AQ356=2,"RTC_CLK","External clock")))&amp;" is selected as source of counter clock and is divided by "&amp;POWER(2,'Module Domains'!AU356)&amp;" ("&amp;'Module Domains'!AW353&amp;" MHz)."</f>
        <v xml:space="preserve">    temp |= FTM_SC_CLKS(0)|FTM_SC_PS(0);  //No clock is selected as source of counter clock and is divided by 1 (0 MHz).</v>
      </c>
    </row>
    <row r="252" spans="12:12" x14ac:dyDescent="0.25">
      <c r="L252" t="str">
        <f>"    FTM2-&gt;SC = temp; //Write new value to register"</f>
        <v xml:space="preserve">    FTM2-&gt;SC = temp; //Write new value to register</v>
      </c>
    </row>
    <row r="253" spans="12:12" x14ac:dyDescent="0.25">
      <c r="L253" t="str">
        <f>""</f>
        <v/>
      </c>
    </row>
    <row r="254" spans="12:12" x14ac:dyDescent="0.25">
      <c r="L254" t="str">
        <f>"    //Configure FTM3"</f>
        <v xml:space="preserve">    //Configure FTM3</v>
      </c>
    </row>
    <row r="255" spans="12:12" x14ac:dyDescent="0.25">
      <c r="L255" t="str">
        <f>"    SIM-&gt;FTMOPT0 &amp;= ~SIM_FTMOPT0_FTM3CLKSEL_MASK;  //Clear the FTM3 TCLK select field"</f>
        <v xml:space="preserve">    SIM-&gt;FTMOPT0 &amp;= ~SIM_FTMOPT0_FTM3CLKSEL_MASK;  //Clear the FTM3 TCLK select field</v>
      </c>
    </row>
    <row r="256" spans="12:12" x14ac:dyDescent="0.25">
      <c r="L256" t="str">
        <f>"    SIM-&gt;FTMOPT0 |= SIM_FTMOPT0_FTM3CLKSEL("&amp;'Module Domains'!AG386&amp;");  //"&amp;IF('Module Domains'!AG386=0,"TCLK0",IF('Module Domains'!AG386=1,"TCLK1",IF('Module Domains'!AG386=2,"TCLK2","No clock input")))&amp;" is selected as input of TCLK signal ("&amp;'Module Domains'!AI389&amp;" MHz)."</f>
        <v xml:space="preserve">    SIM-&gt;FTMOPT0 |= SIM_FTMOPT0_FTM3CLKSEL(0);  //TCLK0 is selected as input of TCLK signal (0 MHz).</v>
      </c>
    </row>
    <row r="257" spans="12:12" x14ac:dyDescent="0.25">
      <c r="L257" t="str">
        <f>"    PCC-&gt;PCCn[PCC_FTM3_INDEX] = PCC_PCCn_PR_MASK|PCC_PCCn_CGC("&amp;'Module Domains'!AI377&amp;")|PCC_PCCn_PCS("&amp;'Module Domains'!AL397&amp;");  //FTM System Clock is "&amp;IF('Module Domains'!AI377=1,"enabled ("&amp;'Module Domains'!AO374&amp;" MHz)","disabled")&amp;" and FTM3 external clock is "&amp;IF('Module Domains'!AL397,"TCLK",IF('Module Domains'!AL397=1,"SOSCDIV1_CLK",IF('Module Domains'!AL397=2,"SIRCDIV1_CLK",IF('Module Domains'!AL397=3,"FIRCDIV1_CLK",IF('Module Domains'!AL397=6,"SPLLDIV1_CLK","invalid")))))&amp;" ("&amp;'Module Domains'!AN391&amp;" MHz)."</f>
        <v xml:space="preserve">    PCC-&gt;PCCn[PCC_FTM3_INDEX] = PCC_PCCn_PR_MASK|PCC_PCCn_CGC(0)|PCC_PCCn_PCS(0);  //FTM System Clock is disabled and FTM3 external clock is invalid (0 MHz).</v>
      </c>
    </row>
    <row r="258" spans="12:12" x14ac:dyDescent="0.25">
      <c r="L258" t="str">
        <f>"    temp = FTM3-&gt;SC;  //Copy for read-modify-write"</f>
        <v xml:space="preserve">    temp = FTM3-&gt;SC;  //Copy for read-modify-write</v>
      </c>
    </row>
    <row r="259" spans="12:12" x14ac:dyDescent="0.25">
      <c r="L259" t="str">
        <f>"    temp &amp;= ~(FTM_SC_CLKS_MASK|FTM_SC_PS_MASK);  //Clear the relevant fields"</f>
        <v xml:space="preserve">    temp &amp;= ~(FTM_SC_CLKS_MASK|FTM_SC_PS_MASK);  //Clear the relevant fields</v>
      </c>
    </row>
    <row r="260" spans="12:12" x14ac:dyDescent="0.25">
      <c r="L260" t="str">
        <f>"    temp |= FTM_SC_CLKS("&amp;'Module Domains'!AQ384&amp;")|FTM_SC_PS("&amp;'Module Domains'!AU384&amp;");  //"&amp;IF('Module Domains'!AQ384=0,"No clock",IF('Module Domains'!AQ384=1,"FTM system clock",IF('Module Domains'!AQ384=2,"RTC_CLK","External clock")))&amp;" is selected as source of counter clock and is divided by "&amp;POWER(2,'Module Domains'!AU384)&amp;" ("&amp;'Module Domains'!AW381&amp;" MHz)."</f>
        <v xml:space="preserve">    temp |= FTM_SC_CLKS(0)|FTM_SC_PS(0);  //No clock is selected as source of counter clock and is divided by 1 (0 MHz).</v>
      </c>
    </row>
    <row r="261" spans="12:12" x14ac:dyDescent="0.25">
      <c r="L261" t="str">
        <f>"    FTM3-&gt;SC = temp; //Write new value to register"</f>
        <v xml:space="preserve">    FTM3-&gt;SC = temp; //Write new value to register</v>
      </c>
    </row>
    <row r="262" spans="12:12" x14ac:dyDescent="0.25">
      <c r="L262" t="str">
        <f>""</f>
        <v/>
      </c>
    </row>
    <row r="263" spans="12:12" x14ac:dyDescent="0.25">
      <c r="L263" t="str">
        <f>"    //Configure FTM4"</f>
        <v xml:space="preserve">    //Configure FTM4</v>
      </c>
    </row>
    <row r="264" spans="12:12" x14ac:dyDescent="0.25">
      <c r="L264" t="str">
        <f>"    SIM-&gt;FTMOPT0 &amp;= ~SIM_FTMOPT0_FTM4CLKSEL_MASK;  //Clear the FTM4 TCLK select field"</f>
        <v xml:space="preserve">    SIM-&gt;FTMOPT0 &amp;= ~SIM_FTMOPT0_FTM4CLKSEL_MASK;  //Clear the FTM4 TCLK select field</v>
      </c>
    </row>
    <row r="265" spans="12:12" x14ac:dyDescent="0.25">
      <c r="L265" t="str">
        <f>"    SIM-&gt;FTMOPT0 |= SIM_FTMOPT0_FTM4CLKSEL("&amp;'Module Domains'!AG417&amp;");  //"&amp;IF('Module Domains'!AG417=0,"TCLK0",IF('Module Domains'!AG417=1,"TCLK1",IF('Module Domains'!AG417=2,"TCLK2","No clock input")))&amp;" is selected as input of TCLK signal ("&amp;'Module Domains'!AI420&amp;" MHz)."</f>
        <v xml:space="preserve">    SIM-&gt;FTMOPT0 |= SIM_FTMOPT0_FTM4CLKSEL(0);  //TCLK0 is selected as input of TCLK signal (0 MHz).</v>
      </c>
    </row>
    <row r="266" spans="12:12" x14ac:dyDescent="0.25">
      <c r="L266" t="str">
        <f>"    PCC-&gt;PCCn[PCC_FTM4_INDEX] = PCC_PCCn_PR_MASK|PCC_PCCn_CGC("&amp;'Module Domains'!AI407&amp;")|PCC_PCCn_PCS("&amp;'Module Domains'!AL428&amp;");  //FTM System Clock is "&amp;IF('Module Domains'!AI407=1,"enabled ("&amp;'Module Domains'!AO383&amp;" MHz)","disabled")&amp;" and FTM4 external clock is "&amp;IF('Module Domains'!AL428,"TCLK",IF('Module Domains'!AL428=1,"SOSCDIV1_CLK",IF('Module Domains'!AL428=2,"SIRCDIV1_CLK",IF('Module Domains'!AL428=3,"FIRCDIV1_CLK",IF('Module Domains'!AL428=6,"SPLLDIV1_CLK","invalid")))))&amp;" ("&amp;'Module Domains'!AN422&amp;" MHz)."</f>
        <v xml:space="preserve">    PCC-&gt;PCCn[PCC_FTM4_INDEX] = PCC_PCCn_PR_MASK|PCC_PCCn_CGC(0)|PCC_PCCn_PCS(0);  //FTM System Clock is disabled and FTM4 external clock is invalid (0 MHz).</v>
      </c>
    </row>
    <row r="267" spans="12:12" x14ac:dyDescent="0.25">
      <c r="L267" t="str">
        <f>"    temp = FTM4-&gt;SC;  //Copy for read-modify-write"</f>
        <v xml:space="preserve">    temp = FTM4-&gt;SC;  //Copy for read-modify-write</v>
      </c>
    </row>
    <row r="268" spans="12:12" x14ac:dyDescent="0.25">
      <c r="L268" t="str">
        <f>"    temp &amp;= ~(FTM_SC_CLKS_MASK|FTM_SC_PS_MASK);  //Clear the relevant fields"</f>
        <v xml:space="preserve">    temp &amp;= ~(FTM_SC_CLKS_MASK|FTM_SC_PS_MASK);  //Clear the relevant fields</v>
      </c>
    </row>
    <row r="269" spans="12:12" x14ac:dyDescent="0.25">
      <c r="L269" t="str">
        <f>"    temp |= FTM_SC_CLKS("&amp;'Module Domains'!AQ415&amp;")|FTM_SC_PS("&amp;'Module Domains'!AU415&amp;");  //"&amp;IF('Module Domains'!AQ415=0,"No clock",IF('Module Domains'!AQ415=1,"FTM system clock",IF('Module Domains'!AQ415=2,"RTC_CLK","External clock")))&amp;" is selected as source of counter clock and is divided by "&amp;POWER(2,'Module Domains'!AU415)&amp;" ("&amp;'Module Domains'!AW412&amp;" MHz)."</f>
        <v xml:space="preserve">    temp |= FTM_SC_CLKS(0)|FTM_SC_PS(0);  //No clock is selected as source of counter clock and is divided by 1 (0 MHz).</v>
      </c>
    </row>
    <row r="270" spans="12:12" x14ac:dyDescent="0.25">
      <c r="L270" t="str">
        <f>"    FTM4-&gt;SC = temp; //Write new value to register"</f>
        <v xml:space="preserve">    FTM4-&gt;SC = temp; //Write new value to register</v>
      </c>
    </row>
    <row r="271" spans="12:12" x14ac:dyDescent="0.25">
      <c r="L271" t="str">
        <f>""</f>
        <v/>
      </c>
    </row>
    <row r="272" spans="12:12" x14ac:dyDescent="0.25">
      <c r="L272" t="str">
        <f>"    //Configure FTM5"</f>
        <v xml:space="preserve">    //Configure FTM5</v>
      </c>
    </row>
    <row r="273" spans="12:12" x14ac:dyDescent="0.25">
      <c r="L273" t="str">
        <f>"    SIM-&gt;FTMOPT0 &amp;= ~SIM_FTMOPT0_FTM5CLKSEL_MASK;  //Clear the FTM5 TCLK select field"</f>
        <v xml:space="preserve">    SIM-&gt;FTMOPT0 &amp;= ~SIM_FTMOPT0_FTM5CLKSEL_MASK;  //Clear the FTM5 TCLK select field</v>
      </c>
    </row>
    <row r="274" spans="12:12" x14ac:dyDescent="0.25">
      <c r="L274" t="str">
        <f>"    SIM-&gt;FTMOPT0 |= SIM_FTMOPT0_FTM5CLKSEL("&amp;'Module Domains'!AG447&amp;");  //"&amp;IF('Module Domains'!AG447=0,"TCLK0",IF('Module Domains'!AG447=1,"TCLK1",IF('Module Domains'!AG447=2,"TCLK2","No clock input")))&amp;" is selected as input of TCLK signal ("&amp;'Module Domains'!AI429&amp;" MHz)."</f>
        <v xml:space="preserve">    SIM-&gt;FTMOPT0 |= SIM_FTMOPT0_FTM5CLKSEL(0);  //TCLK0 is selected as input of TCLK signal ( MHz).</v>
      </c>
    </row>
    <row r="275" spans="12:12" x14ac:dyDescent="0.25">
      <c r="L275" t="str">
        <f>"    PCC-&gt;PCCn[PCC_FTM5_INDEX] = PCC_PCCn_PR_MASK|PCC_PCCn_CGC("&amp;'Module Domains'!AI437&amp;")|PCC_PCCn_PCS("&amp;'Module Domains'!AL460&amp;");  //FTM System Clock is "&amp;IF('Module Domains'!AI437=1,"enabled ("&amp;'Module Domains'!AO434&amp;" MHz)","disabled")&amp;" and FTM5 external clock is "&amp;IF('Module Domains'!AL460,"TCLK",IF('Module Domains'!AL460=1,"SOSCDIV1_CLK",IF('Module Domains'!AL460=2,"SIRCDIV1_CLK",IF('Module Domains'!AL460=3,"FIRCDIV1_CLK",IF('Module Domains'!AL460=6,"SPLLDIV1_CLK","invalid")))))&amp;" ("&amp;'Module Domains'!AN453&amp;" MHz)."</f>
        <v xml:space="preserve">    PCC-&gt;PCCn[PCC_FTM5_INDEX] = PCC_PCCn_PR_MASK|PCC_PCCn_CGC(0)|PCC_PCCn_PCS(0);  //FTM System Clock is disabled and FTM5 external clock is invalid (0 MHz).</v>
      </c>
    </row>
    <row r="276" spans="12:12" x14ac:dyDescent="0.25">
      <c r="L276" t="str">
        <f>"    temp = FTM5-&gt;SC;  //Copy for read-modify-write"</f>
        <v xml:space="preserve">    temp = FTM5-&gt;SC;  //Copy for read-modify-write</v>
      </c>
    </row>
    <row r="277" spans="12:12" x14ac:dyDescent="0.25">
      <c r="L277" t="str">
        <f>"    temp &amp;= ~(FTM_SC_CLKS_MASK|FTM_SC_PS_MASK);  //Clear the relevant fields"</f>
        <v xml:space="preserve">    temp &amp;= ~(FTM_SC_CLKS_MASK|FTM_SC_PS_MASK);  //Clear the relevant fields</v>
      </c>
    </row>
    <row r="278" spans="12:12" x14ac:dyDescent="0.25">
      <c r="L278" t="str">
        <f>"    temp |= FTM_SC_CLKS("&amp;'Module Domains'!AQ445&amp;")|FTM_SC_PS("&amp;'Module Domains'!AU445&amp;");  //"&amp;IF('Module Domains'!AQ445=0,"No clock",IF('Module Domains'!AQ445=1,"FTM system clock",IF('Module Domains'!AQ445=2,"RTC_CLK","External clock")))&amp;" is selected as source of counter clock and is divided by "&amp;POWER(2,'Module Domains'!AU445)&amp;" ("&amp;'Module Domains'!AW442&amp;" MHz)."</f>
        <v xml:space="preserve">    temp |= FTM_SC_CLKS(0)|FTM_SC_PS(0);  //No clock is selected as source of counter clock and is divided by 1 (0 MHz).</v>
      </c>
    </row>
    <row r="279" spans="12:12" x14ac:dyDescent="0.25">
      <c r="L279" t="str">
        <f>"    FTM5-&gt;SC = temp; //Write new value to register"</f>
        <v xml:space="preserve">    FTM5-&gt;SC = temp; //Write new value to register</v>
      </c>
    </row>
    <row r="280" spans="12:12" x14ac:dyDescent="0.25">
      <c r="L280" t="str">
        <f>""</f>
        <v/>
      </c>
    </row>
    <row r="281" spans="12:12" x14ac:dyDescent="0.25">
      <c r="L281" t="str">
        <f>"    //Configure FTM6"</f>
        <v xml:space="preserve">    //Configure FTM6</v>
      </c>
    </row>
    <row r="282" spans="12:12" x14ac:dyDescent="0.25">
      <c r="L282" t="str">
        <f>"    SIM-&gt;FTMOPT0 &amp;= ~SIM_FTMOPT0_FTM6CLKSEL_MASK;  //Clear the FTM6 TCLK select field"</f>
        <v xml:space="preserve">    SIM-&gt;FTMOPT0 &amp;= ~SIM_FTMOPT0_FTM6CLKSEL_MASK;  //Clear the FTM6 TCLK select field</v>
      </c>
    </row>
    <row r="283" spans="12:12" x14ac:dyDescent="0.25">
      <c r="L283" t="str">
        <f>"    SIM-&gt;FTMOPT0 |= SIM_FTMOPT0_FTM6CLKSEL("&amp;'Module Domains'!AG480&amp;");  //"&amp;IF('Module Domains'!AG480=0,"TCLK0",IF('Module Domains'!AG480=1,"TCLK1",IF('Module Domains'!AG480=2,"TCLK2","No clock input")))&amp;" is selected as input of TCLK signal ("&amp;'Module Domains'!AI484&amp;" MHz)."</f>
        <v xml:space="preserve">    SIM-&gt;FTMOPT0 |= SIM_FTMOPT0_FTM6CLKSEL(0);  //TCLK0 is selected as input of TCLK signal (0 MHz).</v>
      </c>
    </row>
    <row r="284" spans="12:12" x14ac:dyDescent="0.25">
      <c r="L284" t="str">
        <f>"    PCC-&gt;PCCn[PCC_FTM6_INDEX] = PCC_PCCn_PR_MASK|PCC_PCCn_CGC("&amp;'Module Domains'!AI469&amp;")|PCC_PCCn_PCS("&amp;'Module Domains'!AL493&amp;");  //FTM System Clock is "&amp;IF('Module Domains'!AI469=1,"enabled ("&amp;'Module Domains'!AO466&amp;" MHz)","disabled")&amp;" and FTM6 external clock is "&amp;IF('Module Domains'!AL493,"TCLK",IF('Module Domains'!AL493=1,"SOSCDIV1_CLK",IF('Module Domains'!AL493=2,"SIRCDIV1_CLK",IF('Module Domains'!AL493=3,"FIRCDIV1_CLK",IF('Module Domains'!AL493=6,"SPLLDIV1_CLK","invalid")))))&amp;" ("&amp;'Module Domains'!AN486&amp;" MHz)."</f>
        <v xml:space="preserve">    PCC-&gt;PCCn[PCC_FTM6_INDEX] = PCC_PCCn_PR_MASK|PCC_PCCn_CGC(0)|PCC_PCCn_PCS(0);  //FTM System Clock is disabled and FTM6 external clock is invalid (0 MHz).</v>
      </c>
    </row>
    <row r="285" spans="12:12" x14ac:dyDescent="0.25">
      <c r="L285" t="str">
        <f>"    temp = FTM6-&gt;SC;  //Copy for read-modify-write"</f>
        <v xml:space="preserve">    temp = FTM6-&gt;SC;  //Copy for read-modify-write</v>
      </c>
    </row>
    <row r="286" spans="12:12" x14ac:dyDescent="0.25">
      <c r="L286" t="str">
        <f>"    temp &amp;= ~(FTM_SC_CLKS_MASK|FTM_SC_PS_MASK);  //Clear the relevant fields"</f>
        <v xml:space="preserve">    temp &amp;= ~(FTM_SC_CLKS_MASK|FTM_SC_PS_MASK);  //Clear the relevant fields</v>
      </c>
    </row>
    <row r="287" spans="12:12" x14ac:dyDescent="0.25">
      <c r="L287" t="str">
        <f>"    temp |= FTM_SC_CLKS("&amp;'Module Domains'!AQ478&amp;")|FTM_SC_PS("&amp;'Module Domains'!AU478&amp;");  //"&amp;IF('Module Domains'!AQ478=0,"No clock",IF('Module Domains'!AQ478=1,"FTM system clock",IF('Module Domains'!AQ478=2,"RTC_CLK","External clock")))&amp;" is selected as source of counter clock and is divided by "&amp;POWER(2,'Module Domains'!AU478)&amp;" ("&amp;'Module Domains'!AW474&amp;" MHz)."</f>
        <v xml:space="preserve">    temp |= FTM_SC_CLKS(0)|FTM_SC_PS(0);  //No clock is selected as source of counter clock and is divided by 1 (0 MHz).</v>
      </c>
    </row>
    <row r="288" spans="12:12" x14ac:dyDescent="0.25">
      <c r="L288" t="str">
        <f>"    FTM6-&gt;SC = temp; //Write new value to register"</f>
        <v xml:space="preserve">    FTM6-&gt;SC = temp; //Write new value to register</v>
      </c>
    </row>
    <row r="289" spans="12:12" x14ac:dyDescent="0.25">
      <c r="L289" t="str">
        <f>""</f>
        <v/>
      </c>
    </row>
    <row r="290" spans="12:12" x14ac:dyDescent="0.25">
      <c r="L290" t="str">
        <f>"    //Configure FTM7"</f>
        <v xml:space="preserve">    //Configure FTM7</v>
      </c>
    </row>
    <row r="291" spans="12:12" x14ac:dyDescent="0.25">
      <c r="L291" t="str">
        <f>"    SIM-&gt;FTMOPT0 &amp;= ~SIM_FTMOPT0_FTM7CLKSEL_MASK;  //Clear the FTM7 TCLK select field"</f>
        <v xml:space="preserve">    SIM-&gt;FTMOPT0 &amp;= ~SIM_FTMOPT0_FTM7CLKSEL_MASK;  //Clear the FTM7 TCLK select field</v>
      </c>
    </row>
    <row r="292" spans="12:12" x14ac:dyDescent="0.25">
      <c r="L292" t="str">
        <f>"    SIM-&gt;FTMOPT0 |= SIM_FTMOPT0_FTM7CLKSEL("&amp;'Module Domains'!AG517&amp;");  //"&amp;IF('Module Domains'!AG517=0,"TCLK0",IF('Module Domains'!AG517=1,"TCLK1",IF('Module Domains'!AG517=2,"TCLK2","No clock input")))&amp;" is selected as input of TCLK signal ("&amp;'Module Domains'!AI521&amp;" MHz)."</f>
        <v xml:space="preserve">    SIM-&gt;FTMOPT0 |= SIM_FTMOPT0_FTM7CLKSEL(0);  //TCLK0 is selected as input of TCLK signal (0 MHz).</v>
      </c>
    </row>
    <row r="293" spans="12:12" x14ac:dyDescent="0.25">
      <c r="L293" t="str">
        <f>"    PCC-&gt;PCCn[PCC_FTM7_INDEX] = PCC_PCCn_PR_MASK|PCC_PCCn_CGC("&amp;'Module Domains'!AI505&amp;")|PCC_PCCn_PCS("&amp;'Module Domains'!AL530&amp;");  //FTM System Clock is "&amp;IF('Module Domains'!AI505=1,"enabled ("&amp;'Module Domains'!AO501&amp;" MHz)","disabled")&amp;" and FTM7 external clock is "&amp;IF('Module Domains'!AL530,"TCLK",IF('Module Domains'!AL530=1,"SOSCDIV1_CLK",IF('Module Domains'!AL530=2,"SIRCDIV1_CLK",IF('Module Domains'!AL530=3,"FIRCDIV1_CLK",IF('Module Domains'!AL530=6,"SPLLDIV1_CLK","invalid")))))&amp;" ("&amp;'Module Domains'!AN523&amp;" MHz)."</f>
        <v xml:space="preserve">    PCC-&gt;PCCn[PCC_FTM7_INDEX] = PCC_PCCn_PR_MASK|PCC_PCCn_CGC(0)|PCC_PCCn_PCS(0);  //FTM System Clock is disabled and FTM7 external clock is invalid (0 MHz).</v>
      </c>
    </row>
    <row r="294" spans="12:12" x14ac:dyDescent="0.25">
      <c r="L294" t="str">
        <f>"    temp = FTM7-&gt;SC;  //Copy for read-modify-write"</f>
        <v xml:space="preserve">    temp = FTM7-&gt;SC;  //Copy for read-modify-write</v>
      </c>
    </row>
    <row r="295" spans="12:12" x14ac:dyDescent="0.25">
      <c r="L295" t="str">
        <f>"    temp &amp;= ~(FTM_SC_CLKS_MASK|FTM_SC_PS_MASK);  //Clear the relevant fields"</f>
        <v xml:space="preserve">    temp &amp;= ~(FTM_SC_CLKS_MASK|FTM_SC_PS_MASK);  //Clear the relevant fields</v>
      </c>
    </row>
    <row r="296" spans="12:12" x14ac:dyDescent="0.25">
      <c r="L296" t="str">
        <f>"    temp |= FTM_SC_CLKS("&amp;'Module Domains'!AQ514&amp;")|FTM_SC_PS("&amp;'Module Domains'!AU514&amp;");  //"&amp;IF('Module Domains'!AQ514=0,"No clock",IF('Module Domains'!AQ514=1,"FTM system clock",IF('Module Domains'!AQ514=2,"RTC_CLK","External clock")))&amp;" is selected as source of counter clock and is divided by "&amp;POWER(2,'Module Domains'!AU514)&amp;" ("&amp;'Module Domains'!AW510&amp;" MHz)."</f>
        <v xml:space="preserve">    temp |= FTM_SC_CLKS(0)|FTM_SC_PS(0);  //No clock is selected as source of counter clock and is divided by 1 (0 MHz).</v>
      </c>
    </row>
    <row r="297" spans="12:12" x14ac:dyDescent="0.25">
      <c r="L297" t="str">
        <f>"    FTM7-&gt;SC = temp; //Write new value to register"</f>
        <v xml:space="preserve">    FTM7-&gt;SC = temp; //Write new value to register</v>
      </c>
    </row>
    <row r="298" spans="12:12" x14ac:dyDescent="0.25">
      <c r="L298" t="str">
        <f>"}"</f>
        <v>}</v>
      </c>
    </row>
  </sheetData>
  <mergeCells count="15">
    <mergeCell ref="G42:G43"/>
    <mergeCell ref="G44:G45"/>
    <mergeCell ref="G50:G52"/>
    <mergeCell ref="G8:G29"/>
    <mergeCell ref="G30:G31"/>
    <mergeCell ref="G32:G33"/>
    <mergeCell ref="G34:G35"/>
    <mergeCell ref="G36:G37"/>
    <mergeCell ref="G38:G39"/>
    <mergeCell ref="G40:G41"/>
    <mergeCell ref="G60:G61"/>
    <mergeCell ref="G62:G64"/>
    <mergeCell ref="G74:G75"/>
    <mergeCell ref="G76:G77"/>
    <mergeCell ref="G78:G80"/>
  </mergeCells>
  <phoneticPr fontId="11" type="noConversion"/>
  <dataValidations count="1">
    <dataValidation allowBlank="1" showErrorMessage="1" promptTitle="Note for SIM_FTMOPT0" prompt="S32K supports 3 external clock signals that you can use to drive a clock signal through a pin into the FTM counter clock. This block selects among those three signals. Summary shows the bit modification for FTM0. Should be extrapolated for your FTM." sqref="B52"/>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_CopyClock">
                <anchor moveWithCells="1" sizeWithCells="1">
                  <from>
                    <xdr:col>15</xdr:col>
                    <xdr:colOff>434340</xdr:colOff>
                    <xdr:row>2</xdr:row>
                    <xdr:rowOff>152400</xdr:rowOff>
                  </from>
                  <to>
                    <xdr:col>18</xdr:col>
                    <xdr:colOff>259080</xdr:colOff>
                    <xdr:row>5</xdr:row>
                    <xdr:rowOff>22860</xdr:rowOff>
                  </to>
                </anchor>
              </controlPr>
            </control>
          </mc:Choice>
        </mc:AlternateContent>
        <mc:AlternateContent xmlns:mc="http://schemas.openxmlformats.org/markup-compatibility/2006">
          <mc:Choice Requires="x14">
            <control shapeId="12290" r:id="rId5" name="Button 2">
              <controlPr defaultSize="0" print="0" autoFill="0" autoPict="0" macro="[0]!Button_CopyPeri">
                <anchor moveWithCells="1" sizeWithCells="1">
                  <from>
                    <xdr:col>15</xdr:col>
                    <xdr:colOff>434340</xdr:colOff>
                    <xdr:row>60</xdr:row>
                    <xdr:rowOff>182880</xdr:rowOff>
                  </from>
                  <to>
                    <xdr:col>18</xdr:col>
                    <xdr:colOff>289560</xdr:colOff>
                    <xdr:row>62</xdr:row>
                    <xdr:rowOff>182880</xdr:rowOff>
                  </to>
                </anchor>
              </controlPr>
            </control>
          </mc:Choice>
        </mc:AlternateContent>
        <mc:AlternateContent xmlns:mc="http://schemas.openxmlformats.org/markup-compatibility/2006">
          <mc:Choice Requires="x14">
            <control shapeId="12291" r:id="rId6" name="Button 3">
              <controlPr defaultSize="0" print="0" autoFill="0" autoPict="0" macro="[0]!Button_CopyRTC">
                <anchor moveWithCells="1" sizeWithCells="1">
                  <from>
                    <xdr:col>34</xdr:col>
                    <xdr:colOff>53340</xdr:colOff>
                    <xdr:row>3</xdr:row>
                    <xdr:rowOff>144780</xdr:rowOff>
                  </from>
                  <to>
                    <xdr:col>36</xdr:col>
                    <xdr:colOff>419100</xdr:colOff>
                    <xdr:row>6</xdr:row>
                    <xdr:rowOff>0</xdr:rowOff>
                  </to>
                </anchor>
              </controlPr>
            </control>
          </mc:Choice>
        </mc:AlternateContent>
        <mc:AlternateContent xmlns:mc="http://schemas.openxmlformats.org/markup-compatibility/2006">
          <mc:Choice Requires="x14">
            <control shapeId="12292" r:id="rId7" name="Button 4">
              <controlPr defaultSize="0" print="0" autoFill="0" autoPict="0" macro="[0]!Button_CopySAI">
                <anchor moveWithCells="1" sizeWithCells="1">
                  <from>
                    <xdr:col>32</xdr:col>
                    <xdr:colOff>601980</xdr:colOff>
                    <xdr:row>30</xdr:row>
                    <xdr:rowOff>175260</xdr:rowOff>
                  </from>
                  <to>
                    <xdr:col>35</xdr:col>
                    <xdr:colOff>441960</xdr:colOff>
                    <xdr:row>33</xdr:row>
                    <xdr:rowOff>22860</xdr:rowOff>
                  </to>
                </anchor>
              </controlPr>
            </control>
          </mc:Choice>
        </mc:AlternateContent>
        <mc:AlternateContent xmlns:mc="http://schemas.openxmlformats.org/markup-compatibility/2006">
          <mc:Choice Requires="x14">
            <control shapeId="12293" r:id="rId8" name="Button 5">
              <controlPr defaultSize="0" print="0" autoFill="0" autoPict="0" macro="[0]!Button_CopyENET">
                <anchor moveWithCells="1" sizeWithCells="1">
                  <from>
                    <xdr:col>33</xdr:col>
                    <xdr:colOff>15240</xdr:colOff>
                    <xdr:row>84</xdr:row>
                    <xdr:rowOff>68580</xdr:rowOff>
                  </from>
                  <to>
                    <xdr:col>35</xdr:col>
                    <xdr:colOff>365760</xdr:colOff>
                    <xdr:row>86</xdr:row>
                    <xdr:rowOff>137160</xdr:rowOff>
                  </to>
                </anchor>
              </controlPr>
            </control>
          </mc:Choice>
        </mc:AlternateContent>
        <mc:AlternateContent xmlns:mc="http://schemas.openxmlformats.org/markup-compatibility/2006">
          <mc:Choice Requires="x14">
            <control shapeId="12294" r:id="rId9" name="Button 6">
              <controlPr defaultSize="0" print="0" autoFill="0" autoPict="0" macro="[0]!Button_CopyCAN">
                <anchor moveWithCells="1" sizeWithCells="1">
                  <from>
                    <xdr:col>33</xdr:col>
                    <xdr:colOff>15240</xdr:colOff>
                    <xdr:row>96</xdr:row>
                    <xdr:rowOff>38100</xdr:rowOff>
                  </from>
                  <to>
                    <xdr:col>35</xdr:col>
                    <xdr:colOff>472440</xdr:colOff>
                    <xdr:row>98</xdr:row>
                    <xdr:rowOff>137160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532"/>
  <sheetViews>
    <sheetView zoomScale="115" zoomScaleNormal="115" workbookViewId="0">
      <selection activeCell="F45" sqref="F45:F52"/>
    </sheetView>
  </sheetViews>
  <sheetFormatPr defaultRowHeight="14.4" x14ac:dyDescent="0.25"/>
  <cols>
    <col min="1" max="1" width="33.21875" customWidth="1"/>
    <col min="2" max="2" width="21.21875" customWidth="1"/>
    <col min="3" max="3" width="8.5546875" bestFit="1" customWidth="1"/>
    <col min="4" max="4" width="44.21875" bestFit="1" customWidth="1"/>
    <col min="5" max="5" width="18.44140625" customWidth="1"/>
    <col min="6" max="8" width="17.77734375" bestFit="1" customWidth="1"/>
    <col min="9" max="10" width="7.5546875" bestFit="1" customWidth="1"/>
  </cols>
  <sheetData>
    <row r="1" spans="1:8" ht="15" thickBot="1" x14ac:dyDescent="0.3"/>
    <row r="2" spans="1:8" x14ac:dyDescent="0.25">
      <c r="A2" s="131" t="s">
        <v>3</v>
      </c>
      <c r="B2" s="132"/>
      <c r="D2" s="25" t="s">
        <v>18</v>
      </c>
      <c r="E2" s="26" t="s">
        <v>8</v>
      </c>
      <c r="F2" s="26" t="s">
        <v>12</v>
      </c>
      <c r="G2" s="26" t="s">
        <v>14</v>
      </c>
      <c r="H2" s="26" t="s">
        <v>17</v>
      </c>
    </row>
    <row r="3" spans="1:8" x14ac:dyDescent="0.25">
      <c r="A3" s="52" t="s">
        <v>38</v>
      </c>
      <c r="B3" s="22">
        <v>8</v>
      </c>
      <c r="D3" s="44"/>
      <c r="E3" s="19" t="s">
        <v>9</v>
      </c>
      <c r="F3" s="19" t="s">
        <v>9</v>
      </c>
      <c r="G3" s="19" t="s">
        <v>9</v>
      </c>
      <c r="H3" s="19" t="s">
        <v>9</v>
      </c>
    </row>
    <row r="4" spans="1:8" x14ac:dyDescent="0.25">
      <c r="A4" s="51" t="s">
        <v>39</v>
      </c>
      <c r="B4" s="24">
        <v>40</v>
      </c>
      <c r="D4" s="44" t="s">
        <v>19</v>
      </c>
      <c r="E4" s="19" t="s">
        <v>10</v>
      </c>
      <c r="F4" s="19" t="s">
        <v>10</v>
      </c>
      <c r="G4" s="19" t="s">
        <v>10</v>
      </c>
      <c r="H4" s="19" t="s">
        <v>10</v>
      </c>
    </row>
    <row r="5" spans="1:8" ht="15" customHeight="1" x14ac:dyDescent="0.25">
      <c r="A5" s="52" t="s">
        <v>40</v>
      </c>
      <c r="B5" s="23">
        <v>180</v>
      </c>
      <c r="D5" s="16"/>
      <c r="E5" s="19" t="s">
        <v>11</v>
      </c>
      <c r="F5" s="19" t="s">
        <v>11</v>
      </c>
      <c r="G5" s="19" t="s">
        <v>11</v>
      </c>
      <c r="H5" s="19" t="s">
        <v>11</v>
      </c>
    </row>
    <row r="6" spans="1:8" x14ac:dyDescent="0.25">
      <c r="A6" s="51" t="s">
        <v>41</v>
      </c>
      <c r="B6" s="24">
        <v>320</v>
      </c>
      <c r="D6" s="16"/>
      <c r="E6" s="19"/>
      <c r="F6" s="19" t="s">
        <v>13</v>
      </c>
      <c r="G6" s="19" t="s">
        <v>15</v>
      </c>
      <c r="H6" s="19" t="s">
        <v>13</v>
      </c>
    </row>
    <row r="7" spans="1:8" x14ac:dyDescent="0.25">
      <c r="A7" s="52" t="s">
        <v>42</v>
      </c>
      <c r="B7" s="23">
        <v>90</v>
      </c>
      <c r="D7" s="16"/>
      <c r="E7" s="19"/>
      <c r="F7" s="19"/>
      <c r="G7" s="19" t="s">
        <v>16</v>
      </c>
      <c r="H7" s="19" t="s">
        <v>15</v>
      </c>
    </row>
    <row r="8" spans="1:8" x14ac:dyDescent="0.25">
      <c r="A8" s="51" t="s">
        <v>43</v>
      </c>
      <c r="B8" s="24">
        <v>160</v>
      </c>
      <c r="D8" s="16"/>
      <c r="E8" s="19"/>
      <c r="F8" s="19"/>
      <c r="G8" s="19"/>
      <c r="H8" s="19" t="s">
        <v>16</v>
      </c>
    </row>
    <row r="9" spans="1:8" ht="15" thickBot="1" x14ac:dyDescent="0.3">
      <c r="D9" s="17"/>
      <c r="E9" s="20"/>
      <c r="F9" s="20"/>
      <c r="G9" s="20"/>
      <c r="H9" s="20"/>
    </row>
    <row r="10" spans="1:8" ht="15" thickBot="1" x14ac:dyDescent="0.3">
      <c r="D10" s="18"/>
    </row>
    <row r="11" spans="1:8" x14ac:dyDescent="0.25">
      <c r="D11" s="25" t="s">
        <v>34</v>
      </c>
      <c r="E11" s="26" t="s">
        <v>36</v>
      </c>
      <c r="F11" s="26" t="s">
        <v>37</v>
      </c>
    </row>
    <row r="12" spans="1:8" x14ac:dyDescent="0.25">
      <c r="D12" s="44" t="s">
        <v>35</v>
      </c>
      <c r="E12" s="19">
        <v>2</v>
      </c>
      <c r="F12" s="19">
        <v>3</v>
      </c>
    </row>
    <row r="13" spans="1:8" ht="15" thickBot="1" x14ac:dyDescent="0.3">
      <c r="D13" s="44"/>
      <c r="E13" s="19">
        <v>3</v>
      </c>
      <c r="F13" s="19"/>
    </row>
    <row r="14" spans="1:8" ht="15" thickBot="1" x14ac:dyDescent="0.3">
      <c r="A14" s="25" t="s">
        <v>4</v>
      </c>
      <c r="B14" s="26" t="s">
        <v>46</v>
      </c>
      <c r="D14" s="17"/>
      <c r="E14" s="20"/>
      <c r="F14" s="20"/>
    </row>
    <row r="15" spans="1:8" x14ac:dyDescent="0.25">
      <c r="A15" s="53" t="s">
        <v>47</v>
      </c>
      <c r="B15" s="19">
        <v>80</v>
      </c>
    </row>
    <row r="16" spans="1:8" x14ac:dyDescent="0.25">
      <c r="A16" s="53" t="s">
        <v>48</v>
      </c>
      <c r="B16" s="19">
        <v>80</v>
      </c>
    </row>
    <row r="17" spans="1:7" x14ac:dyDescent="0.25">
      <c r="A17" s="53" t="s">
        <v>49</v>
      </c>
      <c r="B17" s="19">
        <v>48</v>
      </c>
    </row>
    <row r="18" spans="1:7" x14ac:dyDescent="0.25">
      <c r="A18" s="53" t="s">
        <v>50</v>
      </c>
      <c r="B18" s="19">
        <v>26.67</v>
      </c>
    </row>
    <row r="19" spans="1:7" x14ac:dyDescent="0.25">
      <c r="A19" s="53" t="s">
        <v>67</v>
      </c>
      <c r="B19" s="19">
        <v>80</v>
      </c>
    </row>
    <row r="20" spans="1:7" x14ac:dyDescent="0.25">
      <c r="A20" s="53" t="s">
        <v>68</v>
      </c>
      <c r="B20" s="19">
        <v>40</v>
      </c>
    </row>
    <row r="21" spans="1:7" ht="15" thickBot="1" x14ac:dyDescent="0.3">
      <c r="A21" s="53" t="s">
        <v>69</v>
      </c>
      <c r="B21" s="19">
        <v>48</v>
      </c>
    </row>
    <row r="22" spans="1:7" x14ac:dyDescent="0.25">
      <c r="A22" s="53" t="s">
        <v>70</v>
      </c>
      <c r="B22" s="19">
        <v>48</v>
      </c>
      <c r="D22" s="25" t="s">
        <v>21</v>
      </c>
      <c r="E22" s="26" t="s">
        <v>24</v>
      </c>
      <c r="F22" s="26" t="s">
        <v>23</v>
      </c>
      <c r="G22" s="65" t="s">
        <v>3172</v>
      </c>
    </row>
    <row r="23" spans="1:7" x14ac:dyDescent="0.25">
      <c r="A23" s="53" t="s">
        <v>71</v>
      </c>
      <c r="B23" s="19">
        <v>8</v>
      </c>
      <c r="D23" s="44"/>
      <c r="E23" s="19">
        <v>1</v>
      </c>
      <c r="F23" s="19">
        <v>2</v>
      </c>
      <c r="G23" s="19">
        <v>1</v>
      </c>
    </row>
    <row r="24" spans="1:7" x14ac:dyDescent="0.25">
      <c r="A24" s="53" t="s">
        <v>72</v>
      </c>
      <c r="B24" s="19">
        <v>8</v>
      </c>
      <c r="D24" s="44" t="s">
        <v>22</v>
      </c>
      <c r="E24" s="19">
        <v>2</v>
      </c>
      <c r="F24" s="19"/>
      <c r="G24" s="19">
        <v>2</v>
      </c>
    </row>
    <row r="25" spans="1:7" x14ac:dyDescent="0.25">
      <c r="A25" s="53" t="s">
        <v>73</v>
      </c>
      <c r="B25" s="19">
        <v>40</v>
      </c>
      <c r="D25" s="16"/>
      <c r="E25" s="19">
        <v>3</v>
      </c>
      <c r="F25" s="19"/>
      <c r="G25" s="19">
        <v>3</v>
      </c>
    </row>
    <row r="26" spans="1:7" x14ac:dyDescent="0.25">
      <c r="A26" s="53" t="s">
        <v>74</v>
      </c>
      <c r="B26" s="19">
        <v>40</v>
      </c>
      <c r="D26" s="16"/>
      <c r="E26" s="19">
        <v>6</v>
      </c>
      <c r="F26" s="19"/>
      <c r="G26" s="19"/>
    </row>
    <row r="27" spans="1:7" ht="15" thickBot="1" x14ac:dyDescent="0.3">
      <c r="A27" s="53" t="s">
        <v>5</v>
      </c>
      <c r="B27" s="19">
        <v>50</v>
      </c>
      <c r="D27" s="17"/>
      <c r="E27" s="20"/>
      <c r="F27" s="20"/>
      <c r="G27" s="20"/>
    </row>
    <row r="28" spans="1:7" ht="15" thickBot="1" x14ac:dyDescent="0.3">
      <c r="A28" s="54" t="s">
        <v>228</v>
      </c>
      <c r="B28" s="20">
        <v>20</v>
      </c>
    </row>
    <row r="29" spans="1:7" ht="15" thickBot="1" x14ac:dyDescent="0.3">
      <c r="D29" s="25" t="s">
        <v>25</v>
      </c>
      <c r="E29" s="26" t="s">
        <v>27</v>
      </c>
      <c r="F29" s="26" t="s">
        <v>28</v>
      </c>
    </row>
    <row r="30" spans="1:7" x14ac:dyDescent="0.25">
      <c r="A30" s="25" t="s">
        <v>4</v>
      </c>
      <c r="B30" s="26" t="s">
        <v>51</v>
      </c>
      <c r="D30" s="44" t="s">
        <v>26</v>
      </c>
      <c r="E30" s="19">
        <v>0</v>
      </c>
      <c r="F30" s="19">
        <v>0</v>
      </c>
    </row>
    <row r="31" spans="1:7" x14ac:dyDescent="0.25">
      <c r="A31" s="53" t="s">
        <v>47</v>
      </c>
      <c r="B31" s="19">
        <v>112</v>
      </c>
      <c r="D31" s="44"/>
      <c r="E31" s="19">
        <v>1</v>
      </c>
      <c r="F31" s="19"/>
    </row>
    <row r="32" spans="1:7" ht="15" thickBot="1" x14ac:dyDescent="0.3">
      <c r="A32" s="53" t="s">
        <v>48</v>
      </c>
      <c r="B32" s="19">
        <v>112</v>
      </c>
      <c r="D32" s="17"/>
      <c r="E32" s="20"/>
      <c r="F32" s="20"/>
    </row>
    <row r="33" spans="1:6" ht="15" thickBot="1" x14ac:dyDescent="0.3">
      <c r="A33" s="53" t="s">
        <v>49</v>
      </c>
      <c r="B33" s="19">
        <v>56</v>
      </c>
    </row>
    <row r="34" spans="1:6" x14ac:dyDescent="0.25">
      <c r="A34" s="53" t="s">
        <v>50</v>
      </c>
      <c r="B34" s="19">
        <v>28</v>
      </c>
      <c r="D34" s="25" t="s">
        <v>119</v>
      </c>
      <c r="E34" s="65" t="s">
        <v>3156</v>
      </c>
    </row>
    <row r="35" spans="1:6" ht="15" thickBot="1" x14ac:dyDescent="0.3">
      <c r="A35" s="53" t="s">
        <v>67</v>
      </c>
      <c r="B35" s="19">
        <v>112</v>
      </c>
      <c r="D35" s="103" t="s">
        <v>3157</v>
      </c>
      <c r="E35" s="104">
        <v>80</v>
      </c>
    </row>
    <row r="36" spans="1:6" ht="15" thickBot="1" x14ac:dyDescent="0.3">
      <c r="A36" s="53" t="s">
        <v>68</v>
      </c>
      <c r="B36" s="19">
        <v>56</v>
      </c>
    </row>
    <row r="37" spans="1:6" x14ac:dyDescent="0.25">
      <c r="A37" s="53" t="s">
        <v>69</v>
      </c>
      <c r="B37" s="19">
        <v>48</v>
      </c>
      <c r="D37" s="25" t="s">
        <v>3173</v>
      </c>
      <c r="E37" s="65" t="s">
        <v>3170</v>
      </c>
      <c r="F37" s="65" t="s">
        <v>3169</v>
      </c>
    </row>
    <row r="38" spans="1:6" x14ac:dyDescent="0.25">
      <c r="A38" s="53" t="s">
        <v>70</v>
      </c>
      <c r="B38" s="19">
        <v>48</v>
      </c>
      <c r="D38" s="44" t="s">
        <v>3174</v>
      </c>
      <c r="E38" s="19">
        <v>0</v>
      </c>
      <c r="F38" s="19">
        <v>0</v>
      </c>
    </row>
    <row r="39" spans="1:6" x14ac:dyDescent="0.25">
      <c r="A39" s="53" t="s">
        <v>71</v>
      </c>
      <c r="B39" s="19">
        <v>8</v>
      </c>
      <c r="D39" s="44"/>
      <c r="E39" s="19">
        <v>1</v>
      </c>
      <c r="F39" s="19">
        <v>1</v>
      </c>
    </row>
    <row r="40" spans="1:6" x14ac:dyDescent="0.25">
      <c r="A40" s="53" t="s">
        <v>72</v>
      </c>
      <c r="B40" s="19">
        <v>8</v>
      </c>
      <c r="D40" s="44"/>
      <c r="E40" s="19">
        <v>2</v>
      </c>
      <c r="F40" s="19">
        <v>2</v>
      </c>
    </row>
    <row r="41" spans="1:6" x14ac:dyDescent="0.25">
      <c r="A41" s="53" t="s">
        <v>73</v>
      </c>
      <c r="B41" s="19">
        <v>40</v>
      </c>
      <c r="D41" s="44"/>
      <c r="E41" s="19">
        <v>3</v>
      </c>
      <c r="F41" s="19">
        <v>3</v>
      </c>
    </row>
    <row r="42" spans="1:6" ht="15" thickBot="1" x14ac:dyDescent="0.3">
      <c r="A42" s="53" t="s">
        <v>74</v>
      </c>
      <c r="B42" s="19">
        <v>40</v>
      </c>
      <c r="D42" s="17"/>
      <c r="E42" s="20">
        <v>6</v>
      </c>
      <c r="F42" s="20"/>
    </row>
    <row r="43" spans="1:6" ht="15" thickBot="1" x14ac:dyDescent="0.3">
      <c r="A43" s="53" t="s">
        <v>5</v>
      </c>
      <c r="B43" s="19">
        <v>50</v>
      </c>
    </row>
    <row r="44" spans="1:6" ht="15" thickBot="1" x14ac:dyDescent="0.3">
      <c r="A44" s="54" t="s">
        <v>228</v>
      </c>
      <c r="B44" s="20">
        <v>20</v>
      </c>
      <c r="D44" s="25" t="s">
        <v>2929</v>
      </c>
      <c r="E44" s="65" t="s">
        <v>3170</v>
      </c>
      <c r="F44" s="65" t="s">
        <v>3169</v>
      </c>
    </row>
    <row r="45" spans="1:6" ht="15" thickBot="1" x14ac:dyDescent="0.3">
      <c r="D45" s="44" t="s">
        <v>3175</v>
      </c>
      <c r="E45" s="19">
        <v>0</v>
      </c>
      <c r="F45" s="19">
        <v>0</v>
      </c>
    </row>
    <row r="46" spans="1:6" x14ac:dyDescent="0.25">
      <c r="A46" s="25" t="s">
        <v>4</v>
      </c>
      <c r="B46" s="26" t="s">
        <v>52</v>
      </c>
      <c r="D46" s="44"/>
      <c r="E46" s="19">
        <v>2</v>
      </c>
      <c r="F46" s="19">
        <v>2</v>
      </c>
    </row>
    <row r="47" spans="1:6" x14ac:dyDescent="0.25">
      <c r="A47" s="53" t="s">
        <v>47</v>
      </c>
      <c r="B47" s="19">
        <v>4</v>
      </c>
      <c r="D47" s="44"/>
      <c r="E47" s="19">
        <v>4</v>
      </c>
      <c r="F47" s="19">
        <v>4</v>
      </c>
    </row>
    <row r="48" spans="1:6" x14ac:dyDescent="0.25">
      <c r="A48" s="53" t="s">
        <v>48</v>
      </c>
      <c r="B48" s="19">
        <v>4</v>
      </c>
      <c r="D48" s="44"/>
      <c r="E48" s="19">
        <v>5</v>
      </c>
      <c r="F48" s="19">
        <v>6</v>
      </c>
    </row>
    <row r="49" spans="1:6" x14ac:dyDescent="0.25">
      <c r="A49" s="53" t="s">
        <v>49</v>
      </c>
      <c r="B49" s="19">
        <v>4</v>
      </c>
      <c r="D49" s="44"/>
      <c r="E49" s="19">
        <v>6</v>
      </c>
      <c r="F49" s="19">
        <v>9</v>
      </c>
    </row>
    <row r="50" spans="1:6" x14ac:dyDescent="0.25">
      <c r="A50" s="53" t="s">
        <v>50</v>
      </c>
      <c r="B50" s="19">
        <v>1</v>
      </c>
      <c r="D50" s="44"/>
      <c r="E50" s="19">
        <v>8</v>
      </c>
      <c r="F50" s="19">
        <v>10</v>
      </c>
    </row>
    <row r="51" spans="1:6" x14ac:dyDescent="0.25">
      <c r="A51" s="53" t="s">
        <v>67</v>
      </c>
      <c r="B51" s="19">
        <v>0</v>
      </c>
      <c r="D51" s="44"/>
      <c r="E51" s="19">
        <v>9</v>
      </c>
      <c r="F51" s="19">
        <v>12</v>
      </c>
    </row>
    <row r="52" spans="1:6" x14ac:dyDescent="0.25">
      <c r="A52" s="53" t="s">
        <v>68</v>
      </c>
      <c r="B52" s="19">
        <v>0</v>
      </c>
      <c r="D52" s="44"/>
      <c r="E52" s="19">
        <v>10</v>
      </c>
      <c r="F52" s="19">
        <v>14</v>
      </c>
    </row>
    <row r="53" spans="1:6" x14ac:dyDescent="0.25">
      <c r="A53" s="53" t="s">
        <v>69</v>
      </c>
      <c r="B53" s="19">
        <v>0</v>
      </c>
      <c r="D53" s="44"/>
      <c r="E53" s="19">
        <v>11</v>
      </c>
      <c r="F53" s="19"/>
    </row>
    <row r="54" spans="1:6" x14ac:dyDescent="0.25">
      <c r="A54" s="53" t="s">
        <v>70</v>
      </c>
      <c r="B54" s="19">
        <v>0</v>
      </c>
      <c r="D54" s="44"/>
      <c r="E54" s="19">
        <v>12</v>
      </c>
      <c r="F54" s="19"/>
    </row>
    <row r="55" spans="1:6" x14ac:dyDescent="0.25">
      <c r="A55" s="53" t="s">
        <v>71</v>
      </c>
      <c r="B55" s="19">
        <v>4</v>
      </c>
      <c r="D55" s="44"/>
      <c r="E55" s="19">
        <v>13</v>
      </c>
      <c r="F55" s="19"/>
    </row>
    <row r="56" spans="1:6" x14ac:dyDescent="0.25">
      <c r="A56" s="53" t="s">
        <v>72</v>
      </c>
      <c r="B56" s="19">
        <v>4</v>
      </c>
      <c r="D56" s="44"/>
      <c r="E56" s="19">
        <v>14</v>
      </c>
      <c r="F56" s="19"/>
    </row>
    <row r="57" spans="1:6" ht="15" thickBot="1" x14ac:dyDescent="0.3">
      <c r="A57" s="53" t="s">
        <v>73</v>
      </c>
      <c r="B57" s="19">
        <v>0</v>
      </c>
      <c r="D57" s="17"/>
      <c r="E57" s="20">
        <v>15</v>
      </c>
      <c r="F57" s="20"/>
    </row>
    <row r="58" spans="1:6" x14ac:dyDescent="0.25">
      <c r="A58" s="53" t="s">
        <v>74</v>
      </c>
      <c r="B58" s="19">
        <v>0</v>
      </c>
    </row>
    <row r="59" spans="1:6" x14ac:dyDescent="0.25">
      <c r="A59" s="53" t="s">
        <v>5</v>
      </c>
      <c r="B59" s="19">
        <v>4</v>
      </c>
    </row>
    <row r="60" spans="1:6" x14ac:dyDescent="0.25">
      <c r="A60" s="53" t="s">
        <v>65</v>
      </c>
      <c r="B60" s="19">
        <v>1</v>
      </c>
    </row>
    <row r="61" spans="1:6" ht="15" thickBot="1" x14ac:dyDescent="0.3">
      <c r="A61" s="54" t="s">
        <v>228</v>
      </c>
      <c r="B61" s="20">
        <v>20</v>
      </c>
    </row>
    <row r="62" spans="1:6" ht="15" thickBot="1" x14ac:dyDescent="0.3"/>
    <row r="63" spans="1:6" x14ac:dyDescent="0.25">
      <c r="A63" s="25" t="s">
        <v>4</v>
      </c>
      <c r="B63" s="26" t="s">
        <v>53</v>
      </c>
    </row>
    <row r="64" spans="1:6" x14ac:dyDescent="0.25">
      <c r="A64" s="53" t="s">
        <v>47</v>
      </c>
      <c r="B64" s="19">
        <v>0</v>
      </c>
    </row>
    <row r="65" spans="1:2" x14ac:dyDescent="0.25">
      <c r="A65" s="53" t="s">
        <v>48</v>
      </c>
      <c r="B65" s="19">
        <v>0</v>
      </c>
    </row>
    <row r="66" spans="1:2" x14ac:dyDescent="0.25">
      <c r="A66" s="53" t="s">
        <v>49</v>
      </c>
      <c r="B66" s="19">
        <v>0</v>
      </c>
    </row>
    <row r="67" spans="1:2" x14ac:dyDescent="0.25">
      <c r="A67" s="53" t="s">
        <v>50</v>
      </c>
      <c r="B67" s="19">
        <v>0</v>
      </c>
    </row>
    <row r="68" spans="1:2" x14ac:dyDescent="0.25">
      <c r="A68" s="53" t="s">
        <v>67</v>
      </c>
      <c r="B68" s="19">
        <v>80</v>
      </c>
    </row>
    <row r="69" spans="1:2" x14ac:dyDescent="0.25">
      <c r="A69" s="53" t="s">
        <v>68</v>
      </c>
      <c r="B69" s="19">
        <v>40</v>
      </c>
    </row>
    <row r="70" spans="1:2" x14ac:dyDescent="0.25">
      <c r="A70" s="53" t="s">
        <v>69</v>
      </c>
      <c r="B70" s="19">
        <v>48</v>
      </c>
    </row>
    <row r="71" spans="1:2" x14ac:dyDescent="0.25">
      <c r="A71" s="53" t="s">
        <v>70</v>
      </c>
      <c r="B71" s="19">
        <v>48</v>
      </c>
    </row>
    <row r="72" spans="1:2" x14ac:dyDescent="0.25">
      <c r="A72" s="53" t="s">
        <v>71</v>
      </c>
      <c r="B72" s="19">
        <v>8</v>
      </c>
    </row>
    <row r="73" spans="1:2" x14ac:dyDescent="0.25">
      <c r="A73" s="53" t="s">
        <v>72</v>
      </c>
      <c r="B73" s="19">
        <v>8</v>
      </c>
    </row>
    <row r="74" spans="1:2" x14ac:dyDescent="0.25">
      <c r="A74" s="53" t="s">
        <v>73</v>
      </c>
      <c r="B74" s="19">
        <v>40</v>
      </c>
    </row>
    <row r="75" spans="1:2" x14ac:dyDescent="0.25">
      <c r="A75" s="53" t="s">
        <v>74</v>
      </c>
      <c r="B75" s="19">
        <v>40</v>
      </c>
    </row>
    <row r="76" spans="1:2" x14ac:dyDescent="0.25">
      <c r="A76" s="53" t="s">
        <v>5</v>
      </c>
      <c r="B76" s="19">
        <v>50</v>
      </c>
    </row>
    <row r="77" spans="1:2" ht="15" thickBot="1" x14ac:dyDescent="0.3">
      <c r="A77" s="54" t="s">
        <v>228</v>
      </c>
      <c r="B77" s="20">
        <v>20</v>
      </c>
    </row>
    <row r="78" spans="1:2" ht="15" thickBot="1" x14ac:dyDescent="0.3"/>
    <row r="79" spans="1:2" x14ac:dyDescent="0.25">
      <c r="A79" s="25" t="s">
        <v>4</v>
      </c>
      <c r="B79" s="26" t="s">
        <v>54</v>
      </c>
    </row>
    <row r="80" spans="1:2" x14ac:dyDescent="0.25">
      <c r="A80" s="53" t="s">
        <v>47</v>
      </c>
      <c r="B80" s="19">
        <v>0</v>
      </c>
    </row>
    <row r="81" spans="1:2" x14ac:dyDescent="0.25">
      <c r="A81" s="53" t="s">
        <v>48</v>
      </c>
      <c r="B81" s="19">
        <v>0</v>
      </c>
    </row>
    <row r="82" spans="1:2" x14ac:dyDescent="0.25">
      <c r="A82" s="53" t="s">
        <v>49</v>
      </c>
      <c r="B82" s="19">
        <v>48</v>
      </c>
    </row>
    <row r="83" spans="1:2" x14ac:dyDescent="0.25">
      <c r="A83" s="53" t="s">
        <v>50</v>
      </c>
      <c r="B83" s="19">
        <v>26.67</v>
      </c>
    </row>
    <row r="84" spans="1:2" x14ac:dyDescent="0.25">
      <c r="A84" s="53" t="s">
        <v>67</v>
      </c>
      <c r="B84" s="19">
        <v>80</v>
      </c>
    </row>
    <row r="85" spans="1:2" x14ac:dyDescent="0.25">
      <c r="A85" s="53" t="s">
        <v>68</v>
      </c>
      <c r="B85" s="19">
        <v>40</v>
      </c>
    </row>
    <row r="86" spans="1:2" x14ac:dyDescent="0.25">
      <c r="A86" s="53" t="s">
        <v>69</v>
      </c>
      <c r="B86" s="19">
        <v>48</v>
      </c>
    </row>
    <row r="87" spans="1:2" x14ac:dyDescent="0.25">
      <c r="A87" s="53" t="s">
        <v>70</v>
      </c>
      <c r="B87" s="19">
        <v>48</v>
      </c>
    </row>
    <row r="88" spans="1:2" x14ac:dyDescent="0.25">
      <c r="A88" s="53" t="s">
        <v>71</v>
      </c>
      <c r="B88" s="19">
        <v>8</v>
      </c>
    </row>
    <row r="89" spans="1:2" x14ac:dyDescent="0.25">
      <c r="A89" s="53" t="s">
        <v>72</v>
      </c>
      <c r="B89" s="19">
        <v>8</v>
      </c>
    </row>
    <row r="90" spans="1:2" x14ac:dyDescent="0.25">
      <c r="A90" s="53" t="s">
        <v>73</v>
      </c>
      <c r="B90" s="19">
        <v>40</v>
      </c>
    </row>
    <row r="91" spans="1:2" x14ac:dyDescent="0.25">
      <c r="A91" s="53" t="s">
        <v>74</v>
      </c>
      <c r="B91" s="19">
        <v>40</v>
      </c>
    </row>
    <row r="92" spans="1:2" x14ac:dyDescent="0.25">
      <c r="A92" s="53" t="s">
        <v>5</v>
      </c>
      <c r="B92" s="19">
        <v>50</v>
      </c>
    </row>
    <row r="93" spans="1:2" ht="15" thickBot="1" x14ac:dyDescent="0.3">
      <c r="A93" s="54" t="s">
        <v>228</v>
      </c>
      <c r="B93" s="20">
        <v>20</v>
      </c>
    </row>
    <row r="94" spans="1:2" ht="15" thickBot="1" x14ac:dyDescent="0.3"/>
    <row r="95" spans="1:2" x14ac:dyDescent="0.25">
      <c r="A95" s="25" t="s">
        <v>4</v>
      </c>
      <c r="B95" s="26" t="s">
        <v>55</v>
      </c>
    </row>
    <row r="96" spans="1:2" x14ac:dyDescent="0.25">
      <c r="A96" s="53" t="s">
        <v>47</v>
      </c>
      <c r="B96" s="19">
        <v>0</v>
      </c>
    </row>
    <row r="97" spans="1:5" x14ac:dyDescent="0.25">
      <c r="A97" s="53" t="s">
        <v>48</v>
      </c>
      <c r="B97" s="19">
        <v>0</v>
      </c>
    </row>
    <row r="98" spans="1:5" x14ac:dyDescent="0.25">
      <c r="A98" s="53" t="s">
        <v>49</v>
      </c>
      <c r="B98" s="19">
        <v>0</v>
      </c>
    </row>
    <row r="99" spans="1:5" x14ac:dyDescent="0.25">
      <c r="A99" s="53" t="s">
        <v>50</v>
      </c>
      <c r="B99" s="19">
        <v>0</v>
      </c>
    </row>
    <row r="100" spans="1:5" x14ac:dyDescent="0.25">
      <c r="A100" s="53" t="s">
        <v>67</v>
      </c>
      <c r="B100" s="19">
        <v>0</v>
      </c>
    </row>
    <row r="101" spans="1:5" x14ac:dyDescent="0.25">
      <c r="A101" s="53" t="s">
        <v>68</v>
      </c>
      <c r="B101" s="19">
        <v>0</v>
      </c>
    </row>
    <row r="102" spans="1:5" x14ac:dyDescent="0.25">
      <c r="A102" s="53" t="s">
        <v>69</v>
      </c>
      <c r="B102" s="19">
        <v>0</v>
      </c>
    </row>
    <row r="103" spans="1:5" x14ac:dyDescent="0.25">
      <c r="A103" s="53" t="s">
        <v>70</v>
      </c>
      <c r="B103" s="19">
        <v>0</v>
      </c>
    </row>
    <row r="104" spans="1:5" x14ac:dyDescent="0.25">
      <c r="A104" s="53" t="s">
        <v>71</v>
      </c>
      <c r="B104" s="19">
        <v>4</v>
      </c>
    </row>
    <row r="105" spans="1:5" x14ac:dyDescent="0.25">
      <c r="A105" s="53" t="s">
        <v>72</v>
      </c>
      <c r="B105" s="19">
        <v>4</v>
      </c>
    </row>
    <row r="106" spans="1:5" x14ac:dyDescent="0.25">
      <c r="A106" s="53" t="s">
        <v>73</v>
      </c>
      <c r="B106" s="19">
        <v>0</v>
      </c>
    </row>
    <row r="107" spans="1:5" x14ac:dyDescent="0.25">
      <c r="A107" s="53" t="s">
        <v>74</v>
      </c>
      <c r="B107" s="19">
        <v>0</v>
      </c>
    </row>
    <row r="108" spans="1:5" x14ac:dyDescent="0.25">
      <c r="A108" s="53" t="s">
        <v>5</v>
      </c>
      <c r="B108" s="19">
        <v>0</v>
      </c>
    </row>
    <row r="109" spans="1:5" ht="15" thickBot="1" x14ac:dyDescent="0.3">
      <c r="A109" s="54" t="s">
        <v>228</v>
      </c>
      <c r="B109" s="20">
        <v>20</v>
      </c>
    </row>
    <row r="110" spans="1:5" ht="15" thickBot="1" x14ac:dyDescent="0.3"/>
    <row r="111" spans="1:5" ht="15" thickBot="1" x14ac:dyDescent="0.3">
      <c r="A111" s="82" t="s">
        <v>229</v>
      </c>
      <c r="B111" s="83"/>
      <c r="C111" s="90"/>
      <c r="D111" s="90"/>
      <c r="E111" s="84"/>
    </row>
    <row r="112" spans="1:5" x14ac:dyDescent="0.25">
      <c r="A112" s="19">
        <v>0</v>
      </c>
      <c r="B112" s="16" t="s">
        <v>230</v>
      </c>
      <c r="C112" s="87" t="s">
        <v>234</v>
      </c>
      <c r="D112" s="88" t="s">
        <v>235</v>
      </c>
      <c r="E112" s="85" t="s">
        <v>236</v>
      </c>
    </row>
    <row r="113" spans="1:33" x14ac:dyDescent="0.25">
      <c r="A113" s="19">
        <v>1</v>
      </c>
      <c r="B113" s="16" t="s">
        <v>237</v>
      </c>
      <c r="C113" s="88" t="s">
        <v>231</v>
      </c>
      <c r="D113" s="88" t="s">
        <v>244</v>
      </c>
      <c r="E113" s="85" t="s">
        <v>245</v>
      </c>
    </row>
    <row r="114" spans="1:33" x14ac:dyDescent="0.25">
      <c r="A114" s="19">
        <v>2</v>
      </c>
      <c r="B114" s="16" t="s">
        <v>238</v>
      </c>
      <c r="C114" s="88" t="s">
        <v>246</v>
      </c>
      <c r="D114" s="88" t="s">
        <v>232</v>
      </c>
      <c r="E114" s="85" t="s">
        <v>247</v>
      </c>
    </row>
    <row r="115" spans="1:33" x14ac:dyDescent="0.25">
      <c r="A115" s="19">
        <v>3</v>
      </c>
      <c r="B115" s="16" t="s">
        <v>239</v>
      </c>
      <c r="C115" s="88" t="s">
        <v>248</v>
      </c>
      <c r="D115" s="88" t="s">
        <v>249</v>
      </c>
      <c r="E115" s="85" t="s">
        <v>233</v>
      </c>
    </row>
    <row r="116" spans="1:33" x14ac:dyDescent="0.25">
      <c r="A116" s="19">
        <v>4</v>
      </c>
      <c r="B116" s="16" t="s">
        <v>240</v>
      </c>
      <c r="C116" s="88" t="s">
        <v>250</v>
      </c>
      <c r="D116" s="88" t="s">
        <v>251</v>
      </c>
      <c r="E116" s="85" t="s">
        <v>252</v>
      </c>
    </row>
    <row r="117" spans="1:33" x14ac:dyDescent="0.25">
      <c r="A117" s="19">
        <v>5</v>
      </c>
      <c r="B117" s="16" t="s">
        <v>241</v>
      </c>
      <c r="C117" s="88" t="s">
        <v>253</v>
      </c>
      <c r="D117" s="88" t="s">
        <v>254</v>
      </c>
      <c r="E117" s="85" t="s">
        <v>255</v>
      </c>
    </row>
    <row r="118" spans="1:33" x14ac:dyDescent="0.25">
      <c r="A118" s="19">
        <v>6</v>
      </c>
      <c r="B118" s="16" t="s">
        <v>242</v>
      </c>
      <c r="C118" s="88" t="s">
        <v>256</v>
      </c>
      <c r="D118" s="88" t="s">
        <v>257</v>
      </c>
      <c r="E118" s="85" t="s">
        <v>258</v>
      </c>
    </row>
    <row r="119" spans="1:33" ht="15" thickBot="1" x14ac:dyDescent="0.3">
      <c r="A119" s="20">
        <v>7</v>
      </c>
      <c r="B119" s="17" t="s">
        <v>243</v>
      </c>
      <c r="C119" s="89" t="s">
        <v>259</v>
      </c>
      <c r="D119" s="89" t="s">
        <v>260</v>
      </c>
      <c r="E119" s="86" t="s">
        <v>261</v>
      </c>
    </row>
    <row r="120" spans="1:33" ht="15" thickBot="1" x14ac:dyDescent="0.3"/>
    <row r="121" spans="1:33" ht="15" thickBot="1" x14ac:dyDescent="0.3">
      <c r="A121" s="82" t="s">
        <v>262</v>
      </c>
      <c r="B121" s="83"/>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84"/>
    </row>
    <row r="122" spans="1:33" x14ac:dyDescent="0.25">
      <c r="A122" s="19">
        <v>0</v>
      </c>
      <c r="B122" s="91" t="s">
        <v>263</v>
      </c>
      <c r="C122" s="92" t="s">
        <v>310</v>
      </c>
      <c r="D122" s="92" t="s">
        <v>355</v>
      </c>
      <c r="E122" s="92" t="s">
        <v>385</v>
      </c>
      <c r="F122" s="92" t="s">
        <v>415</v>
      </c>
      <c r="G122" s="92" t="s">
        <v>445</v>
      </c>
      <c r="H122" s="92" t="s">
        <v>475</v>
      </c>
      <c r="I122" s="92" t="s">
        <v>505</v>
      </c>
      <c r="J122" s="92" t="s">
        <v>535</v>
      </c>
      <c r="K122" s="92" t="s">
        <v>565</v>
      </c>
      <c r="L122" s="92" t="s">
        <v>595</v>
      </c>
      <c r="M122" s="92" t="s">
        <v>629</v>
      </c>
      <c r="N122" s="92" t="s">
        <v>659</v>
      </c>
      <c r="O122" s="92" t="s">
        <v>688</v>
      </c>
      <c r="P122" s="92" t="s">
        <v>717</v>
      </c>
      <c r="Q122" s="92" t="s">
        <v>746</v>
      </c>
      <c r="R122" s="92" t="s">
        <v>775</v>
      </c>
      <c r="S122" s="92" t="s">
        <v>807</v>
      </c>
      <c r="T122" s="92" t="s">
        <v>839</v>
      </c>
      <c r="U122" s="92" t="s">
        <v>871</v>
      </c>
      <c r="V122" s="92" t="s">
        <v>903</v>
      </c>
      <c r="W122" s="92" t="s">
        <v>944</v>
      </c>
      <c r="X122" s="92" t="s">
        <v>975</v>
      </c>
      <c r="Y122" s="92" t="s">
        <v>1006</v>
      </c>
      <c r="Z122" s="92" t="s">
        <v>1037</v>
      </c>
      <c r="AA122" s="92" t="s">
        <v>1068</v>
      </c>
      <c r="AB122" s="92" t="s">
        <v>1099</v>
      </c>
      <c r="AC122" s="92" t="s">
        <v>1130</v>
      </c>
      <c r="AD122" s="92" t="s">
        <v>1161</v>
      </c>
      <c r="AE122" s="92" t="s">
        <v>1192</v>
      </c>
      <c r="AF122" s="92" t="s">
        <v>1223</v>
      </c>
      <c r="AG122" s="93" t="s">
        <v>1225</v>
      </c>
    </row>
    <row r="123" spans="1:33" x14ac:dyDescent="0.25">
      <c r="A123" s="19">
        <v>1</v>
      </c>
      <c r="B123" s="94" t="s">
        <v>279</v>
      </c>
      <c r="C123" s="95" t="s">
        <v>264</v>
      </c>
      <c r="D123" s="95" t="s">
        <v>341</v>
      </c>
      <c r="E123" s="95" t="s">
        <v>342</v>
      </c>
      <c r="F123" s="95" t="s">
        <v>343</v>
      </c>
      <c r="G123" s="95" t="s">
        <v>344</v>
      </c>
      <c r="H123" s="95" t="s">
        <v>345</v>
      </c>
      <c r="I123" s="95" t="s">
        <v>346</v>
      </c>
      <c r="J123" s="95" t="s">
        <v>347</v>
      </c>
      <c r="K123" s="95" t="s">
        <v>348</v>
      </c>
      <c r="L123" s="95" t="s">
        <v>349</v>
      </c>
      <c r="M123" s="95" t="s">
        <v>350</v>
      </c>
      <c r="N123" s="95" t="s">
        <v>351</v>
      </c>
      <c r="O123" s="95" t="s">
        <v>352</v>
      </c>
      <c r="P123" s="95" t="s">
        <v>353</v>
      </c>
      <c r="Q123" s="95" t="s">
        <v>354</v>
      </c>
      <c r="R123" s="95" t="s">
        <v>776</v>
      </c>
      <c r="S123" s="95" t="s">
        <v>808</v>
      </c>
      <c r="T123" s="95" t="s">
        <v>840</v>
      </c>
      <c r="U123" s="95" t="s">
        <v>872</v>
      </c>
      <c r="V123" s="95" t="s">
        <v>913</v>
      </c>
      <c r="W123" s="95" t="s">
        <v>904</v>
      </c>
      <c r="X123" s="95" t="s">
        <v>976</v>
      </c>
      <c r="Y123" s="95" t="s">
        <v>1007</v>
      </c>
      <c r="Z123" s="95" t="s">
        <v>1038</v>
      </c>
      <c r="AA123" s="95" t="s">
        <v>1069</v>
      </c>
      <c r="AB123" s="95" t="s">
        <v>1100</v>
      </c>
      <c r="AC123" s="95" t="s">
        <v>1131</v>
      </c>
      <c r="AD123" s="95" t="s">
        <v>1162</v>
      </c>
      <c r="AE123" s="95" t="s">
        <v>1193</v>
      </c>
      <c r="AF123" s="95" t="s">
        <v>2843</v>
      </c>
      <c r="AG123" s="96" t="s">
        <v>1224</v>
      </c>
    </row>
    <row r="124" spans="1:33" x14ac:dyDescent="0.25">
      <c r="A124" s="19">
        <v>2</v>
      </c>
      <c r="B124" s="94" t="s">
        <v>280</v>
      </c>
      <c r="C124" s="95" t="s">
        <v>311</v>
      </c>
      <c r="D124" s="95" t="s">
        <v>265</v>
      </c>
      <c r="E124" s="95" t="s">
        <v>386</v>
      </c>
      <c r="F124" s="95" t="s">
        <v>416</v>
      </c>
      <c r="G124" s="95" t="s">
        <v>446</v>
      </c>
      <c r="H124" s="95" t="s">
        <v>476</v>
      </c>
      <c r="I124" s="95" t="s">
        <v>506</v>
      </c>
      <c r="J124" s="95" t="s">
        <v>536</v>
      </c>
      <c r="K124" s="95" t="s">
        <v>566</v>
      </c>
      <c r="L124" s="95" t="s">
        <v>600</v>
      </c>
      <c r="M124" s="95" t="s">
        <v>630</v>
      </c>
      <c r="N124" s="95" t="s">
        <v>596</v>
      </c>
      <c r="O124" s="95" t="s">
        <v>689</v>
      </c>
      <c r="P124" s="95" t="s">
        <v>718</v>
      </c>
      <c r="Q124" s="95" t="s">
        <v>747</v>
      </c>
      <c r="R124" s="95" t="s">
        <v>777</v>
      </c>
      <c r="S124" s="95" t="s">
        <v>809</v>
      </c>
      <c r="T124" s="95" t="s">
        <v>841</v>
      </c>
      <c r="U124" s="95" t="s">
        <v>873</v>
      </c>
      <c r="V124" s="95" t="s">
        <v>914</v>
      </c>
      <c r="W124" s="95" t="s">
        <v>945</v>
      </c>
      <c r="X124" s="95" t="s">
        <v>905</v>
      </c>
      <c r="Y124" s="95" t="s">
        <v>1008</v>
      </c>
      <c r="Z124" s="95" t="s">
        <v>1039</v>
      </c>
      <c r="AA124" s="95" t="s">
        <v>1070</v>
      </c>
      <c r="AB124" s="95" t="s">
        <v>1101</v>
      </c>
      <c r="AC124" s="95" t="s">
        <v>1132</v>
      </c>
      <c r="AD124" s="95" t="s">
        <v>1163</v>
      </c>
      <c r="AE124" s="95" t="s">
        <v>1194</v>
      </c>
      <c r="AF124" s="95" t="s">
        <v>2844</v>
      </c>
      <c r="AG124" s="96" t="s">
        <v>1226</v>
      </c>
    </row>
    <row r="125" spans="1:33" x14ac:dyDescent="0.25">
      <c r="A125" s="19">
        <v>3</v>
      </c>
      <c r="B125" s="94" t="s">
        <v>281</v>
      </c>
      <c r="C125" s="95" t="s">
        <v>312</v>
      </c>
      <c r="D125" s="95" t="s">
        <v>356</v>
      </c>
      <c r="E125" s="95" t="s">
        <v>266</v>
      </c>
      <c r="F125" s="95" t="s">
        <v>417</v>
      </c>
      <c r="G125" s="95" t="s">
        <v>447</v>
      </c>
      <c r="H125" s="95" t="s">
        <v>477</v>
      </c>
      <c r="I125" s="95" t="s">
        <v>507</v>
      </c>
      <c r="J125" s="95" t="s">
        <v>537</v>
      </c>
      <c r="K125" s="95" t="s">
        <v>567</v>
      </c>
      <c r="L125" s="95" t="s">
        <v>601</v>
      </c>
      <c r="M125" s="95" t="s">
        <v>631</v>
      </c>
      <c r="N125" s="95" t="s">
        <v>660</v>
      </c>
      <c r="O125" s="95" t="s">
        <v>597</v>
      </c>
      <c r="P125" s="95" t="s">
        <v>719</v>
      </c>
      <c r="Q125" s="95" t="s">
        <v>748</v>
      </c>
      <c r="R125" s="95" t="s">
        <v>778</v>
      </c>
      <c r="S125" s="95" t="s">
        <v>810</v>
      </c>
      <c r="T125" s="95" t="s">
        <v>842</v>
      </c>
      <c r="U125" s="95" t="s">
        <v>874</v>
      </c>
      <c r="V125" s="95" t="s">
        <v>915</v>
      </c>
      <c r="W125" s="95" t="s">
        <v>946</v>
      </c>
      <c r="X125" s="95" t="s">
        <v>977</v>
      </c>
      <c r="Y125" s="95" t="s">
        <v>906</v>
      </c>
      <c r="Z125" s="95" t="s">
        <v>1040</v>
      </c>
      <c r="AA125" s="95" t="s">
        <v>1071</v>
      </c>
      <c r="AB125" s="95" t="s">
        <v>1102</v>
      </c>
      <c r="AC125" s="95" t="s">
        <v>1133</v>
      </c>
      <c r="AD125" s="95" t="s">
        <v>1164</v>
      </c>
      <c r="AE125" s="95" t="s">
        <v>1195</v>
      </c>
      <c r="AF125" s="95" t="s">
        <v>2845</v>
      </c>
      <c r="AG125" s="96" t="s">
        <v>1227</v>
      </c>
    </row>
    <row r="126" spans="1:33" x14ac:dyDescent="0.25">
      <c r="A126" s="19">
        <v>4</v>
      </c>
      <c r="B126" s="94" t="s">
        <v>282</v>
      </c>
      <c r="C126" s="95" t="s">
        <v>313</v>
      </c>
      <c r="D126" s="95" t="s">
        <v>357</v>
      </c>
      <c r="E126" s="95" t="s">
        <v>387</v>
      </c>
      <c r="F126" s="95" t="s">
        <v>267</v>
      </c>
      <c r="G126" s="95" t="s">
        <v>448</v>
      </c>
      <c r="H126" s="95" t="s">
        <v>478</v>
      </c>
      <c r="I126" s="95" t="s">
        <v>508</v>
      </c>
      <c r="J126" s="95" t="s">
        <v>538</v>
      </c>
      <c r="K126" s="95" t="s">
        <v>568</v>
      </c>
      <c r="L126" s="95" t="s">
        <v>602</v>
      </c>
      <c r="M126" s="95" t="s">
        <v>632</v>
      </c>
      <c r="N126" s="95" t="s">
        <v>661</v>
      </c>
      <c r="O126" s="95" t="s">
        <v>690</v>
      </c>
      <c r="P126" s="95" t="s">
        <v>598</v>
      </c>
      <c r="Q126" s="95" t="s">
        <v>749</v>
      </c>
      <c r="R126" s="95" t="s">
        <v>779</v>
      </c>
      <c r="S126" s="95" t="s">
        <v>811</v>
      </c>
      <c r="T126" s="95" t="s">
        <v>843</v>
      </c>
      <c r="U126" s="95" t="s">
        <v>875</v>
      </c>
      <c r="V126" s="95" t="s">
        <v>916</v>
      </c>
      <c r="W126" s="95" t="s">
        <v>947</v>
      </c>
      <c r="X126" s="95" t="s">
        <v>978</v>
      </c>
      <c r="Y126" s="95" t="s">
        <v>1009</v>
      </c>
      <c r="Z126" s="95" t="s">
        <v>907</v>
      </c>
      <c r="AA126" s="95" t="s">
        <v>1072</v>
      </c>
      <c r="AB126" s="95" t="s">
        <v>1103</v>
      </c>
      <c r="AC126" s="95" t="s">
        <v>1134</v>
      </c>
      <c r="AD126" s="95" t="s">
        <v>1165</v>
      </c>
      <c r="AE126" s="95" t="s">
        <v>1196</v>
      </c>
      <c r="AF126" s="95" t="s">
        <v>2846</v>
      </c>
      <c r="AG126" s="96" t="s">
        <v>1228</v>
      </c>
    </row>
    <row r="127" spans="1:33" x14ac:dyDescent="0.25">
      <c r="A127" s="19">
        <v>5</v>
      </c>
      <c r="B127" s="94" t="s">
        <v>283</v>
      </c>
      <c r="C127" s="95" t="s">
        <v>314</v>
      </c>
      <c r="D127" s="95" t="s">
        <v>358</v>
      </c>
      <c r="E127" s="95" t="s">
        <v>388</v>
      </c>
      <c r="F127" s="95" t="s">
        <v>418</v>
      </c>
      <c r="G127" s="95" t="s">
        <v>268</v>
      </c>
      <c r="H127" s="95" t="s">
        <v>479</v>
      </c>
      <c r="I127" s="95" t="s">
        <v>509</v>
      </c>
      <c r="J127" s="95" t="s">
        <v>539</v>
      </c>
      <c r="K127" s="95" t="s">
        <v>569</v>
      </c>
      <c r="L127" s="95" t="s">
        <v>603</v>
      </c>
      <c r="M127" s="95" t="s">
        <v>633</v>
      </c>
      <c r="N127" s="95" t="s">
        <v>662</v>
      </c>
      <c r="O127" s="95" t="s">
        <v>691</v>
      </c>
      <c r="P127" s="95" t="s">
        <v>720</v>
      </c>
      <c r="Q127" s="95" t="s">
        <v>599</v>
      </c>
      <c r="R127" s="95" t="s">
        <v>780</v>
      </c>
      <c r="S127" s="95" t="s">
        <v>812</v>
      </c>
      <c r="T127" s="95" t="s">
        <v>844</v>
      </c>
      <c r="U127" s="95" t="s">
        <v>876</v>
      </c>
      <c r="V127" s="95" t="s">
        <v>917</v>
      </c>
      <c r="W127" s="95" t="s">
        <v>948</v>
      </c>
      <c r="X127" s="95" t="s">
        <v>979</v>
      </c>
      <c r="Y127" s="95" t="s">
        <v>1010</v>
      </c>
      <c r="Z127" s="95" t="s">
        <v>1041</v>
      </c>
      <c r="AA127" s="95" t="s">
        <v>908</v>
      </c>
      <c r="AB127" s="95" t="s">
        <v>1104</v>
      </c>
      <c r="AC127" s="95" t="s">
        <v>1135</v>
      </c>
      <c r="AD127" s="95" t="s">
        <v>1166</v>
      </c>
      <c r="AE127" s="95" t="s">
        <v>1197</v>
      </c>
      <c r="AF127" s="95" t="s">
        <v>2847</v>
      </c>
      <c r="AG127" s="96" t="s">
        <v>1229</v>
      </c>
    </row>
    <row r="128" spans="1:33" x14ac:dyDescent="0.25">
      <c r="A128" s="19">
        <v>6</v>
      </c>
      <c r="B128" s="94" t="s">
        <v>284</v>
      </c>
      <c r="C128" s="95" t="s">
        <v>315</v>
      </c>
      <c r="D128" s="95" t="s">
        <v>359</v>
      </c>
      <c r="E128" s="95" t="s">
        <v>389</v>
      </c>
      <c r="F128" s="95" t="s">
        <v>419</v>
      </c>
      <c r="G128" s="95" t="s">
        <v>449</v>
      </c>
      <c r="H128" s="95" t="s">
        <v>269</v>
      </c>
      <c r="I128" s="95" t="s">
        <v>510</v>
      </c>
      <c r="J128" s="95" t="s">
        <v>540</v>
      </c>
      <c r="K128" s="95" t="s">
        <v>570</v>
      </c>
      <c r="L128" s="95" t="s">
        <v>604</v>
      </c>
      <c r="M128" s="95" t="s">
        <v>634</v>
      </c>
      <c r="N128" s="95" t="s">
        <v>663</v>
      </c>
      <c r="O128" s="95" t="s">
        <v>692</v>
      </c>
      <c r="P128" s="95" t="s">
        <v>721</v>
      </c>
      <c r="Q128" s="95" t="s">
        <v>750</v>
      </c>
      <c r="R128" s="95" t="s">
        <v>781</v>
      </c>
      <c r="S128" s="95" t="s">
        <v>813</v>
      </c>
      <c r="T128" s="95" t="s">
        <v>845</v>
      </c>
      <c r="U128" s="95" t="s">
        <v>877</v>
      </c>
      <c r="V128" s="95" t="s">
        <v>918</v>
      </c>
      <c r="W128" s="95" t="s">
        <v>949</v>
      </c>
      <c r="X128" s="95" t="s">
        <v>980</v>
      </c>
      <c r="Y128" s="95" t="s">
        <v>1011</v>
      </c>
      <c r="Z128" s="95" t="s">
        <v>1042</v>
      </c>
      <c r="AA128" s="95" t="s">
        <v>1073</v>
      </c>
      <c r="AB128" s="95" t="s">
        <v>909</v>
      </c>
      <c r="AC128" s="95" t="s">
        <v>1136</v>
      </c>
      <c r="AD128" s="95" t="s">
        <v>1167</v>
      </c>
      <c r="AE128" s="95" t="s">
        <v>1198</v>
      </c>
      <c r="AF128" s="95" t="s">
        <v>2848</v>
      </c>
      <c r="AG128" s="96" t="s">
        <v>1230</v>
      </c>
    </row>
    <row r="129" spans="1:33" x14ac:dyDescent="0.25">
      <c r="A129" s="19">
        <v>7</v>
      </c>
      <c r="B129" s="94" t="s">
        <v>285</v>
      </c>
      <c r="C129" s="95" t="s">
        <v>316</v>
      </c>
      <c r="D129" s="95" t="s">
        <v>360</v>
      </c>
      <c r="E129" s="95" t="s">
        <v>390</v>
      </c>
      <c r="F129" s="95" t="s">
        <v>420</v>
      </c>
      <c r="G129" s="95" t="s">
        <v>450</v>
      </c>
      <c r="H129" s="95" t="s">
        <v>480</v>
      </c>
      <c r="I129" s="95" t="s">
        <v>270</v>
      </c>
      <c r="J129" s="95" t="s">
        <v>541</v>
      </c>
      <c r="K129" s="95" t="s">
        <v>571</v>
      </c>
      <c r="L129" s="95" t="s">
        <v>605</v>
      </c>
      <c r="M129" s="95" t="s">
        <v>635</v>
      </c>
      <c r="N129" s="95" t="s">
        <v>664</v>
      </c>
      <c r="O129" s="95" t="s">
        <v>693</v>
      </c>
      <c r="P129" s="95" t="s">
        <v>722</v>
      </c>
      <c r="Q129" s="95" t="s">
        <v>751</v>
      </c>
      <c r="R129" s="95" t="s">
        <v>782</v>
      </c>
      <c r="S129" s="95" t="s">
        <v>814</v>
      </c>
      <c r="T129" s="95" t="s">
        <v>846</v>
      </c>
      <c r="U129" s="95" t="s">
        <v>878</v>
      </c>
      <c r="V129" s="95" t="s">
        <v>919</v>
      </c>
      <c r="W129" s="95" t="s">
        <v>950</v>
      </c>
      <c r="X129" s="95" t="s">
        <v>981</v>
      </c>
      <c r="Y129" s="95" t="s">
        <v>1012</v>
      </c>
      <c r="Z129" s="95" t="s">
        <v>1043</v>
      </c>
      <c r="AA129" s="95" t="s">
        <v>1074</v>
      </c>
      <c r="AB129" s="95" t="s">
        <v>1105</v>
      </c>
      <c r="AC129" s="95" t="s">
        <v>910</v>
      </c>
      <c r="AD129" s="95" t="s">
        <v>1168</v>
      </c>
      <c r="AE129" s="95" t="s">
        <v>1199</v>
      </c>
      <c r="AF129" s="95" t="s">
        <v>2849</v>
      </c>
      <c r="AG129" s="96" t="s">
        <v>1231</v>
      </c>
    </row>
    <row r="130" spans="1:33" x14ac:dyDescent="0.25">
      <c r="A130" s="19">
        <v>8</v>
      </c>
      <c r="B130" s="94" t="s">
        <v>286</v>
      </c>
      <c r="C130" s="95" t="s">
        <v>317</v>
      </c>
      <c r="D130" s="95" t="s">
        <v>361</v>
      </c>
      <c r="E130" s="95" t="s">
        <v>391</v>
      </c>
      <c r="F130" s="95" t="s">
        <v>421</v>
      </c>
      <c r="G130" s="95" t="s">
        <v>451</v>
      </c>
      <c r="H130" s="95" t="s">
        <v>481</v>
      </c>
      <c r="I130" s="95" t="s">
        <v>511</v>
      </c>
      <c r="J130" s="95" t="s">
        <v>271</v>
      </c>
      <c r="K130" s="95" t="s">
        <v>572</v>
      </c>
      <c r="L130" s="95" t="s">
        <v>606</v>
      </c>
      <c r="M130" s="95" t="s">
        <v>636</v>
      </c>
      <c r="N130" s="95" t="s">
        <v>665</v>
      </c>
      <c r="O130" s="95" t="s">
        <v>694</v>
      </c>
      <c r="P130" s="95" t="s">
        <v>723</v>
      </c>
      <c r="Q130" s="95" t="s">
        <v>752</v>
      </c>
      <c r="R130" s="95" t="s">
        <v>783</v>
      </c>
      <c r="S130" s="95" t="s">
        <v>815</v>
      </c>
      <c r="T130" s="95" t="s">
        <v>847</v>
      </c>
      <c r="U130" s="95" t="s">
        <v>879</v>
      </c>
      <c r="V130" s="95" t="s">
        <v>920</v>
      </c>
      <c r="W130" s="95" t="s">
        <v>951</v>
      </c>
      <c r="X130" s="95" t="s">
        <v>982</v>
      </c>
      <c r="Y130" s="95" t="s">
        <v>1013</v>
      </c>
      <c r="Z130" s="95" t="s">
        <v>1044</v>
      </c>
      <c r="AA130" s="95" t="s">
        <v>1075</v>
      </c>
      <c r="AB130" s="95" t="s">
        <v>1106</v>
      </c>
      <c r="AC130" s="95" t="s">
        <v>1137</v>
      </c>
      <c r="AD130" s="95" t="s">
        <v>911</v>
      </c>
      <c r="AE130" s="95" t="s">
        <v>1200</v>
      </c>
      <c r="AF130" s="95" t="s">
        <v>2850</v>
      </c>
      <c r="AG130" s="96" t="s">
        <v>1232</v>
      </c>
    </row>
    <row r="131" spans="1:33" x14ac:dyDescent="0.25">
      <c r="A131" s="19">
        <v>9</v>
      </c>
      <c r="B131" s="94" t="s">
        <v>287</v>
      </c>
      <c r="C131" s="95" t="s">
        <v>318</v>
      </c>
      <c r="D131" s="95" t="s">
        <v>362</v>
      </c>
      <c r="E131" s="95" t="s">
        <v>392</v>
      </c>
      <c r="F131" s="95" t="s">
        <v>422</v>
      </c>
      <c r="G131" s="95" t="s">
        <v>452</v>
      </c>
      <c r="H131" s="95" t="s">
        <v>482</v>
      </c>
      <c r="I131" s="95" t="s">
        <v>512</v>
      </c>
      <c r="J131" s="95" t="s">
        <v>542</v>
      </c>
      <c r="K131" s="95" t="s">
        <v>272</v>
      </c>
      <c r="L131" s="95" t="s">
        <v>607</v>
      </c>
      <c r="M131" s="95" t="s">
        <v>637</v>
      </c>
      <c r="N131" s="95" t="s">
        <v>666</v>
      </c>
      <c r="O131" s="95" t="s">
        <v>695</v>
      </c>
      <c r="P131" s="95" t="s">
        <v>724</v>
      </c>
      <c r="Q131" s="95" t="s">
        <v>753</v>
      </c>
      <c r="R131" s="95" t="s">
        <v>784</v>
      </c>
      <c r="S131" s="95" t="s">
        <v>816</v>
      </c>
      <c r="T131" s="95" t="s">
        <v>848</v>
      </c>
      <c r="U131" s="95" t="s">
        <v>880</v>
      </c>
      <c r="V131" s="95" t="s">
        <v>921</v>
      </c>
      <c r="W131" s="95" t="s">
        <v>952</v>
      </c>
      <c r="X131" s="95" t="s">
        <v>983</v>
      </c>
      <c r="Y131" s="95" t="s">
        <v>1014</v>
      </c>
      <c r="Z131" s="95" t="s">
        <v>1045</v>
      </c>
      <c r="AA131" s="95" t="s">
        <v>1076</v>
      </c>
      <c r="AB131" s="95" t="s">
        <v>1107</v>
      </c>
      <c r="AC131" s="95" t="s">
        <v>1138</v>
      </c>
      <c r="AD131" s="95" t="s">
        <v>1169</v>
      </c>
      <c r="AE131" s="95" t="s">
        <v>912</v>
      </c>
      <c r="AF131" s="95" t="s">
        <v>2851</v>
      </c>
      <c r="AG131" s="96" t="s">
        <v>1233</v>
      </c>
    </row>
    <row r="132" spans="1:33" x14ac:dyDescent="0.25">
      <c r="A132" s="19">
        <v>10</v>
      </c>
      <c r="B132" s="94" t="s">
        <v>288</v>
      </c>
      <c r="C132" s="95" t="s">
        <v>319</v>
      </c>
      <c r="D132" s="95" t="s">
        <v>363</v>
      </c>
      <c r="E132" s="95" t="s">
        <v>393</v>
      </c>
      <c r="F132" s="95" t="s">
        <v>423</v>
      </c>
      <c r="G132" s="95" t="s">
        <v>453</v>
      </c>
      <c r="H132" s="95" t="s">
        <v>483</v>
      </c>
      <c r="I132" s="95" t="s">
        <v>513</v>
      </c>
      <c r="J132" s="95" t="s">
        <v>543</v>
      </c>
      <c r="K132" s="95" t="s">
        <v>573</v>
      </c>
      <c r="L132" s="95" t="s">
        <v>273</v>
      </c>
      <c r="M132" s="95" t="s">
        <v>638</v>
      </c>
      <c r="N132" s="95" t="s">
        <v>667</v>
      </c>
      <c r="O132" s="95" t="s">
        <v>696</v>
      </c>
      <c r="P132" s="95" t="s">
        <v>725</v>
      </c>
      <c r="Q132" s="95" t="s">
        <v>754</v>
      </c>
      <c r="R132" s="95" t="s">
        <v>785</v>
      </c>
      <c r="S132" s="95" t="s">
        <v>817</v>
      </c>
      <c r="T132" s="95" t="s">
        <v>849</v>
      </c>
      <c r="U132" s="95" t="s">
        <v>881</v>
      </c>
      <c r="V132" s="95" t="s">
        <v>922</v>
      </c>
      <c r="W132" s="95" t="s">
        <v>953</v>
      </c>
      <c r="X132" s="95" t="s">
        <v>984</v>
      </c>
      <c r="Y132" s="95" t="s">
        <v>1015</v>
      </c>
      <c r="Z132" s="95" t="s">
        <v>1046</v>
      </c>
      <c r="AA132" s="95" t="s">
        <v>1077</v>
      </c>
      <c r="AB132" s="95" t="s">
        <v>1108</v>
      </c>
      <c r="AC132" s="95" t="s">
        <v>1139</v>
      </c>
      <c r="AD132" s="95" t="s">
        <v>1170</v>
      </c>
      <c r="AE132" s="95" t="s">
        <v>1201</v>
      </c>
      <c r="AF132" s="95" t="s">
        <v>2852</v>
      </c>
      <c r="AG132" s="96" t="s">
        <v>1234</v>
      </c>
    </row>
    <row r="133" spans="1:33" x14ac:dyDescent="0.25">
      <c r="A133" s="19">
        <v>11</v>
      </c>
      <c r="B133" s="94" t="s">
        <v>289</v>
      </c>
      <c r="C133" s="95" t="s">
        <v>320</v>
      </c>
      <c r="D133" s="95" t="s">
        <v>364</v>
      </c>
      <c r="E133" s="95" t="s">
        <v>394</v>
      </c>
      <c r="F133" s="95" t="s">
        <v>424</v>
      </c>
      <c r="G133" s="95" t="s">
        <v>454</v>
      </c>
      <c r="H133" s="95" t="s">
        <v>484</v>
      </c>
      <c r="I133" s="95" t="s">
        <v>514</v>
      </c>
      <c r="J133" s="95" t="s">
        <v>544</v>
      </c>
      <c r="K133" s="95" t="s">
        <v>574</v>
      </c>
      <c r="L133" s="95" t="s">
        <v>608</v>
      </c>
      <c r="M133" s="95" t="s">
        <v>274</v>
      </c>
      <c r="N133" s="95" t="s">
        <v>668</v>
      </c>
      <c r="O133" s="95" t="s">
        <v>697</v>
      </c>
      <c r="P133" s="95" t="s">
        <v>726</v>
      </c>
      <c r="Q133" s="95" t="s">
        <v>755</v>
      </c>
      <c r="R133" s="95" t="s">
        <v>786</v>
      </c>
      <c r="S133" s="95" t="s">
        <v>818</v>
      </c>
      <c r="T133" s="95" t="s">
        <v>850</v>
      </c>
      <c r="U133" s="95" t="s">
        <v>882</v>
      </c>
      <c r="V133" s="95" t="s">
        <v>923</v>
      </c>
      <c r="W133" s="95" t="s">
        <v>954</v>
      </c>
      <c r="X133" s="95" t="s">
        <v>985</v>
      </c>
      <c r="Y133" s="95" t="s">
        <v>1016</v>
      </c>
      <c r="Z133" s="95" t="s">
        <v>1047</v>
      </c>
      <c r="AA133" s="95" t="s">
        <v>1078</v>
      </c>
      <c r="AB133" s="95" t="s">
        <v>1109</v>
      </c>
      <c r="AC133" s="95" t="s">
        <v>1140</v>
      </c>
      <c r="AD133" s="95" t="s">
        <v>1171</v>
      </c>
      <c r="AE133" s="95" t="s">
        <v>1202</v>
      </c>
      <c r="AF133" s="95" t="s">
        <v>2853</v>
      </c>
      <c r="AG133" s="96" t="s">
        <v>1235</v>
      </c>
    </row>
    <row r="134" spans="1:33" x14ac:dyDescent="0.25">
      <c r="A134" s="19">
        <v>12</v>
      </c>
      <c r="B134" s="94" t="s">
        <v>290</v>
      </c>
      <c r="C134" s="95" t="s">
        <v>321</v>
      </c>
      <c r="D134" s="95" t="s">
        <v>365</v>
      </c>
      <c r="E134" s="95" t="s">
        <v>395</v>
      </c>
      <c r="F134" s="95" t="s">
        <v>425</v>
      </c>
      <c r="G134" s="95" t="s">
        <v>455</v>
      </c>
      <c r="H134" s="95" t="s">
        <v>485</v>
      </c>
      <c r="I134" s="95" t="s">
        <v>515</v>
      </c>
      <c r="J134" s="95" t="s">
        <v>545</v>
      </c>
      <c r="K134" s="95" t="s">
        <v>575</v>
      </c>
      <c r="L134" s="95" t="s">
        <v>609</v>
      </c>
      <c r="M134" s="95" t="s">
        <v>639</v>
      </c>
      <c r="N134" s="95" t="s">
        <v>275</v>
      </c>
      <c r="O134" s="95" t="s">
        <v>698</v>
      </c>
      <c r="P134" s="95" t="s">
        <v>727</v>
      </c>
      <c r="Q134" s="95" t="s">
        <v>756</v>
      </c>
      <c r="R134" s="95" t="s">
        <v>787</v>
      </c>
      <c r="S134" s="95" t="s">
        <v>819</v>
      </c>
      <c r="T134" s="95" t="s">
        <v>851</v>
      </c>
      <c r="U134" s="95" t="s">
        <v>883</v>
      </c>
      <c r="V134" s="95" t="s">
        <v>924</v>
      </c>
      <c r="W134" s="95" t="s">
        <v>955</v>
      </c>
      <c r="X134" s="95" t="s">
        <v>986</v>
      </c>
      <c r="Y134" s="95" t="s">
        <v>1017</v>
      </c>
      <c r="Z134" s="95" t="s">
        <v>1048</v>
      </c>
      <c r="AA134" s="95" t="s">
        <v>1079</v>
      </c>
      <c r="AB134" s="95" t="s">
        <v>1110</v>
      </c>
      <c r="AC134" s="95" t="s">
        <v>1141</v>
      </c>
      <c r="AD134" s="95" t="s">
        <v>1172</v>
      </c>
      <c r="AE134" s="95" t="s">
        <v>1203</v>
      </c>
      <c r="AF134" s="95" t="s">
        <v>2854</v>
      </c>
      <c r="AG134" s="96" t="s">
        <v>1236</v>
      </c>
    </row>
    <row r="135" spans="1:33" x14ac:dyDescent="0.25">
      <c r="A135" s="19">
        <v>13</v>
      </c>
      <c r="B135" s="94" t="s">
        <v>291</v>
      </c>
      <c r="C135" s="95" t="s">
        <v>322</v>
      </c>
      <c r="D135" s="95" t="s">
        <v>366</v>
      </c>
      <c r="E135" s="95" t="s">
        <v>396</v>
      </c>
      <c r="F135" s="95" t="s">
        <v>426</v>
      </c>
      <c r="G135" s="95" t="s">
        <v>456</v>
      </c>
      <c r="H135" s="95" t="s">
        <v>486</v>
      </c>
      <c r="I135" s="95" t="s">
        <v>516</v>
      </c>
      <c r="J135" s="95" t="s">
        <v>546</v>
      </c>
      <c r="K135" s="95" t="s">
        <v>576</v>
      </c>
      <c r="L135" s="95" t="s">
        <v>610</v>
      </c>
      <c r="M135" s="95" t="s">
        <v>640</v>
      </c>
      <c r="N135" s="95" t="s">
        <v>669</v>
      </c>
      <c r="O135" s="95" t="s">
        <v>276</v>
      </c>
      <c r="P135" s="95" t="s">
        <v>728</v>
      </c>
      <c r="Q135" s="95" t="s">
        <v>757</v>
      </c>
      <c r="R135" s="95" t="s">
        <v>788</v>
      </c>
      <c r="S135" s="95" t="s">
        <v>820</v>
      </c>
      <c r="T135" s="95" t="s">
        <v>852</v>
      </c>
      <c r="U135" s="95" t="s">
        <v>884</v>
      </c>
      <c r="V135" s="95" t="s">
        <v>925</v>
      </c>
      <c r="W135" s="95" t="s">
        <v>956</v>
      </c>
      <c r="X135" s="95" t="s">
        <v>987</v>
      </c>
      <c r="Y135" s="95" t="s">
        <v>1018</v>
      </c>
      <c r="Z135" s="95" t="s">
        <v>1049</v>
      </c>
      <c r="AA135" s="95" t="s">
        <v>1080</v>
      </c>
      <c r="AB135" s="95" t="s">
        <v>1111</v>
      </c>
      <c r="AC135" s="95" t="s">
        <v>1142</v>
      </c>
      <c r="AD135" s="95" t="s">
        <v>1173</v>
      </c>
      <c r="AE135" s="95" t="s">
        <v>1204</v>
      </c>
      <c r="AF135" s="95" t="s">
        <v>2855</v>
      </c>
      <c r="AG135" s="96" t="s">
        <v>1237</v>
      </c>
    </row>
    <row r="136" spans="1:33" x14ac:dyDescent="0.25">
      <c r="A136" s="19">
        <v>14</v>
      </c>
      <c r="B136" s="94" t="s">
        <v>292</v>
      </c>
      <c r="C136" s="95" t="s">
        <v>323</v>
      </c>
      <c r="D136" s="95" t="s">
        <v>367</v>
      </c>
      <c r="E136" s="95" t="s">
        <v>397</v>
      </c>
      <c r="F136" s="95" t="s">
        <v>427</v>
      </c>
      <c r="G136" s="95" t="s">
        <v>457</v>
      </c>
      <c r="H136" s="95" t="s">
        <v>487</v>
      </c>
      <c r="I136" s="95" t="s">
        <v>517</v>
      </c>
      <c r="J136" s="95" t="s">
        <v>547</v>
      </c>
      <c r="K136" s="95" t="s">
        <v>577</v>
      </c>
      <c r="L136" s="95" t="s">
        <v>611</v>
      </c>
      <c r="M136" s="95" t="s">
        <v>641</v>
      </c>
      <c r="N136" s="95" t="s">
        <v>670</v>
      </c>
      <c r="O136" s="95" t="s">
        <v>699</v>
      </c>
      <c r="P136" s="95" t="s">
        <v>277</v>
      </c>
      <c r="Q136" s="95" t="s">
        <v>758</v>
      </c>
      <c r="R136" s="95" t="s">
        <v>789</v>
      </c>
      <c r="S136" s="95" t="s">
        <v>821</v>
      </c>
      <c r="T136" s="95" t="s">
        <v>853</v>
      </c>
      <c r="U136" s="95" t="s">
        <v>885</v>
      </c>
      <c r="V136" s="95" t="s">
        <v>926</v>
      </c>
      <c r="W136" s="95" t="s">
        <v>957</v>
      </c>
      <c r="X136" s="95" t="s">
        <v>988</v>
      </c>
      <c r="Y136" s="95" t="s">
        <v>1019</v>
      </c>
      <c r="Z136" s="95" t="s">
        <v>1050</v>
      </c>
      <c r="AA136" s="95" t="s">
        <v>1081</v>
      </c>
      <c r="AB136" s="95" t="s">
        <v>1112</v>
      </c>
      <c r="AC136" s="95" t="s">
        <v>1143</v>
      </c>
      <c r="AD136" s="95" t="s">
        <v>1174</v>
      </c>
      <c r="AE136" s="95" t="s">
        <v>1205</v>
      </c>
      <c r="AF136" s="95" t="s">
        <v>2856</v>
      </c>
      <c r="AG136" s="96" t="s">
        <v>1238</v>
      </c>
    </row>
    <row r="137" spans="1:33" x14ac:dyDescent="0.25">
      <c r="A137" s="19">
        <v>15</v>
      </c>
      <c r="B137" s="94" t="s">
        <v>293</v>
      </c>
      <c r="C137" s="95" t="s">
        <v>324</v>
      </c>
      <c r="D137" s="95" t="s">
        <v>368</v>
      </c>
      <c r="E137" s="95" t="s">
        <v>398</v>
      </c>
      <c r="F137" s="95" t="s">
        <v>428</v>
      </c>
      <c r="G137" s="95" t="s">
        <v>458</v>
      </c>
      <c r="H137" s="95" t="s">
        <v>488</v>
      </c>
      <c r="I137" s="95" t="s">
        <v>518</v>
      </c>
      <c r="J137" s="95" t="s">
        <v>548</v>
      </c>
      <c r="K137" s="95" t="s">
        <v>578</v>
      </c>
      <c r="L137" s="95" t="s">
        <v>612</v>
      </c>
      <c r="M137" s="95" t="s">
        <v>642</v>
      </c>
      <c r="N137" s="95" t="s">
        <v>671</v>
      </c>
      <c r="O137" s="95" t="s">
        <v>700</v>
      </c>
      <c r="P137" s="95" t="s">
        <v>729</v>
      </c>
      <c r="Q137" s="95" t="s">
        <v>278</v>
      </c>
      <c r="R137" s="95" t="s">
        <v>790</v>
      </c>
      <c r="S137" s="95" t="s">
        <v>822</v>
      </c>
      <c r="T137" s="95" t="s">
        <v>854</v>
      </c>
      <c r="U137" s="95" t="s">
        <v>886</v>
      </c>
      <c r="V137" s="95" t="s">
        <v>927</v>
      </c>
      <c r="W137" s="95" t="s">
        <v>958</v>
      </c>
      <c r="X137" s="95" t="s">
        <v>989</v>
      </c>
      <c r="Y137" s="95" t="s">
        <v>1020</v>
      </c>
      <c r="Z137" s="95" t="s">
        <v>1051</v>
      </c>
      <c r="AA137" s="95" t="s">
        <v>1082</v>
      </c>
      <c r="AB137" s="95" t="s">
        <v>1113</v>
      </c>
      <c r="AC137" s="95" t="s">
        <v>1144</v>
      </c>
      <c r="AD137" s="95" t="s">
        <v>1175</v>
      </c>
      <c r="AE137" s="95" t="s">
        <v>1206</v>
      </c>
      <c r="AF137" s="95" t="s">
        <v>2857</v>
      </c>
      <c r="AG137" s="96" t="s">
        <v>1239</v>
      </c>
    </row>
    <row r="138" spans="1:33" x14ac:dyDescent="0.25">
      <c r="A138" s="19">
        <v>16</v>
      </c>
      <c r="B138" s="94" t="s">
        <v>294</v>
      </c>
      <c r="C138" s="95" t="s">
        <v>325</v>
      </c>
      <c r="D138" s="95" t="s">
        <v>369</v>
      </c>
      <c r="E138" s="95" t="s">
        <v>399</v>
      </c>
      <c r="F138" s="95" t="s">
        <v>429</v>
      </c>
      <c r="G138" s="95" t="s">
        <v>459</v>
      </c>
      <c r="H138" s="95" t="s">
        <v>489</v>
      </c>
      <c r="I138" s="95" t="s">
        <v>519</v>
      </c>
      <c r="J138" s="95" t="s">
        <v>549</v>
      </c>
      <c r="K138" s="95" t="s">
        <v>579</v>
      </c>
      <c r="L138" s="95" t="s">
        <v>613</v>
      </c>
      <c r="M138" s="95" t="s">
        <v>643</v>
      </c>
      <c r="N138" s="95" t="s">
        <v>672</v>
      </c>
      <c r="O138" s="95" t="s">
        <v>701</v>
      </c>
      <c r="P138" s="95" t="s">
        <v>730</v>
      </c>
      <c r="Q138" s="95" t="s">
        <v>759</v>
      </c>
      <c r="R138" s="95" t="s">
        <v>791</v>
      </c>
      <c r="S138" s="95" t="s">
        <v>823</v>
      </c>
      <c r="T138" s="95" t="s">
        <v>855</v>
      </c>
      <c r="U138" s="95" t="s">
        <v>887</v>
      </c>
      <c r="V138" s="95" t="s">
        <v>928</v>
      </c>
      <c r="W138" s="95" t="s">
        <v>959</v>
      </c>
      <c r="X138" s="95" t="s">
        <v>990</v>
      </c>
      <c r="Y138" s="95" t="s">
        <v>1021</v>
      </c>
      <c r="Z138" s="95" t="s">
        <v>1052</v>
      </c>
      <c r="AA138" s="95" t="s">
        <v>1083</v>
      </c>
      <c r="AB138" s="95" t="s">
        <v>1114</v>
      </c>
      <c r="AC138" s="95" t="s">
        <v>1145</v>
      </c>
      <c r="AD138" s="95" t="s">
        <v>1176</v>
      </c>
      <c r="AE138" s="95" t="s">
        <v>1207</v>
      </c>
      <c r="AF138" s="95" t="s">
        <v>2858</v>
      </c>
      <c r="AG138" s="96" t="s">
        <v>1240</v>
      </c>
    </row>
    <row r="139" spans="1:33" x14ac:dyDescent="0.25">
      <c r="A139" s="19">
        <v>17</v>
      </c>
      <c r="B139" s="94" t="s">
        <v>295</v>
      </c>
      <c r="C139" s="95" t="s">
        <v>326</v>
      </c>
      <c r="D139" s="95" t="s">
        <v>370</v>
      </c>
      <c r="E139" s="95" t="s">
        <v>400</v>
      </c>
      <c r="F139" s="95" t="s">
        <v>430</v>
      </c>
      <c r="G139" s="95" t="s">
        <v>460</v>
      </c>
      <c r="H139" s="95" t="s">
        <v>490</v>
      </c>
      <c r="I139" s="95" t="s">
        <v>520</v>
      </c>
      <c r="J139" s="95" t="s">
        <v>550</v>
      </c>
      <c r="K139" s="95" t="s">
        <v>580</v>
      </c>
      <c r="L139" s="95" t="s">
        <v>614</v>
      </c>
      <c r="M139" s="95" t="s">
        <v>644</v>
      </c>
      <c r="N139" s="95" t="s">
        <v>673</v>
      </c>
      <c r="O139" s="95" t="s">
        <v>702</v>
      </c>
      <c r="P139" s="95" t="s">
        <v>731</v>
      </c>
      <c r="Q139" s="95" t="s">
        <v>760</v>
      </c>
      <c r="R139" s="95" t="s">
        <v>792</v>
      </c>
      <c r="S139" s="95" t="s">
        <v>824</v>
      </c>
      <c r="T139" s="95" t="s">
        <v>856</v>
      </c>
      <c r="U139" s="95" t="s">
        <v>888</v>
      </c>
      <c r="V139" s="95" t="s">
        <v>929</v>
      </c>
      <c r="W139" s="95" t="s">
        <v>960</v>
      </c>
      <c r="X139" s="95" t="s">
        <v>991</v>
      </c>
      <c r="Y139" s="95" t="s">
        <v>1022</v>
      </c>
      <c r="Z139" s="95" t="s">
        <v>1053</v>
      </c>
      <c r="AA139" s="95" t="s">
        <v>1084</v>
      </c>
      <c r="AB139" s="95" t="s">
        <v>1115</v>
      </c>
      <c r="AC139" s="95" t="s">
        <v>1146</v>
      </c>
      <c r="AD139" s="95" t="s">
        <v>1177</v>
      </c>
      <c r="AE139" s="95" t="s">
        <v>1208</v>
      </c>
      <c r="AF139" s="95" t="s">
        <v>2859</v>
      </c>
      <c r="AG139" s="96" t="s">
        <v>1241</v>
      </c>
    </row>
    <row r="140" spans="1:33" x14ac:dyDescent="0.25">
      <c r="A140" s="19">
        <v>18</v>
      </c>
      <c r="B140" s="94" t="s">
        <v>296</v>
      </c>
      <c r="C140" s="95" t="s">
        <v>327</v>
      </c>
      <c r="D140" s="95" t="s">
        <v>371</v>
      </c>
      <c r="E140" s="95" t="s">
        <v>401</v>
      </c>
      <c r="F140" s="95" t="s">
        <v>431</v>
      </c>
      <c r="G140" s="95" t="s">
        <v>461</v>
      </c>
      <c r="H140" s="95" t="s">
        <v>491</v>
      </c>
      <c r="I140" s="95" t="s">
        <v>521</v>
      </c>
      <c r="J140" s="95" t="s">
        <v>551</v>
      </c>
      <c r="K140" s="95" t="s">
        <v>581</v>
      </c>
      <c r="L140" s="95" t="s">
        <v>615</v>
      </c>
      <c r="M140" s="95" t="s">
        <v>645</v>
      </c>
      <c r="N140" s="95" t="s">
        <v>674</v>
      </c>
      <c r="O140" s="95" t="s">
        <v>703</v>
      </c>
      <c r="P140" s="95" t="s">
        <v>732</v>
      </c>
      <c r="Q140" s="95" t="s">
        <v>761</v>
      </c>
      <c r="R140" s="95" t="s">
        <v>793</v>
      </c>
      <c r="S140" s="95" t="s">
        <v>825</v>
      </c>
      <c r="T140" s="95" t="s">
        <v>857</v>
      </c>
      <c r="U140" s="95" t="s">
        <v>889</v>
      </c>
      <c r="V140" s="95" t="s">
        <v>930</v>
      </c>
      <c r="W140" s="95" t="s">
        <v>961</v>
      </c>
      <c r="X140" s="95" t="s">
        <v>992</v>
      </c>
      <c r="Y140" s="95" t="s">
        <v>1023</v>
      </c>
      <c r="Z140" s="95" t="s">
        <v>1054</v>
      </c>
      <c r="AA140" s="95" t="s">
        <v>1085</v>
      </c>
      <c r="AB140" s="95" t="s">
        <v>1116</v>
      </c>
      <c r="AC140" s="95" t="s">
        <v>1147</v>
      </c>
      <c r="AD140" s="95" t="s">
        <v>1178</v>
      </c>
      <c r="AE140" s="95" t="s">
        <v>1209</v>
      </c>
      <c r="AF140" s="95" t="s">
        <v>2860</v>
      </c>
      <c r="AG140" s="96" t="s">
        <v>1242</v>
      </c>
    </row>
    <row r="141" spans="1:33" x14ac:dyDescent="0.25">
      <c r="A141" s="19">
        <v>19</v>
      </c>
      <c r="B141" s="94" t="s">
        <v>297</v>
      </c>
      <c r="C141" s="95" t="s">
        <v>328</v>
      </c>
      <c r="D141" s="95" t="s">
        <v>372</v>
      </c>
      <c r="E141" s="95" t="s">
        <v>402</v>
      </c>
      <c r="F141" s="95" t="s">
        <v>432</v>
      </c>
      <c r="G141" s="95" t="s">
        <v>462</v>
      </c>
      <c r="H141" s="95" t="s">
        <v>492</v>
      </c>
      <c r="I141" s="95" t="s">
        <v>522</v>
      </c>
      <c r="J141" s="95" t="s">
        <v>552</v>
      </c>
      <c r="K141" s="95" t="s">
        <v>582</v>
      </c>
      <c r="L141" s="95" t="s">
        <v>616</v>
      </c>
      <c r="M141" s="95" t="s">
        <v>646</v>
      </c>
      <c r="N141" s="95" t="s">
        <v>675</v>
      </c>
      <c r="O141" s="95" t="s">
        <v>704</v>
      </c>
      <c r="P141" s="95" t="s">
        <v>733</v>
      </c>
      <c r="Q141" s="95" t="s">
        <v>762</v>
      </c>
      <c r="R141" s="95" t="s">
        <v>794</v>
      </c>
      <c r="S141" s="95" t="s">
        <v>826</v>
      </c>
      <c r="T141" s="95" t="s">
        <v>858</v>
      </c>
      <c r="U141" s="95" t="s">
        <v>890</v>
      </c>
      <c r="V141" s="95" t="s">
        <v>931</v>
      </c>
      <c r="W141" s="95" t="s">
        <v>962</v>
      </c>
      <c r="X141" s="95" t="s">
        <v>993</v>
      </c>
      <c r="Y141" s="95" t="s">
        <v>1024</v>
      </c>
      <c r="Z141" s="95" t="s">
        <v>1055</v>
      </c>
      <c r="AA141" s="95" t="s">
        <v>1086</v>
      </c>
      <c r="AB141" s="95" t="s">
        <v>1117</v>
      </c>
      <c r="AC141" s="95" t="s">
        <v>1148</v>
      </c>
      <c r="AD141" s="95" t="s">
        <v>1179</v>
      </c>
      <c r="AE141" s="95" t="s">
        <v>1210</v>
      </c>
      <c r="AF141" s="95" t="s">
        <v>2861</v>
      </c>
      <c r="AG141" s="96" t="s">
        <v>1243</v>
      </c>
    </row>
    <row r="142" spans="1:33" x14ac:dyDescent="0.25">
      <c r="A142" s="19">
        <v>20</v>
      </c>
      <c r="B142" s="94" t="s">
        <v>298</v>
      </c>
      <c r="C142" s="95" t="s">
        <v>329</v>
      </c>
      <c r="D142" s="95" t="s">
        <v>373</v>
      </c>
      <c r="E142" s="95" t="s">
        <v>403</v>
      </c>
      <c r="F142" s="95" t="s">
        <v>433</v>
      </c>
      <c r="G142" s="95" t="s">
        <v>463</v>
      </c>
      <c r="H142" s="95" t="s">
        <v>493</v>
      </c>
      <c r="I142" s="95" t="s">
        <v>523</v>
      </c>
      <c r="J142" s="95" t="s">
        <v>553</v>
      </c>
      <c r="K142" s="95" t="s">
        <v>583</v>
      </c>
      <c r="L142" s="95" t="s">
        <v>617</v>
      </c>
      <c r="M142" s="95" t="s">
        <v>647</v>
      </c>
      <c r="N142" s="95" t="s">
        <v>676</v>
      </c>
      <c r="O142" s="95" t="s">
        <v>705</v>
      </c>
      <c r="P142" s="95" t="s">
        <v>734</v>
      </c>
      <c r="Q142" s="95" t="s">
        <v>763</v>
      </c>
      <c r="R142" s="95" t="s">
        <v>795</v>
      </c>
      <c r="S142" s="95" t="s">
        <v>827</v>
      </c>
      <c r="T142" s="95" t="s">
        <v>859</v>
      </c>
      <c r="U142" s="95" t="s">
        <v>891</v>
      </c>
      <c r="V142" s="95" t="s">
        <v>932</v>
      </c>
      <c r="W142" s="95" t="s">
        <v>963</v>
      </c>
      <c r="X142" s="95" t="s">
        <v>994</v>
      </c>
      <c r="Y142" s="95" t="s">
        <v>1025</v>
      </c>
      <c r="Z142" s="95" t="s">
        <v>1056</v>
      </c>
      <c r="AA142" s="95" t="s">
        <v>1087</v>
      </c>
      <c r="AB142" s="95" t="s">
        <v>1118</v>
      </c>
      <c r="AC142" s="95" t="s">
        <v>1149</v>
      </c>
      <c r="AD142" s="95" t="s">
        <v>1180</v>
      </c>
      <c r="AE142" s="95" t="s">
        <v>1211</v>
      </c>
      <c r="AF142" s="95" t="s">
        <v>2862</v>
      </c>
      <c r="AG142" s="96" t="s">
        <v>1244</v>
      </c>
    </row>
    <row r="143" spans="1:33" x14ac:dyDescent="0.25">
      <c r="A143" s="19">
        <v>21</v>
      </c>
      <c r="B143" s="94" t="s">
        <v>299</v>
      </c>
      <c r="C143" s="95" t="s">
        <v>330</v>
      </c>
      <c r="D143" s="95" t="s">
        <v>374</v>
      </c>
      <c r="E143" s="95" t="s">
        <v>404</v>
      </c>
      <c r="F143" s="95" t="s">
        <v>434</v>
      </c>
      <c r="G143" s="95" t="s">
        <v>464</v>
      </c>
      <c r="H143" s="95" t="s">
        <v>494</v>
      </c>
      <c r="I143" s="95" t="s">
        <v>524</v>
      </c>
      <c r="J143" s="95" t="s">
        <v>554</v>
      </c>
      <c r="K143" s="95" t="s">
        <v>584</v>
      </c>
      <c r="L143" s="95" t="s">
        <v>618</v>
      </c>
      <c r="M143" s="95" t="s">
        <v>648</v>
      </c>
      <c r="N143" s="95" t="s">
        <v>677</v>
      </c>
      <c r="O143" s="95" t="s">
        <v>706</v>
      </c>
      <c r="P143" s="95" t="s">
        <v>735</v>
      </c>
      <c r="Q143" s="95" t="s">
        <v>764</v>
      </c>
      <c r="R143" s="95" t="s">
        <v>796</v>
      </c>
      <c r="S143" s="95" t="s">
        <v>828</v>
      </c>
      <c r="T143" s="95" t="s">
        <v>860</v>
      </c>
      <c r="U143" s="95" t="s">
        <v>892</v>
      </c>
      <c r="V143" s="95" t="s">
        <v>933</v>
      </c>
      <c r="W143" s="95" t="s">
        <v>964</v>
      </c>
      <c r="X143" s="95" t="s">
        <v>995</v>
      </c>
      <c r="Y143" s="95" t="s">
        <v>1026</v>
      </c>
      <c r="Z143" s="95" t="s">
        <v>1057</v>
      </c>
      <c r="AA143" s="95" t="s">
        <v>1088</v>
      </c>
      <c r="AB143" s="95" t="s">
        <v>1119</v>
      </c>
      <c r="AC143" s="95" t="s">
        <v>1150</v>
      </c>
      <c r="AD143" s="95" t="s">
        <v>1181</v>
      </c>
      <c r="AE143" s="95" t="s">
        <v>1212</v>
      </c>
      <c r="AF143" s="95" t="s">
        <v>2863</v>
      </c>
      <c r="AG143" s="96" t="s">
        <v>1245</v>
      </c>
    </row>
    <row r="144" spans="1:33" x14ac:dyDescent="0.25">
      <c r="A144" s="19">
        <v>22</v>
      </c>
      <c r="B144" s="94" t="s">
        <v>300</v>
      </c>
      <c r="C144" s="95" t="s">
        <v>331</v>
      </c>
      <c r="D144" s="95" t="s">
        <v>375</v>
      </c>
      <c r="E144" s="95" t="s">
        <v>405</v>
      </c>
      <c r="F144" s="95" t="s">
        <v>435</v>
      </c>
      <c r="G144" s="95" t="s">
        <v>465</v>
      </c>
      <c r="H144" s="95" t="s">
        <v>495</v>
      </c>
      <c r="I144" s="95" t="s">
        <v>525</v>
      </c>
      <c r="J144" s="95" t="s">
        <v>555</v>
      </c>
      <c r="K144" s="95" t="s">
        <v>585</v>
      </c>
      <c r="L144" s="95" t="s">
        <v>619</v>
      </c>
      <c r="M144" s="95" t="s">
        <v>649</v>
      </c>
      <c r="N144" s="95" t="s">
        <v>678</v>
      </c>
      <c r="O144" s="95" t="s">
        <v>707</v>
      </c>
      <c r="P144" s="95" t="s">
        <v>736</v>
      </c>
      <c r="Q144" s="95" t="s">
        <v>765</v>
      </c>
      <c r="R144" s="95" t="s">
        <v>797</v>
      </c>
      <c r="S144" s="95" t="s">
        <v>829</v>
      </c>
      <c r="T144" s="95" t="s">
        <v>861</v>
      </c>
      <c r="U144" s="95" t="s">
        <v>893</v>
      </c>
      <c r="V144" s="95" t="s">
        <v>934</v>
      </c>
      <c r="W144" s="95" t="s">
        <v>965</v>
      </c>
      <c r="X144" s="95" t="s">
        <v>996</v>
      </c>
      <c r="Y144" s="95" t="s">
        <v>1027</v>
      </c>
      <c r="Z144" s="95" t="s">
        <v>1058</v>
      </c>
      <c r="AA144" s="95" t="s">
        <v>1089</v>
      </c>
      <c r="AB144" s="95" t="s">
        <v>1120</v>
      </c>
      <c r="AC144" s="95" t="s">
        <v>1151</v>
      </c>
      <c r="AD144" s="95" t="s">
        <v>1182</v>
      </c>
      <c r="AE144" s="95" t="s">
        <v>1213</v>
      </c>
      <c r="AF144" s="95" t="s">
        <v>2864</v>
      </c>
      <c r="AG144" s="96" t="s">
        <v>1246</v>
      </c>
    </row>
    <row r="145" spans="1:33" x14ac:dyDescent="0.25">
      <c r="A145" s="19">
        <v>23</v>
      </c>
      <c r="B145" s="94" t="s">
        <v>301</v>
      </c>
      <c r="C145" s="95" t="s">
        <v>332</v>
      </c>
      <c r="D145" s="95" t="s">
        <v>376</v>
      </c>
      <c r="E145" s="95" t="s">
        <v>406</v>
      </c>
      <c r="F145" s="95" t="s">
        <v>436</v>
      </c>
      <c r="G145" s="95" t="s">
        <v>466</v>
      </c>
      <c r="H145" s="95" t="s">
        <v>496</v>
      </c>
      <c r="I145" s="95" t="s">
        <v>526</v>
      </c>
      <c r="J145" s="95" t="s">
        <v>556</v>
      </c>
      <c r="K145" s="95" t="s">
        <v>586</v>
      </c>
      <c r="L145" s="95" t="s">
        <v>620</v>
      </c>
      <c r="M145" s="95" t="s">
        <v>650</v>
      </c>
      <c r="N145" s="95" t="s">
        <v>679</v>
      </c>
      <c r="O145" s="95" t="s">
        <v>708</v>
      </c>
      <c r="P145" s="95" t="s">
        <v>737</v>
      </c>
      <c r="Q145" s="95" t="s">
        <v>766</v>
      </c>
      <c r="R145" s="95" t="s">
        <v>798</v>
      </c>
      <c r="S145" s="95" t="s">
        <v>830</v>
      </c>
      <c r="T145" s="95" t="s">
        <v>862</v>
      </c>
      <c r="U145" s="95" t="s">
        <v>894</v>
      </c>
      <c r="V145" s="95" t="s">
        <v>935</v>
      </c>
      <c r="W145" s="95" t="s">
        <v>966</v>
      </c>
      <c r="X145" s="95" t="s">
        <v>997</v>
      </c>
      <c r="Y145" s="95" t="s">
        <v>1028</v>
      </c>
      <c r="Z145" s="95" t="s">
        <v>1059</v>
      </c>
      <c r="AA145" s="95" t="s">
        <v>1090</v>
      </c>
      <c r="AB145" s="95" t="s">
        <v>1121</v>
      </c>
      <c r="AC145" s="95" t="s">
        <v>1152</v>
      </c>
      <c r="AD145" s="95" t="s">
        <v>1183</v>
      </c>
      <c r="AE145" s="95" t="s">
        <v>1214</v>
      </c>
      <c r="AF145" s="95" t="s">
        <v>2865</v>
      </c>
      <c r="AG145" s="96" t="s">
        <v>1247</v>
      </c>
    </row>
    <row r="146" spans="1:33" x14ac:dyDescent="0.25">
      <c r="A146" s="19">
        <v>24</v>
      </c>
      <c r="B146" s="94" t="s">
        <v>302</v>
      </c>
      <c r="C146" s="95" t="s">
        <v>333</v>
      </c>
      <c r="D146" s="95" t="s">
        <v>377</v>
      </c>
      <c r="E146" s="95" t="s">
        <v>407</v>
      </c>
      <c r="F146" s="95" t="s">
        <v>437</v>
      </c>
      <c r="G146" s="95" t="s">
        <v>467</v>
      </c>
      <c r="H146" s="95" t="s">
        <v>497</v>
      </c>
      <c r="I146" s="95" t="s">
        <v>527</v>
      </c>
      <c r="J146" s="95" t="s">
        <v>557</v>
      </c>
      <c r="K146" s="95" t="s">
        <v>587</v>
      </c>
      <c r="L146" s="95" t="s">
        <v>621</v>
      </c>
      <c r="M146" s="95" t="s">
        <v>651</v>
      </c>
      <c r="N146" s="95" t="s">
        <v>680</v>
      </c>
      <c r="O146" s="95" t="s">
        <v>709</v>
      </c>
      <c r="P146" s="95" t="s">
        <v>738</v>
      </c>
      <c r="Q146" s="95" t="s">
        <v>767</v>
      </c>
      <c r="R146" s="95" t="s">
        <v>799</v>
      </c>
      <c r="S146" s="95" t="s">
        <v>831</v>
      </c>
      <c r="T146" s="95" t="s">
        <v>863</v>
      </c>
      <c r="U146" s="95" t="s">
        <v>895</v>
      </c>
      <c r="V146" s="95" t="s">
        <v>936</v>
      </c>
      <c r="W146" s="95" t="s">
        <v>967</v>
      </c>
      <c r="X146" s="95" t="s">
        <v>998</v>
      </c>
      <c r="Y146" s="95" t="s">
        <v>1029</v>
      </c>
      <c r="Z146" s="95" t="s">
        <v>1060</v>
      </c>
      <c r="AA146" s="95" t="s">
        <v>1091</v>
      </c>
      <c r="AB146" s="95" t="s">
        <v>1122</v>
      </c>
      <c r="AC146" s="95" t="s">
        <v>1153</v>
      </c>
      <c r="AD146" s="95" t="s">
        <v>1184</v>
      </c>
      <c r="AE146" s="95" t="s">
        <v>1215</v>
      </c>
      <c r="AF146" s="95" t="s">
        <v>2866</v>
      </c>
      <c r="AG146" s="96" t="s">
        <v>1248</v>
      </c>
    </row>
    <row r="147" spans="1:33" x14ac:dyDescent="0.25">
      <c r="A147" s="19">
        <v>25</v>
      </c>
      <c r="B147" s="94" t="s">
        <v>303</v>
      </c>
      <c r="C147" s="95" t="s">
        <v>334</v>
      </c>
      <c r="D147" s="95" t="s">
        <v>378</v>
      </c>
      <c r="E147" s="95" t="s">
        <v>408</v>
      </c>
      <c r="F147" s="95" t="s">
        <v>438</v>
      </c>
      <c r="G147" s="95" t="s">
        <v>468</v>
      </c>
      <c r="H147" s="95" t="s">
        <v>498</v>
      </c>
      <c r="I147" s="95" t="s">
        <v>528</v>
      </c>
      <c r="J147" s="95" t="s">
        <v>558</v>
      </c>
      <c r="K147" s="95" t="s">
        <v>588</v>
      </c>
      <c r="L147" s="95" t="s">
        <v>622</v>
      </c>
      <c r="M147" s="95" t="s">
        <v>652</v>
      </c>
      <c r="N147" s="95" t="s">
        <v>681</v>
      </c>
      <c r="O147" s="95" t="s">
        <v>710</v>
      </c>
      <c r="P147" s="95" t="s">
        <v>739</v>
      </c>
      <c r="Q147" s="95" t="s">
        <v>768</v>
      </c>
      <c r="R147" s="95" t="s">
        <v>800</v>
      </c>
      <c r="S147" s="95" t="s">
        <v>832</v>
      </c>
      <c r="T147" s="95" t="s">
        <v>864</v>
      </c>
      <c r="U147" s="95" t="s">
        <v>896</v>
      </c>
      <c r="V147" s="95" t="s">
        <v>937</v>
      </c>
      <c r="W147" s="95" t="s">
        <v>968</v>
      </c>
      <c r="X147" s="95" t="s">
        <v>999</v>
      </c>
      <c r="Y147" s="95" t="s">
        <v>1030</v>
      </c>
      <c r="Z147" s="95" t="s">
        <v>1061</v>
      </c>
      <c r="AA147" s="95" t="s">
        <v>1092</v>
      </c>
      <c r="AB147" s="95" t="s">
        <v>1123</v>
      </c>
      <c r="AC147" s="95" t="s">
        <v>1154</v>
      </c>
      <c r="AD147" s="95" t="s">
        <v>1185</v>
      </c>
      <c r="AE147" s="95" t="s">
        <v>1216</v>
      </c>
      <c r="AF147" s="95" t="s">
        <v>2867</v>
      </c>
      <c r="AG147" s="96" t="s">
        <v>1249</v>
      </c>
    </row>
    <row r="148" spans="1:33" x14ac:dyDescent="0.25">
      <c r="A148" s="19">
        <v>26</v>
      </c>
      <c r="B148" s="94" t="s">
        <v>304</v>
      </c>
      <c r="C148" s="95" t="s">
        <v>335</v>
      </c>
      <c r="D148" s="95" t="s">
        <v>379</v>
      </c>
      <c r="E148" s="95" t="s">
        <v>409</v>
      </c>
      <c r="F148" s="95" t="s">
        <v>439</v>
      </c>
      <c r="G148" s="95" t="s">
        <v>469</v>
      </c>
      <c r="H148" s="95" t="s">
        <v>499</v>
      </c>
      <c r="I148" s="95" t="s">
        <v>529</v>
      </c>
      <c r="J148" s="95" t="s">
        <v>559</v>
      </c>
      <c r="K148" s="95" t="s">
        <v>589</v>
      </c>
      <c r="L148" s="95" t="s">
        <v>623</v>
      </c>
      <c r="M148" s="95" t="s">
        <v>653</v>
      </c>
      <c r="N148" s="95" t="s">
        <v>682</v>
      </c>
      <c r="O148" s="95" t="s">
        <v>711</v>
      </c>
      <c r="P148" s="95" t="s">
        <v>740</v>
      </c>
      <c r="Q148" s="95" t="s">
        <v>769</v>
      </c>
      <c r="R148" s="95" t="s">
        <v>801</v>
      </c>
      <c r="S148" s="95" t="s">
        <v>833</v>
      </c>
      <c r="T148" s="95" t="s">
        <v>865</v>
      </c>
      <c r="U148" s="95" t="s">
        <v>897</v>
      </c>
      <c r="V148" s="95" t="s">
        <v>938</v>
      </c>
      <c r="W148" s="95" t="s">
        <v>969</v>
      </c>
      <c r="X148" s="95" t="s">
        <v>1000</v>
      </c>
      <c r="Y148" s="95" t="s">
        <v>1031</v>
      </c>
      <c r="Z148" s="95" t="s">
        <v>1062</v>
      </c>
      <c r="AA148" s="95" t="s">
        <v>1093</v>
      </c>
      <c r="AB148" s="95" t="s">
        <v>1124</v>
      </c>
      <c r="AC148" s="95" t="s">
        <v>1155</v>
      </c>
      <c r="AD148" s="95" t="s">
        <v>1186</v>
      </c>
      <c r="AE148" s="95" t="s">
        <v>1217</v>
      </c>
      <c r="AF148" s="95" t="s">
        <v>2868</v>
      </c>
      <c r="AG148" s="96" t="s">
        <v>1250</v>
      </c>
    </row>
    <row r="149" spans="1:33" x14ac:dyDescent="0.25">
      <c r="A149" s="19">
        <v>27</v>
      </c>
      <c r="B149" s="94" t="s">
        <v>305</v>
      </c>
      <c r="C149" s="95" t="s">
        <v>336</v>
      </c>
      <c r="D149" s="95" t="s">
        <v>380</v>
      </c>
      <c r="E149" s="95" t="s">
        <v>410</v>
      </c>
      <c r="F149" s="95" t="s">
        <v>440</v>
      </c>
      <c r="G149" s="95" t="s">
        <v>470</v>
      </c>
      <c r="H149" s="95" t="s">
        <v>500</v>
      </c>
      <c r="I149" s="95" t="s">
        <v>530</v>
      </c>
      <c r="J149" s="95" t="s">
        <v>560</v>
      </c>
      <c r="K149" s="95" t="s">
        <v>590</v>
      </c>
      <c r="L149" s="95" t="s">
        <v>624</v>
      </c>
      <c r="M149" s="95" t="s">
        <v>654</v>
      </c>
      <c r="N149" s="95" t="s">
        <v>683</v>
      </c>
      <c r="O149" s="95" t="s">
        <v>712</v>
      </c>
      <c r="P149" s="95" t="s">
        <v>741</v>
      </c>
      <c r="Q149" s="95" t="s">
        <v>770</v>
      </c>
      <c r="R149" s="95" t="s">
        <v>802</v>
      </c>
      <c r="S149" s="95" t="s">
        <v>834</v>
      </c>
      <c r="T149" s="95" t="s">
        <v>866</v>
      </c>
      <c r="U149" s="95" t="s">
        <v>898</v>
      </c>
      <c r="V149" s="95" t="s">
        <v>939</v>
      </c>
      <c r="W149" s="95" t="s">
        <v>970</v>
      </c>
      <c r="X149" s="95" t="s">
        <v>1001</v>
      </c>
      <c r="Y149" s="95" t="s">
        <v>1032</v>
      </c>
      <c r="Z149" s="95" t="s">
        <v>1063</v>
      </c>
      <c r="AA149" s="95" t="s">
        <v>1094</v>
      </c>
      <c r="AB149" s="95" t="s">
        <v>1125</v>
      </c>
      <c r="AC149" s="95" t="s">
        <v>1156</v>
      </c>
      <c r="AD149" s="95" t="s">
        <v>1187</v>
      </c>
      <c r="AE149" s="95" t="s">
        <v>1218</v>
      </c>
      <c r="AF149" s="95" t="s">
        <v>2869</v>
      </c>
      <c r="AG149" s="96" t="s">
        <v>1251</v>
      </c>
    </row>
    <row r="150" spans="1:33" x14ac:dyDescent="0.25">
      <c r="A150" s="19">
        <v>28</v>
      </c>
      <c r="B150" s="94" t="s">
        <v>306</v>
      </c>
      <c r="C150" s="95" t="s">
        <v>337</v>
      </c>
      <c r="D150" s="95" t="s">
        <v>381</v>
      </c>
      <c r="E150" s="95" t="s">
        <v>411</v>
      </c>
      <c r="F150" s="95" t="s">
        <v>441</v>
      </c>
      <c r="G150" s="95" t="s">
        <v>471</v>
      </c>
      <c r="H150" s="95" t="s">
        <v>501</v>
      </c>
      <c r="I150" s="95" t="s">
        <v>531</v>
      </c>
      <c r="J150" s="95" t="s">
        <v>561</v>
      </c>
      <c r="K150" s="95" t="s">
        <v>591</v>
      </c>
      <c r="L150" s="95" t="s">
        <v>625</v>
      </c>
      <c r="M150" s="95" t="s">
        <v>655</v>
      </c>
      <c r="N150" s="95" t="s">
        <v>684</v>
      </c>
      <c r="O150" s="95" t="s">
        <v>713</v>
      </c>
      <c r="P150" s="95" t="s">
        <v>742</v>
      </c>
      <c r="Q150" s="95" t="s">
        <v>771</v>
      </c>
      <c r="R150" s="95" t="s">
        <v>803</v>
      </c>
      <c r="S150" s="95" t="s">
        <v>835</v>
      </c>
      <c r="T150" s="95" t="s">
        <v>867</v>
      </c>
      <c r="U150" s="95" t="s">
        <v>899</v>
      </c>
      <c r="V150" s="95" t="s">
        <v>940</v>
      </c>
      <c r="W150" s="95" t="s">
        <v>971</v>
      </c>
      <c r="X150" s="95" t="s">
        <v>1002</v>
      </c>
      <c r="Y150" s="95" t="s">
        <v>1033</v>
      </c>
      <c r="Z150" s="95" t="s">
        <v>1064</v>
      </c>
      <c r="AA150" s="95" t="s">
        <v>1095</v>
      </c>
      <c r="AB150" s="95" t="s">
        <v>1126</v>
      </c>
      <c r="AC150" s="95" t="s">
        <v>1157</v>
      </c>
      <c r="AD150" s="95" t="s">
        <v>1188</v>
      </c>
      <c r="AE150" s="95" t="s">
        <v>1219</v>
      </c>
      <c r="AF150" s="95" t="s">
        <v>2870</v>
      </c>
      <c r="AG150" s="96" t="s">
        <v>1252</v>
      </c>
    </row>
    <row r="151" spans="1:33" x14ac:dyDescent="0.25">
      <c r="A151" s="19">
        <v>29</v>
      </c>
      <c r="B151" s="94" t="s">
        <v>307</v>
      </c>
      <c r="C151" s="95" t="s">
        <v>338</v>
      </c>
      <c r="D151" s="95" t="s">
        <v>382</v>
      </c>
      <c r="E151" s="95" t="s">
        <v>412</v>
      </c>
      <c r="F151" s="95" t="s">
        <v>442</v>
      </c>
      <c r="G151" s="95" t="s">
        <v>472</v>
      </c>
      <c r="H151" s="95" t="s">
        <v>502</v>
      </c>
      <c r="I151" s="95" t="s">
        <v>532</v>
      </c>
      <c r="J151" s="95" t="s">
        <v>562</v>
      </c>
      <c r="K151" s="95" t="s">
        <v>592</v>
      </c>
      <c r="L151" s="95" t="s">
        <v>626</v>
      </c>
      <c r="M151" s="95" t="s">
        <v>656</v>
      </c>
      <c r="N151" s="95" t="s">
        <v>685</v>
      </c>
      <c r="O151" s="95" t="s">
        <v>714</v>
      </c>
      <c r="P151" s="95" t="s">
        <v>743</v>
      </c>
      <c r="Q151" s="95" t="s">
        <v>772</v>
      </c>
      <c r="R151" s="95" t="s">
        <v>804</v>
      </c>
      <c r="S151" s="95" t="s">
        <v>836</v>
      </c>
      <c r="T151" s="95" t="s">
        <v>868</v>
      </c>
      <c r="U151" s="95" t="s">
        <v>900</v>
      </c>
      <c r="V151" s="95" t="s">
        <v>941</v>
      </c>
      <c r="W151" s="95" t="s">
        <v>972</v>
      </c>
      <c r="X151" s="95" t="s">
        <v>1003</v>
      </c>
      <c r="Y151" s="95" t="s">
        <v>1034</v>
      </c>
      <c r="Z151" s="95" t="s">
        <v>1065</v>
      </c>
      <c r="AA151" s="95" t="s">
        <v>1096</v>
      </c>
      <c r="AB151" s="95" t="s">
        <v>1127</v>
      </c>
      <c r="AC151" s="95" t="s">
        <v>1158</v>
      </c>
      <c r="AD151" s="95" t="s">
        <v>1189</v>
      </c>
      <c r="AE151" s="95" t="s">
        <v>1220</v>
      </c>
      <c r="AF151" s="95" t="s">
        <v>2871</v>
      </c>
      <c r="AG151" s="96" t="s">
        <v>1253</v>
      </c>
    </row>
    <row r="152" spans="1:33" x14ac:dyDescent="0.25">
      <c r="A152" s="19">
        <v>30</v>
      </c>
      <c r="B152" s="94" t="s">
        <v>308</v>
      </c>
      <c r="C152" s="95" t="s">
        <v>339</v>
      </c>
      <c r="D152" s="95" t="s">
        <v>383</v>
      </c>
      <c r="E152" s="95" t="s">
        <v>413</v>
      </c>
      <c r="F152" s="95" t="s">
        <v>443</v>
      </c>
      <c r="G152" s="95" t="s">
        <v>473</v>
      </c>
      <c r="H152" s="95" t="s">
        <v>503</v>
      </c>
      <c r="I152" s="95" t="s">
        <v>533</v>
      </c>
      <c r="J152" s="95" t="s">
        <v>563</v>
      </c>
      <c r="K152" s="95" t="s">
        <v>593</v>
      </c>
      <c r="L152" s="95" t="s">
        <v>627</v>
      </c>
      <c r="M152" s="95" t="s">
        <v>657</v>
      </c>
      <c r="N152" s="95" t="s">
        <v>686</v>
      </c>
      <c r="O152" s="95" t="s">
        <v>715</v>
      </c>
      <c r="P152" s="95" t="s">
        <v>744</v>
      </c>
      <c r="Q152" s="95" t="s">
        <v>773</v>
      </c>
      <c r="R152" s="95" t="s">
        <v>805</v>
      </c>
      <c r="S152" s="95" t="s">
        <v>837</v>
      </c>
      <c r="T152" s="95" t="s">
        <v>869</v>
      </c>
      <c r="U152" s="95" t="s">
        <v>901</v>
      </c>
      <c r="V152" s="95" t="s">
        <v>942</v>
      </c>
      <c r="W152" s="95" t="s">
        <v>973</v>
      </c>
      <c r="X152" s="95" t="s">
        <v>1004</v>
      </c>
      <c r="Y152" s="95" t="s">
        <v>1035</v>
      </c>
      <c r="Z152" s="95" t="s">
        <v>1066</v>
      </c>
      <c r="AA152" s="95" t="s">
        <v>1097</v>
      </c>
      <c r="AB152" s="95" t="s">
        <v>1128</v>
      </c>
      <c r="AC152" s="95" t="s">
        <v>1159</v>
      </c>
      <c r="AD152" s="95" t="s">
        <v>1190</v>
      </c>
      <c r="AE152" s="95" t="s">
        <v>1221</v>
      </c>
      <c r="AF152" s="95" t="s">
        <v>2872</v>
      </c>
      <c r="AG152" s="96" t="s">
        <v>1254</v>
      </c>
    </row>
    <row r="153" spans="1:33" ht="15" thickBot="1" x14ac:dyDescent="0.3">
      <c r="A153" s="20">
        <v>31</v>
      </c>
      <c r="B153" s="97" t="s">
        <v>309</v>
      </c>
      <c r="C153" s="98" t="s">
        <v>340</v>
      </c>
      <c r="D153" s="98" t="s">
        <v>384</v>
      </c>
      <c r="E153" s="98" t="s">
        <v>414</v>
      </c>
      <c r="F153" s="98" t="s">
        <v>444</v>
      </c>
      <c r="G153" s="98" t="s">
        <v>474</v>
      </c>
      <c r="H153" s="98" t="s">
        <v>504</v>
      </c>
      <c r="I153" s="98" t="s">
        <v>534</v>
      </c>
      <c r="J153" s="98" t="s">
        <v>564</v>
      </c>
      <c r="K153" s="98" t="s">
        <v>594</v>
      </c>
      <c r="L153" s="98" t="s">
        <v>628</v>
      </c>
      <c r="M153" s="98" t="s">
        <v>658</v>
      </c>
      <c r="N153" s="98" t="s">
        <v>687</v>
      </c>
      <c r="O153" s="98" t="s">
        <v>716</v>
      </c>
      <c r="P153" s="98" t="s">
        <v>745</v>
      </c>
      <c r="Q153" s="98" t="s">
        <v>774</v>
      </c>
      <c r="R153" s="98" t="s">
        <v>806</v>
      </c>
      <c r="S153" s="98" t="s">
        <v>838</v>
      </c>
      <c r="T153" s="98" t="s">
        <v>870</v>
      </c>
      <c r="U153" s="98" t="s">
        <v>902</v>
      </c>
      <c r="V153" s="98" t="s">
        <v>943</v>
      </c>
      <c r="W153" s="98" t="s">
        <v>974</v>
      </c>
      <c r="X153" s="98" t="s">
        <v>1005</v>
      </c>
      <c r="Y153" s="98" t="s">
        <v>1036</v>
      </c>
      <c r="Z153" s="98" t="s">
        <v>1067</v>
      </c>
      <c r="AA153" s="98" t="s">
        <v>1098</v>
      </c>
      <c r="AB153" s="98" t="s">
        <v>1129</v>
      </c>
      <c r="AC153" s="98" t="s">
        <v>1160</v>
      </c>
      <c r="AD153" s="98" t="s">
        <v>1191</v>
      </c>
      <c r="AE153" s="98" t="s">
        <v>1222</v>
      </c>
      <c r="AF153" s="98" t="s">
        <v>2873</v>
      </c>
      <c r="AG153" s="99" t="s">
        <v>1255</v>
      </c>
    </row>
    <row r="154" spans="1:33" ht="15" thickBot="1" x14ac:dyDescent="0.3"/>
    <row r="155" spans="1:33" ht="15" thickBot="1" x14ac:dyDescent="0.3">
      <c r="A155" s="82" t="s">
        <v>1256</v>
      </c>
      <c r="B155" s="83"/>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84"/>
    </row>
    <row r="156" spans="1:33" x14ac:dyDescent="0.25">
      <c r="A156" s="19">
        <v>0</v>
      </c>
      <c r="B156" s="91" t="s">
        <v>263</v>
      </c>
      <c r="C156" s="92" t="s">
        <v>310</v>
      </c>
      <c r="D156" s="92" t="s">
        <v>355</v>
      </c>
      <c r="E156" s="92" t="s">
        <v>385</v>
      </c>
      <c r="F156" s="92" t="s">
        <v>415</v>
      </c>
      <c r="G156" s="92" t="s">
        <v>445</v>
      </c>
      <c r="H156" s="92" t="s">
        <v>475</v>
      </c>
      <c r="I156" s="92" t="s">
        <v>505</v>
      </c>
      <c r="J156" s="92" t="s">
        <v>535</v>
      </c>
      <c r="K156" s="92" t="s">
        <v>565</v>
      </c>
      <c r="L156" s="92" t="s">
        <v>595</v>
      </c>
      <c r="M156" s="92" t="s">
        <v>629</v>
      </c>
      <c r="N156" s="92" t="s">
        <v>659</v>
      </c>
      <c r="O156" s="92" t="s">
        <v>688</v>
      </c>
      <c r="P156" s="92" t="s">
        <v>717</v>
      </c>
      <c r="Q156" s="92" t="s">
        <v>746</v>
      </c>
      <c r="R156" s="92" t="s">
        <v>775</v>
      </c>
      <c r="S156" s="92" t="s">
        <v>807</v>
      </c>
      <c r="T156" s="92" t="s">
        <v>839</v>
      </c>
      <c r="U156" s="92" t="s">
        <v>871</v>
      </c>
      <c r="V156" s="92" t="s">
        <v>903</v>
      </c>
      <c r="W156" s="92" t="s">
        <v>944</v>
      </c>
      <c r="X156" s="92" t="s">
        <v>975</v>
      </c>
      <c r="Y156" s="92" t="s">
        <v>1006</v>
      </c>
      <c r="Z156" s="92" t="s">
        <v>1037</v>
      </c>
      <c r="AA156" s="92" t="s">
        <v>1068</v>
      </c>
      <c r="AB156" s="92" t="s">
        <v>1099</v>
      </c>
      <c r="AC156" s="92" t="s">
        <v>1130</v>
      </c>
      <c r="AD156" s="92" t="s">
        <v>1161</v>
      </c>
      <c r="AE156" s="92" t="s">
        <v>1192</v>
      </c>
      <c r="AF156" s="92" t="s">
        <v>1223</v>
      </c>
      <c r="AG156" s="93" t="s">
        <v>2745</v>
      </c>
    </row>
    <row r="157" spans="1:33" x14ac:dyDescent="0.25">
      <c r="A157" s="19">
        <v>1</v>
      </c>
      <c r="B157" s="94" t="s">
        <v>279</v>
      </c>
      <c r="C157" s="95" t="s">
        <v>264</v>
      </c>
      <c r="D157" s="95" t="s">
        <v>341</v>
      </c>
      <c r="E157" s="95" t="s">
        <v>342</v>
      </c>
      <c r="F157" s="95" t="s">
        <v>343</v>
      </c>
      <c r="G157" s="95" t="s">
        <v>344</v>
      </c>
      <c r="H157" s="95" t="s">
        <v>345</v>
      </c>
      <c r="I157" s="95" t="s">
        <v>346</v>
      </c>
      <c r="J157" s="95" t="s">
        <v>347</v>
      </c>
      <c r="K157" s="95" t="s">
        <v>348</v>
      </c>
      <c r="L157" s="95" t="s">
        <v>349</v>
      </c>
      <c r="M157" s="95" t="s">
        <v>350</v>
      </c>
      <c r="N157" s="95" t="s">
        <v>351</v>
      </c>
      <c r="O157" s="95" t="s">
        <v>352</v>
      </c>
      <c r="P157" s="95" t="s">
        <v>353</v>
      </c>
      <c r="Q157" s="95" t="s">
        <v>354</v>
      </c>
      <c r="R157" s="95" t="s">
        <v>776</v>
      </c>
      <c r="S157" s="95" t="s">
        <v>808</v>
      </c>
      <c r="T157" s="95" t="s">
        <v>840</v>
      </c>
      <c r="U157" s="95" t="s">
        <v>872</v>
      </c>
      <c r="V157" s="95" t="s">
        <v>913</v>
      </c>
      <c r="W157" s="95" t="s">
        <v>904</v>
      </c>
      <c r="X157" s="95" t="s">
        <v>976</v>
      </c>
      <c r="Y157" s="95" t="s">
        <v>1007</v>
      </c>
      <c r="Z157" s="95" t="s">
        <v>1038</v>
      </c>
      <c r="AA157" s="95" t="s">
        <v>1069</v>
      </c>
      <c r="AB157" s="95" t="s">
        <v>1100</v>
      </c>
      <c r="AC157" s="95" t="s">
        <v>1131</v>
      </c>
      <c r="AD157" s="95" t="s">
        <v>1162</v>
      </c>
      <c r="AE157" s="95" t="s">
        <v>1193</v>
      </c>
      <c r="AF157" s="95" t="s">
        <v>2686</v>
      </c>
      <c r="AG157" s="96" t="s">
        <v>2746</v>
      </c>
    </row>
    <row r="158" spans="1:33" x14ac:dyDescent="0.25">
      <c r="A158" s="19">
        <v>2</v>
      </c>
      <c r="B158" s="94" t="s">
        <v>280</v>
      </c>
      <c r="C158" s="95" t="s">
        <v>311</v>
      </c>
      <c r="D158" s="95" t="s">
        <v>265</v>
      </c>
      <c r="E158" s="95" t="s">
        <v>386</v>
      </c>
      <c r="F158" s="95" t="s">
        <v>416</v>
      </c>
      <c r="G158" s="95" t="s">
        <v>446</v>
      </c>
      <c r="H158" s="95" t="s">
        <v>476</v>
      </c>
      <c r="I158" s="95" t="s">
        <v>506</v>
      </c>
      <c r="J158" s="95" t="s">
        <v>536</v>
      </c>
      <c r="K158" s="95" t="s">
        <v>566</v>
      </c>
      <c r="L158" s="95" t="s">
        <v>600</v>
      </c>
      <c r="M158" s="95" t="s">
        <v>630</v>
      </c>
      <c r="N158" s="95" t="s">
        <v>596</v>
      </c>
      <c r="O158" s="95" t="s">
        <v>689</v>
      </c>
      <c r="P158" s="95" t="s">
        <v>718</v>
      </c>
      <c r="Q158" s="95" t="s">
        <v>747</v>
      </c>
      <c r="R158" s="95" t="s">
        <v>777</v>
      </c>
      <c r="S158" s="95" t="s">
        <v>809</v>
      </c>
      <c r="T158" s="95" t="s">
        <v>841</v>
      </c>
      <c r="U158" s="95" t="s">
        <v>873</v>
      </c>
      <c r="V158" s="95" t="s">
        <v>914</v>
      </c>
      <c r="W158" s="95" t="s">
        <v>945</v>
      </c>
      <c r="X158" s="95" t="s">
        <v>905</v>
      </c>
      <c r="Y158" s="95" t="s">
        <v>1008</v>
      </c>
      <c r="Z158" s="95" t="s">
        <v>1039</v>
      </c>
      <c r="AA158" s="95" t="s">
        <v>1070</v>
      </c>
      <c r="AB158" s="95" t="s">
        <v>1101</v>
      </c>
      <c r="AC158" s="95" t="s">
        <v>1132</v>
      </c>
      <c r="AD158" s="95" t="s">
        <v>1163</v>
      </c>
      <c r="AE158" s="95" t="s">
        <v>2624</v>
      </c>
      <c r="AF158" s="95" t="s">
        <v>2687</v>
      </c>
      <c r="AG158" s="96" t="s">
        <v>2747</v>
      </c>
    </row>
    <row r="159" spans="1:33" x14ac:dyDescent="0.25">
      <c r="A159" s="19">
        <v>3</v>
      </c>
      <c r="B159" s="94" t="s">
        <v>281</v>
      </c>
      <c r="C159" s="95" t="s">
        <v>312</v>
      </c>
      <c r="D159" s="95" t="s">
        <v>356</v>
      </c>
      <c r="E159" s="95" t="s">
        <v>266</v>
      </c>
      <c r="F159" s="95" t="s">
        <v>417</v>
      </c>
      <c r="G159" s="95" t="s">
        <v>447</v>
      </c>
      <c r="H159" s="95" t="s">
        <v>477</v>
      </c>
      <c r="I159" s="95" t="s">
        <v>507</v>
      </c>
      <c r="J159" s="95" t="s">
        <v>537</v>
      </c>
      <c r="K159" s="95" t="s">
        <v>567</v>
      </c>
      <c r="L159" s="95" t="s">
        <v>601</v>
      </c>
      <c r="M159" s="95" t="s">
        <v>631</v>
      </c>
      <c r="N159" s="95" t="s">
        <v>660</v>
      </c>
      <c r="O159" s="95" t="s">
        <v>597</v>
      </c>
      <c r="P159" s="95" t="s">
        <v>719</v>
      </c>
      <c r="Q159" s="95" t="s">
        <v>748</v>
      </c>
      <c r="R159" s="95" t="s">
        <v>778</v>
      </c>
      <c r="S159" s="95" t="s">
        <v>810</v>
      </c>
      <c r="T159" s="95" t="s">
        <v>842</v>
      </c>
      <c r="U159" s="95" t="s">
        <v>874</v>
      </c>
      <c r="V159" s="95" t="s">
        <v>915</v>
      </c>
      <c r="W159" s="95" t="s">
        <v>946</v>
      </c>
      <c r="X159" s="95" t="s">
        <v>977</v>
      </c>
      <c r="Y159" s="95" t="s">
        <v>906</v>
      </c>
      <c r="Z159" s="95" t="s">
        <v>1040</v>
      </c>
      <c r="AA159" s="95" t="s">
        <v>1071</v>
      </c>
      <c r="AB159" s="95" t="s">
        <v>1102</v>
      </c>
      <c r="AC159" s="95" t="s">
        <v>1133</v>
      </c>
      <c r="AD159" s="95" t="s">
        <v>2563</v>
      </c>
      <c r="AE159" s="95" t="s">
        <v>2625</v>
      </c>
      <c r="AF159" s="95" t="s">
        <v>2688</v>
      </c>
      <c r="AG159" s="96" t="s">
        <v>2748</v>
      </c>
    </row>
    <row r="160" spans="1:33" x14ac:dyDescent="0.25">
      <c r="A160" s="19">
        <v>4</v>
      </c>
      <c r="B160" s="94" t="s">
        <v>282</v>
      </c>
      <c r="C160" s="95" t="s">
        <v>313</v>
      </c>
      <c r="D160" s="95" t="s">
        <v>357</v>
      </c>
      <c r="E160" s="95" t="s">
        <v>387</v>
      </c>
      <c r="F160" s="95" t="s">
        <v>267</v>
      </c>
      <c r="G160" s="95" t="s">
        <v>448</v>
      </c>
      <c r="H160" s="95" t="s">
        <v>478</v>
      </c>
      <c r="I160" s="95" t="s">
        <v>508</v>
      </c>
      <c r="J160" s="95" t="s">
        <v>538</v>
      </c>
      <c r="K160" s="95" t="s">
        <v>568</v>
      </c>
      <c r="L160" s="95" t="s">
        <v>602</v>
      </c>
      <c r="M160" s="95" t="s">
        <v>632</v>
      </c>
      <c r="N160" s="95" t="s">
        <v>661</v>
      </c>
      <c r="O160" s="95" t="s">
        <v>690</v>
      </c>
      <c r="P160" s="95" t="s">
        <v>598</v>
      </c>
      <c r="Q160" s="95" t="s">
        <v>749</v>
      </c>
      <c r="R160" s="95" t="s">
        <v>779</v>
      </c>
      <c r="S160" s="95" t="s">
        <v>811</v>
      </c>
      <c r="T160" s="95" t="s">
        <v>843</v>
      </c>
      <c r="U160" s="95" t="s">
        <v>875</v>
      </c>
      <c r="V160" s="95" t="s">
        <v>916</v>
      </c>
      <c r="W160" s="95" t="s">
        <v>947</v>
      </c>
      <c r="X160" s="95" t="s">
        <v>978</v>
      </c>
      <c r="Y160" s="95" t="s">
        <v>1009</v>
      </c>
      <c r="Z160" s="95" t="s">
        <v>907</v>
      </c>
      <c r="AA160" s="95" t="s">
        <v>1072</v>
      </c>
      <c r="AB160" s="95" t="s">
        <v>1103</v>
      </c>
      <c r="AC160" s="95" t="s">
        <v>2503</v>
      </c>
      <c r="AD160" s="95" t="s">
        <v>2564</v>
      </c>
      <c r="AE160" s="95" t="s">
        <v>2626</v>
      </c>
      <c r="AF160" s="95" t="s">
        <v>2689</v>
      </c>
      <c r="AG160" s="96" t="s">
        <v>2749</v>
      </c>
    </row>
    <row r="161" spans="1:33" x14ac:dyDescent="0.25">
      <c r="A161" s="19">
        <v>5</v>
      </c>
      <c r="B161" s="94" t="s">
        <v>283</v>
      </c>
      <c r="C161" s="95" t="s">
        <v>314</v>
      </c>
      <c r="D161" s="95" t="s">
        <v>358</v>
      </c>
      <c r="E161" s="95" t="s">
        <v>388</v>
      </c>
      <c r="F161" s="95" t="s">
        <v>418</v>
      </c>
      <c r="G161" s="95" t="s">
        <v>268</v>
      </c>
      <c r="H161" s="95" t="s">
        <v>479</v>
      </c>
      <c r="I161" s="95" t="s">
        <v>509</v>
      </c>
      <c r="J161" s="95" t="s">
        <v>539</v>
      </c>
      <c r="K161" s="95" t="s">
        <v>569</v>
      </c>
      <c r="L161" s="95" t="s">
        <v>603</v>
      </c>
      <c r="M161" s="95" t="s">
        <v>633</v>
      </c>
      <c r="N161" s="95" t="s">
        <v>662</v>
      </c>
      <c r="O161" s="95" t="s">
        <v>691</v>
      </c>
      <c r="P161" s="95" t="s">
        <v>720</v>
      </c>
      <c r="Q161" s="95" t="s">
        <v>599</v>
      </c>
      <c r="R161" s="95" t="s">
        <v>780</v>
      </c>
      <c r="S161" s="95" t="s">
        <v>812</v>
      </c>
      <c r="T161" s="95" t="s">
        <v>844</v>
      </c>
      <c r="U161" s="95" t="s">
        <v>876</v>
      </c>
      <c r="V161" s="95" t="s">
        <v>917</v>
      </c>
      <c r="W161" s="95" t="s">
        <v>948</v>
      </c>
      <c r="X161" s="95" t="s">
        <v>979</v>
      </c>
      <c r="Y161" s="95" t="s">
        <v>1010</v>
      </c>
      <c r="Z161" s="95" t="s">
        <v>1041</v>
      </c>
      <c r="AA161" s="95" t="s">
        <v>908</v>
      </c>
      <c r="AB161" s="95" t="s">
        <v>2444</v>
      </c>
      <c r="AC161" s="95" t="s">
        <v>2504</v>
      </c>
      <c r="AD161" s="95" t="s">
        <v>2565</v>
      </c>
      <c r="AE161" s="95" t="s">
        <v>2627</v>
      </c>
      <c r="AF161" s="95" t="s">
        <v>2690</v>
      </c>
      <c r="AG161" s="96" t="s">
        <v>2750</v>
      </c>
    </row>
    <row r="162" spans="1:33" x14ac:dyDescent="0.25">
      <c r="A162" s="19">
        <v>6</v>
      </c>
      <c r="B162" s="94" t="s">
        <v>284</v>
      </c>
      <c r="C162" s="95" t="s">
        <v>315</v>
      </c>
      <c r="D162" s="95" t="s">
        <v>359</v>
      </c>
      <c r="E162" s="95" t="s">
        <v>389</v>
      </c>
      <c r="F162" s="95" t="s">
        <v>419</v>
      </c>
      <c r="G162" s="95" t="s">
        <v>449</v>
      </c>
      <c r="H162" s="95" t="s">
        <v>269</v>
      </c>
      <c r="I162" s="95" t="s">
        <v>510</v>
      </c>
      <c r="J162" s="95" t="s">
        <v>540</v>
      </c>
      <c r="K162" s="95" t="s">
        <v>570</v>
      </c>
      <c r="L162" s="95" t="s">
        <v>604</v>
      </c>
      <c r="M162" s="95" t="s">
        <v>634</v>
      </c>
      <c r="N162" s="95" t="s">
        <v>663</v>
      </c>
      <c r="O162" s="95" t="s">
        <v>692</v>
      </c>
      <c r="P162" s="95" t="s">
        <v>721</v>
      </c>
      <c r="Q162" s="95" t="s">
        <v>750</v>
      </c>
      <c r="R162" s="95" t="s">
        <v>781</v>
      </c>
      <c r="S162" s="95" t="s">
        <v>813</v>
      </c>
      <c r="T162" s="95" t="s">
        <v>845</v>
      </c>
      <c r="U162" s="95" t="s">
        <v>877</v>
      </c>
      <c r="V162" s="95" t="s">
        <v>918</v>
      </c>
      <c r="W162" s="95" t="s">
        <v>949</v>
      </c>
      <c r="X162" s="95" t="s">
        <v>980</v>
      </c>
      <c r="Y162" s="95" t="s">
        <v>1011</v>
      </c>
      <c r="Z162" s="95" t="s">
        <v>1042</v>
      </c>
      <c r="AA162" s="95" t="s">
        <v>2386</v>
      </c>
      <c r="AB162" s="95" t="s">
        <v>2445</v>
      </c>
      <c r="AC162" s="95" t="s">
        <v>2505</v>
      </c>
      <c r="AD162" s="95" t="s">
        <v>2566</v>
      </c>
      <c r="AE162" s="95" t="s">
        <v>2628</v>
      </c>
      <c r="AF162" s="95" t="s">
        <v>2691</v>
      </c>
      <c r="AG162" s="96" t="s">
        <v>2751</v>
      </c>
    </row>
    <row r="163" spans="1:33" x14ac:dyDescent="0.25">
      <c r="A163" s="19">
        <v>7</v>
      </c>
      <c r="B163" s="94" t="s">
        <v>285</v>
      </c>
      <c r="C163" s="95" t="s">
        <v>316</v>
      </c>
      <c r="D163" s="95" t="s">
        <v>360</v>
      </c>
      <c r="E163" s="95" t="s">
        <v>390</v>
      </c>
      <c r="F163" s="95" t="s">
        <v>420</v>
      </c>
      <c r="G163" s="95" t="s">
        <v>450</v>
      </c>
      <c r="H163" s="95" t="s">
        <v>480</v>
      </c>
      <c r="I163" s="95" t="s">
        <v>270</v>
      </c>
      <c r="J163" s="95" t="s">
        <v>541</v>
      </c>
      <c r="K163" s="95" t="s">
        <v>571</v>
      </c>
      <c r="L163" s="95" t="s">
        <v>605</v>
      </c>
      <c r="M163" s="95" t="s">
        <v>635</v>
      </c>
      <c r="N163" s="95" t="s">
        <v>664</v>
      </c>
      <c r="O163" s="95" t="s">
        <v>693</v>
      </c>
      <c r="P163" s="95" t="s">
        <v>722</v>
      </c>
      <c r="Q163" s="95" t="s">
        <v>751</v>
      </c>
      <c r="R163" s="95" t="s">
        <v>782</v>
      </c>
      <c r="S163" s="95" t="s">
        <v>814</v>
      </c>
      <c r="T163" s="95" t="s">
        <v>846</v>
      </c>
      <c r="U163" s="95" t="s">
        <v>878</v>
      </c>
      <c r="V163" s="95" t="s">
        <v>919</v>
      </c>
      <c r="W163" s="95" t="s">
        <v>950</v>
      </c>
      <c r="X163" s="95" t="s">
        <v>981</v>
      </c>
      <c r="Y163" s="95" t="s">
        <v>1012</v>
      </c>
      <c r="Z163" s="95" t="s">
        <v>2329</v>
      </c>
      <c r="AA163" s="95" t="s">
        <v>2387</v>
      </c>
      <c r="AB163" s="95" t="s">
        <v>2446</v>
      </c>
      <c r="AC163" s="95" t="s">
        <v>2506</v>
      </c>
      <c r="AD163" s="95" t="s">
        <v>2567</v>
      </c>
      <c r="AE163" s="95" t="s">
        <v>2629</v>
      </c>
      <c r="AF163" s="95" t="s">
        <v>2692</v>
      </c>
      <c r="AG163" s="96" t="s">
        <v>2752</v>
      </c>
    </row>
    <row r="164" spans="1:33" x14ac:dyDescent="0.25">
      <c r="A164" s="19">
        <v>8</v>
      </c>
      <c r="B164" s="94" t="s">
        <v>286</v>
      </c>
      <c r="C164" s="95" t="s">
        <v>317</v>
      </c>
      <c r="D164" s="95" t="s">
        <v>361</v>
      </c>
      <c r="E164" s="95" t="s">
        <v>391</v>
      </c>
      <c r="F164" s="95" t="s">
        <v>421</v>
      </c>
      <c r="G164" s="95" t="s">
        <v>451</v>
      </c>
      <c r="H164" s="95" t="s">
        <v>481</v>
      </c>
      <c r="I164" s="95" t="s">
        <v>511</v>
      </c>
      <c r="J164" s="95" t="s">
        <v>271</v>
      </c>
      <c r="K164" s="95" t="s">
        <v>572</v>
      </c>
      <c r="L164" s="95" t="s">
        <v>606</v>
      </c>
      <c r="M164" s="95" t="s">
        <v>636</v>
      </c>
      <c r="N164" s="95" t="s">
        <v>665</v>
      </c>
      <c r="O164" s="95" t="s">
        <v>694</v>
      </c>
      <c r="P164" s="95" t="s">
        <v>723</v>
      </c>
      <c r="Q164" s="95" t="s">
        <v>752</v>
      </c>
      <c r="R164" s="95" t="s">
        <v>783</v>
      </c>
      <c r="S164" s="95" t="s">
        <v>815</v>
      </c>
      <c r="T164" s="95" t="s">
        <v>847</v>
      </c>
      <c r="U164" s="95" t="s">
        <v>879</v>
      </c>
      <c r="V164" s="95" t="s">
        <v>920</v>
      </c>
      <c r="W164" s="95" t="s">
        <v>951</v>
      </c>
      <c r="X164" s="95" t="s">
        <v>982</v>
      </c>
      <c r="Y164" s="95" t="s">
        <v>2273</v>
      </c>
      <c r="Z164" s="95" t="s">
        <v>2330</v>
      </c>
      <c r="AA164" s="95" t="s">
        <v>2388</v>
      </c>
      <c r="AB164" s="95" t="s">
        <v>2447</v>
      </c>
      <c r="AC164" s="95" t="s">
        <v>2507</v>
      </c>
      <c r="AD164" s="95" t="s">
        <v>2568</v>
      </c>
      <c r="AE164" s="95" t="s">
        <v>2630</v>
      </c>
      <c r="AF164" s="95" t="s">
        <v>2693</v>
      </c>
      <c r="AG164" s="96" t="s">
        <v>2753</v>
      </c>
    </row>
    <row r="165" spans="1:33" x14ac:dyDescent="0.25">
      <c r="A165" s="19">
        <v>9</v>
      </c>
      <c r="B165" s="94" t="s">
        <v>287</v>
      </c>
      <c r="C165" s="95" t="s">
        <v>318</v>
      </c>
      <c r="D165" s="95" t="s">
        <v>362</v>
      </c>
      <c r="E165" s="95" t="s">
        <v>392</v>
      </c>
      <c r="F165" s="95" t="s">
        <v>422</v>
      </c>
      <c r="G165" s="95" t="s">
        <v>452</v>
      </c>
      <c r="H165" s="95" t="s">
        <v>482</v>
      </c>
      <c r="I165" s="95" t="s">
        <v>512</v>
      </c>
      <c r="J165" s="95" t="s">
        <v>542</v>
      </c>
      <c r="K165" s="95" t="s">
        <v>272</v>
      </c>
      <c r="L165" s="95" t="s">
        <v>607</v>
      </c>
      <c r="M165" s="95" t="s">
        <v>637</v>
      </c>
      <c r="N165" s="95" t="s">
        <v>666</v>
      </c>
      <c r="O165" s="95" t="s">
        <v>695</v>
      </c>
      <c r="P165" s="95" t="s">
        <v>724</v>
      </c>
      <c r="Q165" s="95" t="s">
        <v>753</v>
      </c>
      <c r="R165" s="95" t="s">
        <v>784</v>
      </c>
      <c r="S165" s="95" t="s">
        <v>816</v>
      </c>
      <c r="T165" s="95" t="s">
        <v>848</v>
      </c>
      <c r="U165" s="95" t="s">
        <v>880</v>
      </c>
      <c r="V165" s="95" t="s">
        <v>921</v>
      </c>
      <c r="W165" s="95" t="s">
        <v>952</v>
      </c>
      <c r="X165" s="95" t="s">
        <v>2218</v>
      </c>
      <c r="Y165" s="95" t="s">
        <v>2274</v>
      </c>
      <c r="Z165" s="95" t="s">
        <v>2331</v>
      </c>
      <c r="AA165" s="95" t="s">
        <v>2389</v>
      </c>
      <c r="AB165" s="95" t="s">
        <v>2448</v>
      </c>
      <c r="AC165" s="95" t="s">
        <v>2508</v>
      </c>
      <c r="AD165" s="95" t="s">
        <v>2569</v>
      </c>
      <c r="AE165" s="95" t="s">
        <v>2631</v>
      </c>
      <c r="AF165" s="95" t="s">
        <v>2694</v>
      </c>
      <c r="AG165" s="96" t="s">
        <v>2754</v>
      </c>
    </row>
    <row r="166" spans="1:33" x14ac:dyDescent="0.25">
      <c r="A166" s="19">
        <v>10</v>
      </c>
      <c r="B166" s="94" t="s">
        <v>288</v>
      </c>
      <c r="C166" s="95" t="s">
        <v>319</v>
      </c>
      <c r="D166" s="95" t="s">
        <v>363</v>
      </c>
      <c r="E166" s="95" t="s">
        <v>393</v>
      </c>
      <c r="F166" s="95" t="s">
        <v>423</v>
      </c>
      <c r="G166" s="95" t="s">
        <v>453</v>
      </c>
      <c r="H166" s="95" t="s">
        <v>483</v>
      </c>
      <c r="I166" s="95" t="s">
        <v>513</v>
      </c>
      <c r="J166" s="95" t="s">
        <v>543</v>
      </c>
      <c r="K166" s="95" t="s">
        <v>573</v>
      </c>
      <c r="L166" s="95" t="s">
        <v>273</v>
      </c>
      <c r="M166" s="95" t="s">
        <v>638</v>
      </c>
      <c r="N166" s="95" t="s">
        <v>667</v>
      </c>
      <c r="O166" s="95" t="s">
        <v>696</v>
      </c>
      <c r="P166" s="95" t="s">
        <v>725</v>
      </c>
      <c r="Q166" s="95" t="s">
        <v>754</v>
      </c>
      <c r="R166" s="95" t="s">
        <v>785</v>
      </c>
      <c r="S166" s="95" t="s">
        <v>817</v>
      </c>
      <c r="T166" s="95" t="s">
        <v>849</v>
      </c>
      <c r="U166" s="95" t="s">
        <v>881</v>
      </c>
      <c r="V166" s="95" t="s">
        <v>922</v>
      </c>
      <c r="W166" s="95" t="s">
        <v>2164</v>
      </c>
      <c r="X166" s="95" t="s">
        <v>2219</v>
      </c>
      <c r="Y166" s="95" t="s">
        <v>2275</v>
      </c>
      <c r="Z166" s="95" t="s">
        <v>2332</v>
      </c>
      <c r="AA166" s="95" t="s">
        <v>2390</v>
      </c>
      <c r="AB166" s="95" t="s">
        <v>2449</v>
      </c>
      <c r="AC166" s="95" t="s">
        <v>2509</v>
      </c>
      <c r="AD166" s="95" t="s">
        <v>2570</v>
      </c>
      <c r="AE166" s="95" t="s">
        <v>2632</v>
      </c>
      <c r="AF166" s="95" t="s">
        <v>2695</v>
      </c>
      <c r="AG166" s="96" t="s">
        <v>2755</v>
      </c>
    </row>
    <row r="167" spans="1:33" x14ac:dyDescent="0.25">
      <c r="A167" s="19">
        <v>11</v>
      </c>
      <c r="B167" s="94" t="s">
        <v>289</v>
      </c>
      <c r="C167" s="95" t="s">
        <v>320</v>
      </c>
      <c r="D167" s="95" t="s">
        <v>364</v>
      </c>
      <c r="E167" s="95" t="s">
        <v>394</v>
      </c>
      <c r="F167" s="95" t="s">
        <v>424</v>
      </c>
      <c r="G167" s="95" t="s">
        <v>454</v>
      </c>
      <c r="H167" s="95" t="s">
        <v>484</v>
      </c>
      <c r="I167" s="95" t="s">
        <v>514</v>
      </c>
      <c r="J167" s="95" t="s">
        <v>544</v>
      </c>
      <c r="K167" s="95" t="s">
        <v>574</v>
      </c>
      <c r="L167" s="95" t="s">
        <v>608</v>
      </c>
      <c r="M167" s="95" t="s">
        <v>274</v>
      </c>
      <c r="N167" s="95" t="s">
        <v>668</v>
      </c>
      <c r="O167" s="95" t="s">
        <v>697</v>
      </c>
      <c r="P167" s="95" t="s">
        <v>726</v>
      </c>
      <c r="Q167" s="95" t="s">
        <v>755</v>
      </c>
      <c r="R167" s="95" t="s">
        <v>786</v>
      </c>
      <c r="S167" s="95" t="s">
        <v>818</v>
      </c>
      <c r="T167" s="95" t="s">
        <v>850</v>
      </c>
      <c r="U167" s="95" t="s">
        <v>882</v>
      </c>
      <c r="V167" s="95" t="s">
        <v>2107</v>
      </c>
      <c r="W167" s="95" t="s">
        <v>2165</v>
      </c>
      <c r="X167" s="95" t="s">
        <v>2220</v>
      </c>
      <c r="Y167" s="95" t="s">
        <v>2276</v>
      </c>
      <c r="Z167" s="95" t="s">
        <v>2333</v>
      </c>
      <c r="AA167" s="95" t="s">
        <v>2391</v>
      </c>
      <c r="AB167" s="95" t="s">
        <v>2450</v>
      </c>
      <c r="AC167" s="95" t="s">
        <v>2510</v>
      </c>
      <c r="AD167" s="95" t="s">
        <v>2571</v>
      </c>
      <c r="AE167" s="95" t="s">
        <v>2633</v>
      </c>
      <c r="AF167" s="95" t="s">
        <v>2696</v>
      </c>
      <c r="AG167" s="96" t="s">
        <v>2756</v>
      </c>
    </row>
    <row r="168" spans="1:33" x14ac:dyDescent="0.25">
      <c r="A168" s="19">
        <v>12</v>
      </c>
      <c r="B168" s="94" t="s">
        <v>290</v>
      </c>
      <c r="C168" s="95" t="s">
        <v>321</v>
      </c>
      <c r="D168" s="95" t="s">
        <v>365</v>
      </c>
      <c r="E168" s="95" t="s">
        <v>395</v>
      </c>
      <c r="F168" s="95" t="s">
        <v>425</v>
      </c>
      <c r="G168" s="95" t="s">
        <v>455</v>
      </c>
      <c r="H168" s="95" t="s">
        <v>485</v>
      </c>
      <c r="I168" s="95" t="s">
        <v>515</v>
      </c>
      <c r="J168" s="95" t="s">
        <v>545</v>
      </c>
      <c r="K168" s="95" t="s">
        <v>575</v>
      </c>
      <c r="L168" s="95" t="s">
        <v>609</v>
      </c>
      <c r="M168" s="95" t="s">
        <v>639</v>
      </c>
      <c r="N168" s="95" t="s">
        <v>275</v>
      </c>
      <c r="O168" s="95" t="s">
        <v>698</v>
      </c>
      <c r="P168" s="95" t="s">
        <v>727</v>
      </c>
      <c r="Q168" s="95" t="s">
        <v>756</v>
      </c>
      <c r="R168" s="95" t="s">
        <v>787</v>
      </c>
      <c r="S168" s="95" t="s">
        <v>819</v>
      </c>
      <c r="T168" s="95" t="s">
        <v>851</v>
      </c>
      <c r="U168" s="95" t="s">
        <v>2055</v>
      </c>
      <c r="V168" s="95" t="s">
        <v>2108</v>
      </c>
      <c r="W168" s="95" t="s">
        <v>2166</v>
      </c>
      <c r="X168" s="95" t="s">
        <v>2221</v>
      </c>
      <c r="Y168" s="95" t="s">
        <v>2277</v>
      </c>
      <c r="Z168" s="95" t="s">
        <v>2334</v>
      </c>
      <c r="AA168" s="95" t="s">
        <v>2392</v>
      </c>
      <c r="AB168" s="95" t="s">
        <v>2451</v>
      </c>
      <c r="AC168" s="95" t="s">
        <v>2511</v>
      </c>
      <c r="AD168" s="95" t="s">
        <v>2572</v>
      </c>
      <c r="AE168" s="95" t="s">
        <v>2634</v>
      </c>
      <c r="AF168" s="95" t="s">
        <v>2697</v>
      </c>
      <c r="AG168" s="96" t="s">
        <v>2757</v>
      </c>
    </row>
    <row r="169" spans="1:33" x14ac:dyDescent="0.25">
      <c r="A169" s="19">
        <v>13</v>
      </c>
      <c r="B169" s="94" t="s">
        <v>291</v>
      </c>
      <c r="C169" s="95" t="s">
        <v>322</v>
      </c>
      <c r="D169" s="95" t="s">
        <v>366</v>
      </c>
      <c r="E169" s="95" t="s">
        <v>396</v>
      </c>
      <c r="F169" s="95" t="s">
        <v>426</v>
      </c>
      <c r="G169" s="95" t="s">
        <v>456</v>
      </c>
      <c r="H169" s="95" t="s">
        <v>486</v>
      </c>
      <c r="I169" s="95" t="s">
        <v>516</v>
      </c>
      <c r="J169" s="95" t="s">
        <v>546</v>
      </c>
      <c r="K169" s="95" t="s">
        <v>576</v>
      </c>
      <c r="L169" s="95" t="s">
        <v>610</v>
      </c>
      <c r="M169" s="95" t="s">
        <v>640</v>
      </c>
      <c r="N169" s="95" t="s">
        <v>669</v>
      </c>
      <c r="O169" s="95" t="s">
        <v>276</v>
      </c>
      <c r="P169" s="95" t="s">
        <v>728</v>
      </c>
      <c r="Q169" s="95" t="s">
        <v>757</v>
      </c>
      <c r="R169" s="95" t="s">
        <v>788</v>
      </c>
      <c r="S169" s="95" t="s">
        <v>820</v>
      </c>
      <c r="T169" s="95" t="s">
        <v>2004</v>
      </c>
      <c r="U169" s="95" t="s">
        <v>2056</v>
      </c>
      <c r="V169" s="95" t="s">
        <v>2109</v>
      </c>
      <c r="W169" s="95" t="s">
        <v>2167</v>
      </c>
      <c r="X169" s="95" t="s">
        <v>2222</v>
      </c>
      <c r="Y169" s="95" t="s">
        <v>2278</v>
      </c>
      <c r="Z169" s="95" t="s">
        <v>2335</v>
      </c>
      <c r="AA169" s="95" t="s">
        <v>2393</v>
      </c>
      <c r="AB169" s="95" t="s">
        <v>2452</v>
      </c>
      <c r="AC169" s="95" t="s">
        <v>2512</v>
      </c>
      <c r="AD169" s="95" t="s">
        <v>2573</v>
      </c>
      <c r="AE169" s="95" t="s">
        <v>2635</v>
      </c>
      <c r="AF169" s="95" t="s">
        <v>2149</v>
      </c>
      <c r="AG169" s="96" t="s">
        <v>2758</v>
      </c>
    </row>
    <row r="170" spans="1:33" x14ac:dyDescent="0.25">
      <c r="A170" s="19">
        <v>14</v>
      </c>
      <c r="B170" s="94" t="s">
        <v>292</v>
      </c>
      <c r="C170" s="95" t="s">
        <v>323</v>
      </c>
      <c r="D170" s="95" t="s">
        <v>367</v>
      </c>
      <c r="E170" s="95" t="s">
        <v>397</v>
      </c>
      <c r="F170" s="95" t="s">
        <v>427</v>
      </c>
      <c r="G170" s="95" t="s">
        <v>457</v>
      </c>
      <c r="H170" s="95" t="s">
        <v>487</v>
      </c>
      <c r="I170" s="95" t="s">
        <v>517</v>
      </c>
      <c r="J170" s="95" t="s">
        <v>547</v>
      </c>
      <c r="K170" s="95" t="s">
        <v>577</v>
      </c>
      <c r="L170" s="95" t="s">
        <v>611</v>
      </c>
      <c r="M170" s="95" t="s">
        <v>641</v>
      </c>
      <c r="N170" s="95" t="s">
        <v>670</v>
      </c>
      <c r="O170" s="95" t="s">
        <v>699</v>
      </c>
      <c r="P170" s="95" t="s">
        <v>277</v>
      </c>
      <c r="Q170" s="95" t="s">
        <v>758</v>
      </c>
      <c r="R170" s="95" t="s">
        <v>789</v>
      </c>
      <c r="S170" s="95" t="s">
        <v>1954</v>
      </c>
      <c r="T170" s="95" t="s">
        <v>2005</v>
      </c>
      <c r="U170" s="95" t="s">
        <v>2057</v>
      </c>
      <c r="V170" s="95" t="s">
        <v>2110</v>
      </c>
      <c r="W170" s="95" t="s">
        <v>2168</v>
      </c>
      <c r="X170" s="95" t="s">
        <v>2223</v>
      </c>
      <c r="Y170" s="95" t="s">
        <v>2279</v>
      </c>
      <c r="Z170" s="95" t="s">
        <v>2336</v>
      </c>
      <c r="AA170" s="95" t="s">
        <v>2394</v>
      </c>
      <c r="AB170" s="95" t="s">
        <v>2453</v>
      </c>
      <c r="AC170" s="95" t="s">
        <v>2513</v>
      </c>
      <c r="AD170" s="95" t="s">
        <v>2574</v>
      </c>
      <c r="AE170" s="95" t="s">
        <v>2636</v>
      </c>
      <c r="AF170" s="95" t="s">
        <v>2698</v>
      </c>
      <c r="AG170" s="96" t="s">
        <v>2759</v>
      </c>
    </row>
    <row r="171" spans="1:33" x14ac:dyDescent="0.25">
      <c r="A171" s="19">
        <v>15</v>
      </c>
      <c r="B171" s="94" t="s">
        <v>293</v>
      </c>
      <c r="C171" s="95" t="s">
        <v>324</v>
      </c>
      <c r="D171" s="95" t="s">
        <v>368</v>
      </c>
      <c r="E171" s="95" t="s">
        <v>398</v>
      </c>
      <c r="F171" s="95" t="s">
        <v>428</v>
      </c>
      <c r="G171" s="95" t="s">
        <v>458</v>
      </c>
      <c r="H171" s="95" t="s">
        <v>488</v>
      </c>
      <c r="I171" s="95" t="s">
        <v>518</v>
      </c>
      <c r="J171" s="95" t="s">
        <v>548</v>
      </c>
      <c r="K171" s="95" t="s">
        <v>578</v>
      </c>
      <c r="L171" s="95" t="s">
        <v>612</v>
      </c>
      <c r="M171" s="95" t="s">
        <v>642</v>
      </c>
      <c r="N171" s="95" t="s">
        <v>671</v>
      </c>
      <c r="O171" s="95" t="s">
        <v>700</v>
      </c>
      <c r="P171" s="95" t="s">
        <v>729</v>
      </c>
      <c r="Q171" s="95" t="s">
        <v>278</v>
      </c>
      <c r="R171" s="95" t="s">
        <v>1905</v>
      </c>
      <c r="S171" s="95" t="s">
        <v>1955</v>
      </c>
      <c r="T171" s="95" t="s">
        <v>2006</v>
      </c>
      <c r="U171" s="95" t="s">
        <v>2058</v>
      </c>
      <c r="V171" s="95" t="s">
        <v>2111</v>
      </c>
      <c r="W171" s="95" t="s">
        <v>2169</v>
      </c>
      <c r="X171" s="95" t="s">
        <v>2224</v>
      </c>
      <c r="Y171" s="95" t="s">
        <v>2280</v>
      </c>
      <c r="Z171" s="95" t="s">
        <v>2337</v>
      </c>
      <c r="AA171" s="95" t="s">
        <v>2395</v>
      </c>
      <c r="AB171" s="95" t="s">
        <v>2454</v>
      </c>
      <c r="AC171" s="95" t="s">
        <v>2514</v>
      </c>
      <c r="AD171" s="95" t="s">
        <v>2575</v>
      </c>
      <c r="AE171" s="95" t="s">
        <v>2637</v>
      </c>
      <c r="AF171" s="95" t="s">
        <v>2699</v>
      </c>
      <c r="AG171" s="96" t="s">
        <v>2760</v>
      </c>
    </row>
    <row r="172" spans="1:33" x14ac:dyDescent="0.25">
      <c r="A172" s="19">
        <v>16</v>
      </c>
      <c r="B172" s="94" t="s">
        <v>294</v>
      </c>
      <c r="C172" s="95" t="s">
        <v>325</v>
      </c>
      <c r="D172" s="95" t="s">
        <v>369</v>
      </c>
      <c r="E172" s="95" t="s">
        <v>399</v>
      </c>
      <c r="F172" s="95" t="s">
        <v>429</v>
      </c>
      <c r="G172" s="95" t="s">
        <v>459</v>
      </c>
      <c r="H172" s="95" t="s">
        <v>489</v>
      </c>
      <c r="I172" s="95" t="s">
        <v>519</v>
      </c>
      <c r="J172" s="95" t="s">
        <v>549</v>
      </c>
      <c r="K172" s="95" t="s">
        <v>579</v>
      </c>
      <c r="L172" s="95" t="s">
        <v>613</v>
      </c>
      <c r="M172" s="95" t="s">
        <v>643</v>
      </c>
      <c r="N172" s="95" t="s">
        <v>672</v>
      </c>
      <c r="O172" s="95" t="s">
        <v>701</v>
      </c>
      <c r="P172" s="95" t="s">
        <v>730</v>
      </c>
      <c r="Q172" s="95" t="s">
        <v>1857</v>
      </c>
      <c r="R172" s="95" t="s">
        <v>1906</v>
      </c>
      <c r="S172" s="95" t="s">
        <v>1956</v>
      </c>
      <c r="T172" s="95" t="s">
        <v>2007</v>
      </c>
      <c r="U172" s="95" t="s">
        <v>2059</v>
      </c>
      <c r="V172" s="95" t="s">
        <v>2112</v>
      </c>
      <c r="W172" s="95" t="s">
        <v>2170</v>
      </c>
      <c r="X172" s="95" t="s">
        <v>2225</v>
      </c>
      <c r="Y172" s="95" t="s">
        <v>2281</v>
      </c>
      <c r="Z172" s="95" t="s">
        <v>2338</v>
      </c>
      <c r="AA172" s="95" t="s">
        <v>2396</v>
      </c>
      <c r="AB172" s="95" t="s">
        <v>2455</v>
      </c>
      <c r="AC172" s="95" t="s">
        <v>2515</v>
      </c>
      <c r="AD172" s="95" t="s">
        <v>2576</v>
      </c>
      <c r="AE172" s="95" t="s">
        <v>2638</v>
      </c>
      <c r="AF172" s="95" t="s">
        <v>2700</v>
      </c>
      <c r="AG172" s="96" t="s">
        <v>2761</v>
      </c>
    </row>
    <row r="173" spans="1:33" x14ac:dyDescent="0.25">
      <c r="A173" s="19">
        <v>17</v>
      </c>
      <c r="B173" s="94" t="s">
        <v>295</v>
      </c>
      <c r="C173" s="95" t="s">
        <v>326</v>
      </c>
      <c r="D173" s="95" t="s">
        <v>370</v>
      </c>
      <c r="E173" s="95" t="s">
        <v>400</v>
      </c>
      <c r="F173" s="95" t="s">
        <v>430</v>
      </c>
      <c r="G173" s="95" t="s">
        <v>460</v>
      </c>
      <c r="H173" s="95" t="s">
        <v>490</v>
      </c>
      <c r="I173" s="95" t="s">
        <v>520</v>
      </c>
      <c r="J173" s="95" t="s">
        <v>550</v>
      </c>
      <c r="K173" s="95" t="s">
        <v>580</v>
      </c>
      <c r="L173" s="95" t="s">
        <v>614</v>
      </c>
      <c r="M173" s="95" t="s">
        <v>644</v>
      </c>
      <c r="N173" s="95" t="s">
        <v>673</v>
      </c>
      <c r="O173" s="95" t="s">
        <v>702</v>
      </c>
      <c r="P173" s="95" t="s">
        <v>1810</v>
      </c>
      <c r="Q173" s="95" t="s">
        <v>1858</v>
      </c>
      <c r="R173" s="95" t="s">
        <v>1907</v>
      </c>
      <c r="S173" s="95" t="s">
        <v>1957</v>
      </c>
      <c r="T173" s="95" t="s">
        <v>2008</v>
      </c>
      <c r="U173" s="95" t="s">
        <v>2060</v>
      </c>
      <c r="V173" s="95" t="s">
        <v>2113</v>
      </c>
      <c r="W173" s="95" t="s">
        <v>2171</v>
      </c>
      <c r="X173" s="95" t="s">
        <v>2226</v>
      </c>
      <c r="Y173" s="95" t="s">
        <v>2282</v>
      </c>
      <c r="Z173" s="95" t="s">
        <v>2339</v>
      </c>
      <c r="AA173" s="95" t="s">
        <v>2397</v>
      </c>
      <c r="AB173" s="95" t="s">
        <v>2456</v>
      </c>
      <c r="AC173" s="95" t="s">
        <v>2516</v>
      </c>
      <c r="AD173" s="95" t="s">
        <v>2577</v>
      </c>
      <c r="AE173" s="95" t="s">
        <v>2639</v>
      </c>
      <c r="AF173" s="95" t="s">
        <v>2701</v>
      </c>
      <c r="AG173" s="96" t="s">
        <v>2762</v>
      </c>
    </row>
    <row r="174" spans="1:33" x14ac:dyDescent="0.25">
      <c r="A174" s="19">
        <v>18</v>
      </c>
      <c r="B174" s="94" t="s">
        <v>296</v>
      </c>
      <c r="C174" s="95" t="s">
        <v>327</v>
      </c>
      <c r="D174" s="95" t="s">
        <v>371</v>
      </c>
      <c r="E174" s="95" t="s">
        <v>401</v>
      </c>
      <c r="F174" s="95" t="s">
        <v>431</v>
      </c>
      <c r="G174" s="95" t="s">
        <v>461</v>
      </c>
      <c r="H174" s="95" t="s">
        <v>491</v>
      </c>
      <c r="I174" s="95" t="s">
        <v>521</v>
      </c>
      <c r="J174" s="95" t="s">
        <v>551</v>
      </c>
      <c r="K174" s="95" t="s">
        <v>581</v>
      </c>
      <c r="L174" s="95" t="s">
        <v>615</v>
      </c>
      <c r="M174" s="95" t="s">
        <v>645</v>
      </c>
      <c r="N174" s="95" t="s">
        <v>674</v>
      </c>
      <c r="O174" s="95" t="s">
        <v>1764</v>
      </c>
      <c r="P174" s="95" t="s">
        <v>1811</v>
      </c>
      <c r="Q174" s="95" t="s">
        <v>1859</v>
      </c>
      <c r="R174" s="95" t="s">
        <v>1908</v>
      </c>
      <c r="S174" s="95" t="s">
        <v>1958</v>
      </c>
      <c r="T174" s="95" t="s">
        <v>2009</v>
      </c>
      <c r="U174" s="95" t="s">
        <v>2061</v>
      </c>
      <c r="V174" s="95" t="s">
        <v>2114</v>
      </c>
      <c r="W174" s="95" t="s">
        <v>2172</v>
      </c>
      <c r="X174" s="95" t="s">
        <v>2227</v>
      </c>
      <c r="Y174" s="95" t="s">
        <v>2283</v>
      </c>
      <c r="Z174" s="95" t="s">
        <v>2340</v>
      </c>
      <c r="AA174" s="95" t="s">
        <v>2398</v>
      </c>
      <c r="AB174" s="95" t="s">
        <v>2457</v>
      </c>
      <c r="AC174" s="95" t="s">
        <v>2517</v>
      </c>
      <c r="AD174" s="95" t="s">
        <v>2578</v>
      </c>
      <c r="AE174" s="95" t="s">
        <v>2640</v>
      </c>
      <c r="AF174" s="95" t="s">
        <v>2702</v>
      </c>
      <c r="AG174" s="96" t="s">
        <v>2763</v>
      </c>
    </row>
    <row r="175" spans="1:33" x14ac:dyDescent="0.25">
      <c r="A175" s="19">
        <v>19</v>
      </c>
      <c r="B175" s="94" t="s">
        <v>297</v>
      </c>
      <c r="C175" s="95" t="s">
        <v>328</v>
      </c>
      <c r="D175" s="95" t="s">
        <v>372</v>
      </c>
      <c r="E175" s="95" t="s">
        <v>402</v>
      </c>
      <c r="F175" s="95" t="s">
        <v>432</v>
      </c>
      <c r="G175" s="95" t="s">
        <v>462</v>
      </c>
      <c r="H175" s="95" t="s">
        <v>492</v>
      </c>
      <c r="I175" s="95" t="s">
        <v>522</v>
      </c>
      <c r="J175" s="95" t="s">
        <v>552</v>
      </c>
      <c r="K175" s="95" t="s">
        <v>582</v>
      </c>
      <c r="L175" s="95" t="s">
        <v>616</v>
      </c>
      <c r="M175" s="95" t="s">
        <v>646</v>
      </c>
      <c r="N175" s="95" t="s">
        <v>1719</v>
      </c>
      <c r="O175" s="95" t="s">
        <v>1765</v>
      </c>
      <c r="P175" s="95" t="s">
        <v>1812</v>
      </c>
      <c r="Q175" s="95" t="s">
        <v>1860</v>
      </c>
      <c r="R175" s="95" t="s">
        <v>1909</v>
      </c>
      <c r="S175" s="95" t="s">
        <v>1959</v>
      </c>
      <c r="T175" s="95" t="s">
        <v>2010</v>
      </c>
      <c r="U175" s="95" t="s">
        <v>2062</v>
      </c>
      <c r="V175" s="95" t="s">
        <v>2115</v>
      </c>
      <c r="W175" s="95" t="s">
        <v>2173</v>
      </c>
      <c r="X175" s="95" t="s">
        <v>2228</v>
      </c>
      <c r="Y175" s="95" t="s">
        <v>2284</v>
      </c>
      <c r="Z175" s="95" t="s">
        <v>2341</v>
      </c>
      <c r="AA175" s="95" t="s">
        <v>2399</v>
      </c>
      <c r="AB175" s="95" t="s">
        <v>2458</v>
      </c>
      <c r="AC175" s="95" t="s">
        <v>2518</v>
      </c>
      <c r="AD175" s="95" t="s">
        <v>2579</v>
      </c>
      <c r="AE175" s="95" t="s">
        <v>2641</v>
      </c>
      <c r="AF175" s="95" t="s">
        <v>2703</v>
      </c>
      <c r="AG175" s="96" t="s">
        <v>2764</v>
      </c>
    </row>
    <row r="176" spans="1:33" x14ac:dyDescent="0.25">
      <c r="A176" s="19">
        <v>20</v>
      </c>
      <c r="B176" s="94" t="s">
        <v>298</v>
      </c>
      <c r="C176" s="95" t="s">
        <v>329</v>
      </c>
      <c r="D176" s="95" t="s">
        <v>373</v>
      </c>
      <c r="E176" s="95" t="s">
        <v>403</v>
      </c>
      <c r="F176" s="95" t="s">
        <v>433</v>
      </c>
      <c r="G176" s="95" t="s">
        <v>463</v>
      </c>
      <c r="H176" s="95" t="s">
        <v>493</v>
      </c>
      <c r="I176" s="95" t="s">
        <v>523</v>
      </c>
      <c r="J176" s="95" t="s">
        <v>553</v>
      </c>
      <c r="K176" s="95" t="s">
        <v>583</v>
      </c>
      <c r="L176" s="95" t="s">
        <v>617</v>
      </c>
      <c r="M176" s="95" t="s">
        <v>1675</v>
      </c>
      <c r="N176" s="95" t="s">
        <v>1720</v>
      </c>
      <c r="O176" s="95" t="s">
        <v>1766</v>
      </c>
      <c r="P176" s="95" t="s">
        <v>1813</v>
      </c>
      <c r="Q176" s="95" t="s">
        <v>1861</v>
      </c>
      <c r="R176" s="95" t="s">
        <v>1910</v>
      </c>
      <c r="S176" s="95" t="s">
        <v>1960</v>
      </c>
      <c r="T176" s="95" t="s">
        <v>2011</v>
      </c>
      <c r="U176" s="95" t="s">
        <v>2063</v>
      </c>
      <c r="V176" s="95" t="s">
        <v>2116</v>
      </c>
      <c r="W176" s="95" t="s">
        <v>2174</v>
      </c>
      <c r="X176" s="95" t="s">
        <v>2229</v>
      </c>
      <c r="Y176" s="95" t="s">
        <v>2285</v>
      </c>
      <c r="Z176" s="95" t="s">
        <v>2342</v>
      </c>
      <c r="AA176" s="95" t="s">
        <v>2400</v>
      </c>
      <c r="AB176" s="95" t="s">
        <v>2459</v>
      </c>
      <c r="AC176" s="95" t="s">
        <v>2519</v>
      </c>
      <c r="AD176" s="95" t="s">
        <v>2580</v>
      </c>
      <c r="AE176" s="95" t="s">
        <v>2642</v>
      </c>
      <c r="AF176" s="95" t="s">
        <v>2704</v>
      </c>
      <c r="AG176" s="96" t="s">
        <v>2765</v>
      </c>
    </row>
    <row r="177" spans="1:33" x14ac:dyDescent="0.25">
      <c r="A177" s="19">
        <v>21</v>
      </c>
      <c r="B177" s="94" t="s">
        <v>299</v>
      </c>
      <c r="C177" s="95" t="s">
        <v>330</v>
      </c>
      <c r="D177" s="95" t="s">
        <v>374</v>
      </c>
      <c r="E177" s="95" t="s">
        <v>404</v>
      </c>
      <c r="F177" s="95" t="s">
        <v>434</v>
      </c>
      <c r="G177" s="95" t="s">
        <v>464</v>
      </c>
      <c r="H177" s="95" t="s">
        <v>494</v>
      </c>
      <c r="I177" s="95" t="s">
        <v>524</v>
      </c>
      <c r="J177" s="95" t="s">
        <v>554</v>
      </c>
      <c r="K177" s="95" t="s">
        <v>584</v>
      </c>
      <c r="L177" s="95" t="s">
        <v>1632</v>
      </c>
      <c r="M177" s="95" t="s">
        <v>1676</v>
      </c>
      <c r="N177" s="95" t="s">
        <v>1721</v>
      </c>
      <c r="O177" s="95" t="s">
        <v>1767</v>
      </c>
      <c r="P177" s="95" t="s">
        <v>1814</v>
      </c>
      <c r="Q177" s="95" t="s">
        <v>1862</v>
      </c>
      <c r="R177" s="95" t="s">
        <v>1911</v>
      </c>
      <c r="S177" s="95" t="s">
        <v>1961</v>
      </c>
      <c r="T177" s="95" t="s">
        <v>2012</v>
      </c>
      <c r="U177" s="95" t="s">
        <v>2064</v>
      </c>
      <c r="V177" s="95" t="s">
        <v>2117</v>
      </c>
      <c r="W177" s="95" t="s">
        <v>2175</v>
      </c>
      <c r="X177" s="95" t="s">
        <v>2230</v>
      </c>
      <c r="Y177" s="95" t="s">
        <v>2286</v>
      </c>
      <c r="Z177" s="95" t="s">
        <v>2343</v>
      </c>
      <c r="AA177" s="95" t="s">
        <v>2401</v>
      </c>
      <c r="AB177" s="95" t="s">
        <v>2460</v>
      </c>
      <c r="AC177" s="95" t="s">
        <v>2520</v>
      </c>
      <c r="AD177" s="95" t="s">
        <v>2581</v>
      </c>
      <c r="AE177" s="95" t="s">
        <v>2643</v>
      </c>
      <c r="AF177" s="95" t="s">
        <v>2705</v>
      </c>
      <c r="AG177" s="96" t="s">
        <v>2766</v>
      </c>
    </row>
    <row r="178" spans="1:33" x14ac:dyDescent="0.25">
      <c r="A178" s="19">
        <v>22</v>
      </c>
      <c r="B178" s="94" t="s">
        <v>300</v>
      </c>
      <c r="C178" s="95" t="s">
        <v>331</v>
      </c>
      <c r="D178" s="95" t="s">
        <v>375</v>
      </c>
      <c r="E178" s="95" t="s">
        <v>405</v>
      </c>
      <c r="F178" s="95" t="s">
        <v>435</v>
      </c>
      <c r="G178" s="95" t="s">
        <v>465</v>
      </c>
      <c r="H178" s="95" t="s">
        <v>495</v>
      </c>
      <c r="I178" s="95" t="s">
        <v>525</v>
      </c>
      <c r="J178" s="95" t="s">
        <v>555</v>
      </c>
      <c r="K178" s="95" t="s">
        <v>1590</v>
      </c>
      <c r="L178" s="95" t="s">
        <v>1633</v>
      </c>
      <c r="M178" s="95" t="s">
        <v>1677</v>
      </c>
      <c r="N178" s="95" t="s">
        <v>1722</v>
      </c>
      <c r="O178" s="95" t="s">
        <v>1768</v>
      </c>
      <c r="P178" s="95" t="s">
        <v>1815</v>
      </c>
      <c r="Q178" s="95" t="s">
        <v>1863</v>
      </c>
      <c r="R178" s="95" t="s">
        <v>1912</v>
      </c>
      <c r="S178" s="95" t="s">
        <v>1962</v>
      </c>
      <c r="T178" s="95" t="s">
        <v>2013</v>
      </c>
      <c r="U178" s="95" t="s">
        <v>2065</v>
      </c>
      <c r="V178" s="95" t="s">
        <v>2118</v>
      </c>
      <c r="W178" s="95" t="s">
        <v>2176</v>
      </c>
      <c r="X178" s="95" t="s">
        <v>2231</v>
      </c>
      <c r="Y178" s="95" t="s">
        <v>2287</v>
      </c>
      <c r="Z178" s="95" t="s">
        <v>2344</v>
      </c>
      <c r="AA178" s="95" t="s">
        <v>2402</v>
      </c>
      <c r="AB178" s="95" t="s">
        <v>2461</v>
      </c>
      <c r="AC178" s="95" t="s">
        <v>2521</v>
      </c>
      <c r="AD178" s="95" t="s">
        <v>2582</v>
      </c>
      <c r="AE178" s="95" t="s">
        <v>2644</v>
      </c>
      <c r="AF178" s="95" t="s">
        <v>2706</v>
      </c>
      <c r="AG178" s="96" t="s">
        <v>2767</v>
      </c>
    </row>
    <row r="179" spans="1:33" x14ac:dyDescent="0.25">
      <c r="A179" s="19">
        <v>23</v>
      </c>
      <c r="B179" s="94" t="s">
        <v>301</v>
      </c>
      <c r="C179" s="95" t="s">
        <v>332</v>
      </c>
      <c r="D179" s="95" t="s">
        <v>376</v>
      </c>
      <c r="E179" s="95" t="s">
        <v>406</v>
      </c>
      <c r="F179" s="95" t="s">
        <v>436</v>
      </c>
      <c r="G179" s="95" t="s">
        <v>466</v>
      </c>
      <c r="H179" s="95" t="s">
        <v>496</v>
      </c>
      <c r="I179" s="95" t="s">
        <v>526</v>
      </c>
      <c r="J179" s="95" t="s">
        <v>1549</v>
      </c>
      <c r="K179" s="95" t="s">
        <v>1591</v>
      </c>
      <c r="L179" s="95" t="s">
        <v>1634</v>
      </c>
      <c r="M179" s="95" t="s">
        <v>1678</v>
      </c>
      <c r="N179" s="95" t="s">
        <v>1723</v>
      </c>
      <c r="O179" s="95" t="s">
        <v>1769</v>
      </c>
      <c r="P179" s="95" t="s">
        <v>1816</v>
      </c>
      <c r="Q179" s="95" t="s">
        <v>1864</v>
      </c>
      <c r="R179" s="95" t="s">
        <v>1913</v>
      </c>
      <c r="S179" s="95" t="s">
        <v>1963</v>
      </c>
      <c r="T179" s="95" t="s">
        <v>2014</v>
      </c>
      <c r="U179" s="95" t="s">
        <v>2066</v>
      </c>
      <c r="V179" s="95" t="s">
        <v>2119</v>
      </c>
      <c r="W179" s="95" t="s">
        <v>2177</v>
      </c>
      <c r="X179" s="95" t="s">
        <v>2232</v>
      </c>
      <c r="Y179" s="95" t="s">
        <v>2288</v>
      </c>
      <c r="Z179" s="95" t="s">
        <v>2345</v>
      </c>
      <c r="AA179" s="95" t="s">
        <v>2403</v>
      </c>
      <c r="AB179" s="95" t="s">
        <v>2462</v>
      </c>
      <c r="AC179" s="95" t="s">
        <v>2522</v>
      </c>
      <c r="AD179" s="95" t="s">
        <v>2583</v>
      </c>
      <c r="AE179" s="95" t="s">
        <v>2645</v>
      </c>
      <c r="AF179" s="95" t="s">
        <v>2150</v>
      </c>
      <c r="AG179" s="96" t="s">
        <v>2768</v>
      </c>
    </row>
    <row r="180" spans="1:33" x14ac:dyDescent="0.25">
      <c r="A180" s="19">
        <v>24</v>
      </c>
      <c r="B180" s="94" t="s">
        <v>302</v>
      </c>
      <c r="C180" s="95" t="s">
        <v>333</v>
      </c>
      <c r="D180" s="95" t="s">
        <v>377</v>
      </c>
      <c r="E180" s="95" t="s">
        <v>407</v>
      </c>
      <c r="F180" s="95" t="s">
        <v>437</v>
      </c>
      <c r="G180" s="95" t="s">
        <v>467</v>
      </c>
      <c r="H180" s="95" t="s">
        <v>497</v>
      </c>
      <c r="I180" s="95" t="s">
        <v>1509</v>
      </c>
      <c r="J180" s="95" t="s">
        <v>1550</v>
      </c>
      <c r="K180" s="95" t="s">
        <v>1592</v>
      </c>
      <c r="L180" s="95" t="s">
        <v>1635</v>
      </c>
      <c r="M180" s="95" t="s">
        <v>1679</v>
      </c>
      <c r="N180" s="95" t="s">
        <v>1724</v>
      </c>
      <c r="O180" s="95" t="s">
        <v>1770</v>
      </c>
      <c r="P180" s="95" t="s">
        <v>1817</v>
      </c>
      <c r="Q180" s="95" t="s">
        <v>1865</v>
      </c>
      <c r="R180" s="95" t="s">
        <v>1914</v>
      </c>
      <c r="S180" s="95" t="s">
        <v>1964</v>
      </c>
      <c r="T180" s="95" t="s">
        <v>2015</v>
      </c>
      <c r="U180" s="95" t="s">
        <v>2067</v>
      </c>
      <c r="V180" s="95" t="s">
        <v>2120</v>
      </c>
      <c r="W180" s="95" t="s">
        <v>2178</v>
      </c>
      <c r="X180" s="95" t="s">
        <v>2233</v>
      </c>
      <c r="Y180" s="95" t="s">
        <v>2289</v>
      </c>
      <c r="Z180" s="95" t="s">
        <v>2346</v>
      </c>
      <c r="AA180" s="95" t="s">
        <v>2404</v>
      </c>
      <c r="AB180" s="95" t="s">
        <v>2463</v>
      </c>
      <c r="AC180" s="95" t="s">
        <v>2523</v>
      </c>
      <c r="AD180" s="95" t="s">
        <v>2584</v>
      </c>
      <c r="AE180" s="95" t="s">
        <v>2646</v>
      </c>
      <c r="AF180" s="95" t="s">
        <v>2707</v>
      </c>
      <c r="AG180" s="96" t="s">
        <v>2769</v>
      </c>
    </row>
    <row r="181" spans="1:33" x14ac:dyDescent="0.25">
      <c r="A181" s="19">
        <v>25</v>
      </c>
      <c r="B181" s="94" t="s">
        <v>303</v>
      </c>
      <c r="C181" s="95" t="s">
        <v>334</v>
      </c>
      <c r="D181" s="95" t="s">
        <v>378</v>
      </c>
      <c r="E181" s="95" t="s">
        <v>408</v>
      </c>
      <c r="F181" s="95" t="s">
        <v>438</v>
      </c>
      <c r="G181" s="95" t="s">
        <v>468</v>
      </c>
      <c r="H181" s="95" t="s">
        <v>1474</v>
      </c>
      <c r="I181" s="95" t="s">
        <v>1510</v>
      </c>
      <c r="J181" s="95" t="s">
        <v>1551</v>
      </c>
      <c r="K181" s="95" t="s">
        <v>1593</v>
      </c>
      <c r="L181" s="95" t="s">
        <v>1636</v>
      </c>
      <c r="M181" s="95" t="s">
        <v>1680</v>
      </c>
      <c r="N181" s="95" t="s">
        <v>1725</v>
      </c>
      <c r="O181" s="95" t="s">
        <v>1771</v>
      </c>
      <c r="P181" s="95" t="s">
        <v>1818</v>
      </c>
      <c r="Q181" s="95" t="s">
        <v>1866</v>
      </c>
      <c r="R181" s="95" t="s">
        <v>1915</v>
      </c>
      <c r="S181" s="95" t="s">
        <v>1965</v>
      </c>
      <c r="T181" s="95" t="s">
        <v>2016</v>
      </c>
      <c r="U181" s="95" t="s">
        <v>2068</v>
      </c>
      <c r="V181" s="95" t="s">
        <v>2121</v>
      </c>
      <c r="W181" s="95" t="s">
        <v>2179</v>
      </c>
      <c r="X181" s="95" t="s">
        <v>2234</v>
      </c>
      <c r="Y181" s="95" t="s">
        <v>2290</v>
      </c>
      <c r="Z181" s="95" t="s">
        <v>2347</v>
      </c>
      <c r="AA181" s="95" t="s">
        <v>2405</v>
      </c>
      <c r="AB181" s="95" t="s">
        <v>2464</v>
      </c>
      <c r="AC181" s="95" t="s">
        <v>2524</v>
      </c>
      <c r="AD181" s="95" t="s">
        <v>2585</v>
      </c>
      <c r="AE181" s="95" t="s">
        <v>2647</v>
      </c>
      <c r="AF181" s="95" t="s">
        <v>2708</v>
      </c>
      <c r="AG181" s="96" t="s">
        <v>2770</v>
      </c>
    </row>
    <row r="182" spans="1:33" x14ac:dyDescent="0.25">
      <c r="A182" s="19">
        <v>26</v>
      </c>
      <c r="B182" s="94" t="s">
        <v>304</v>
      </c>
      <c r="C182" s="95" t="s">
        <v>335</v>
      </c>
      <c r="D182" s="95" t="s">
        <v>379</v>
      </c>
      <c r="E182" s="95" t="s">
        <v>409</v>
      </c>
      <c r="F182" s="95" t="s">
        <v>439</v>
      </c>
      <c r="G182" s="95" t="s">
        <v>1446</v>
      </c>
      <c r="H182" s="95" t="s">
        <v>1475</v>
      </c>
      <c r="I182" s="95" t="s">
        <v>1511</v>
      </c>
      <c r="J182" s="95" t="s">
        <v>1552</v>
      </c>
      <c r="K182" s="95" t="s">
        <v>1594</v>
      </c>
      <c r="L182" s="95" t="s">
        <v>1637</v>
      </c>
      <c r="M182" s="95" t="s">
        <v>1681</v>
      </c>
      <c r="N182" s="95" t="s">
        <v>1726</v>
      </c>
      <c r="O182" s="95" t="s">
        <v>1772</v>
      </c>
      <c r="P182" s="95" t="s">
        <v>1819</v>
      </c>
      <c r="Q182" s="95" t="s">
        <v>1867</v>
      </c>
      <c r="R182" s="95" t="s">
        <v>1916</v>
      </c>
      <c r="S182" s="95" t="s">
        <v>1966</v>
      </c>
      <c r="T182" s="95" t="s">
        <v>2017</v>
      </c>
      <c r="U182" s="95" t="s">
        <v>2069</v>
      </c>
      <c r="V182" s="95" t="s">
        <v>2122</v>
      </c>
      <c r="W182" s="95" t="s">
        <v>2180</v>
      </c>
      <c r="X182" s="95" t="s">
        <v>2235</v>
      </c>
      <c r="Y182" s="95" t="s">
        <v>2291</v>
      </c>
      <c r="Z182" s="95" t="s">
        <v>2348</v>
      </c>
      <c r="AA182" s="95" t="s">
        <v>2406</v>
      </c>
      <c r="AB182" s="95" t="s">
        <v>2465</v>
      </c>
      <c r="AC182" s="95" t="s">
        <v>2525</v>
      </c>
      <c r="AD182" s="95" t="s">
        <v>2586</v>
      </c>
      <c r="AE182" s="95" t="s">
        <v>2648</v>
      </c>
      <c r="AF182" s="95" t="s">
        <v>2709</v>
      </c>
      <c r="AG182" s="96" t="s">
        <v>2771</v>
      </c>
    </row>
    <row r="183" spans="1:33" x14ac:dyDescent="0.25">
      <c r="A183" s="19">
        <v>27</v>
      </c>
      <c r="B183" s="94" t="s">
        <v>305</v>
      </c>
      <c r="C183" s="95" t="s">
        <v>336</v>
      </c>
      <c r="D183" s="95" t="s">
        <v>380</v>
      </c>
      <c r="E183" s="95" t="s">
        <v>410</v>
      </c>
      <c r="F183" s="95" t="s">
        <v>1419</v>
      </c>
      <c r="G183" s="95" t="s">
        <v>1447</v>
      </c>
      <c r="H183" s="95" t="s">
        <v>1476</v>
      </c>
      <c r="I183" s="95" t="s">
        <v>1512</v>
      </c>
      <c r="J183" s="95" t="s">
        <v>1553</v>
      </c>
      <c r="K183" s="95" t="s">
        <v>1595</v>
      </c>
      <c r="L183" s="95" t="s">
        <v>1638</v>
      </c>
      <c r="M183" s="95" t="s">
        <v>1682</v>
      </c>
      <c r="N183" s="95" t="s">
        <v>1727</v>
      </c>
      <c r="O183" s="95" t="s">
        <v>1773</v>
      </c>
      <c r="P183" s="95" t="s">
        <v>1820</v>
      </c>
      <c r="Q183" s="95" t="s">
        <v>1868</v>
      </c>
      <c r="R183" s="95" t="s">
        <v>1917</v>
      </c>
      <c r="S183" s="95" t="s">
        <v>1967</v>
      </c>
      <c r="T183" s="95" t="s">
        <v>2018</v>
      </c>
      <c r="U183" s="95" t="s">
        <v>2070</v>
      </c>
      <c r="V183" s="95" t="s">
        <v>2123</v>
      </c>
      <c r="W183" s="95" t="s">
        <v>2181</v>
      </c>
      <c r="X183" s="95" t="s">
        <v>2236</v>
      </c>
      <c r="Y183" s="95" t="s">
        <v>2292</v>
      </c>
      <c r="Z183" s="95" t="s">
        <v>2349</v>
      </c>
      <c r="AA183" s="95" t="s">
        <v>2407</v>
      </c>
      <c r="AB183" s="95" t="s">
        <v>2466</v>
      </c>
      <c r="AC183" s="95" t="s">
        <v>2526</v>
      </c>
      <c r="AD183" s="95" t="s">
        <v>2587</v>
      </c>
      <c r="AE183" s="95" t="s">
        <v>2649</v>
      </c>
      <c r="AF183" s="95" t="s">
        <v>2710</v>
      </c>
      <c r="AG183" s="96" t="s">
        <v>2772</v>
      </c>
    </row>
    <row r="184" spans="1:33" x14ac:dyDescent="0.25">
      <c r="A184" s="19">
        <v>28</v>
      </c>
      <c r="B184" s="94" t="s">
        <v>306</v>
      </c>
      <c r="C184" s="95" t="s">
        <v>337</v>
      </c>
      <c r="D184" s="95" t="s">
        <v>381</v>
      </c>
      <c r="E184" s="95" t="s">
        <v>1393</v>
      </c>
      <c r="F184" s="95" t="s">
        <v>1420</v>
      </c>
      <c r="G184" s="95" t="s">
        <v>1448</v>
      </c>
      <c r="H184" s="95" t="s">
        <v>1477</v>
      </c>
      <c r="I184" s="95" t="s">
        <v>1513</v>
      </c>
      <c r="J184" s="95" t="s">
        <v>1554</v>
      </c>
      <c r="K184" s="95" t="s">
        <v>1596</v>
      </c>
      <c r="L184" s="95" t="s">
        <v>1639</v>
      </c>
      <c r="M184" s="95" t="s">
        <v>1683</v>
      </c>
      <c r="N184" s="95" t="s">
        <v>1728</v>
      </c>
      <c r="O184" s="95" t="s">
        <v>1774</v>
      </c>
      <c r="P184" s="95" t="s">
        <v>1821</v>
      </c>
      <c r="Q184" s="95" t="s">
        <v>1869</v>
      </c>
      <c r="R184" s="95" t="s">
        <v>1918</v>
      </c>
      <c r="S184" s="95" t="s">
        <v>1968</v>
      </c>
      <c r="T184" s="95" t="s">
        <v>2019</v>
      </c>
      <c r="U184" s="95" t="s">
        <v>2071</v>
      </c>
      <c r="V184" s="95" t="s">
        <v>2124</v>
      </c>
      <c r="W184" s="95" t="s">
        <v>2182</v>
      </c>
      <c r="X184" s="95" t="s">
        <v>2237</v>
      </c>
      <c r="Y184" s="95" t="s">
        <v>2293</v>
      </c>
      <c r="Z184" s="95" t="s">
        <v>2350</v>
      </c>
      <c r="AA184" s="95" t="s">
        <v>2408</v>
      </c>
      <c r="AB184" s="95" t="s">
        <v>2467</v>
      </c>
      <c r="AC184" s="95" t="s">
        <v>2527</v>
      </c>
      <c r="AD184" s="95" t="s">
        <v>2588</v>
      </c>
      <c r="AE184" s="95" t="s">
        <v>2650</v>
      </c>
      <c r="AF184" s="95" t="s">
        <v>2711</v>
      </c>
      <c r="AG184" s="96" t="s">
        <v>2773</v>
      </c>
    </row>
    <row r="185" spans="1:33" x14ac:dyDescent="0.25">
      <c r="A185" s="19">
        <v>29</v>
      </c>
      <c r="B185" s="94" t="s">
        <v>307</v>
      </c>
      <c r="C185" s="95" t="s">
        <v>338</v>
      </c>
      <c r="D185" s="95" t="s">
        <v>1324</v>
      </c>
      <c r="E185" s="95" t="s">
        <v>1394</v>
      </c>
      <c r="F185" s="95" t="s">
        <v>1421</v>
      </c>
      <c r="G185" s="95" t="s">
        <v>1449</v>
      </c>
      <c r="H185" s="95" t="s">
        <v>1478</v>
      </c>
      <c r="I185" s="95" t="s">
        <v>1514</v>
      </c>
      <c r="J185" s="95" t="s">
        <v>1555</v>
      </c>
      <c r="K185" s="95" t="s">
        <v>1597</v>
      </c>
      <c r="L185" s="95" t="s">
        <v>1640</v>
      </c>
      <c r="M185" s="95" t="s">
        <v>1684</v>
      </c>
      <c r="N185" s="95" t="s">
        <v>1729</v>
      </c>
      <c r="O185" s="95" t="s">
        <v>1775</v>
      </c>
      <c r="P185" s="95" t="s">
        <v>1822</v>
      </c>
      <c r="Q185" s="95" t="s">
        <v>1870</v>
      </c>
      <c r="R185" s="95" t="s">
        <v>1919</v>
      </c>
      <c r="S185" s="95" t="s">
        <v>1969</v>
      </c>
      <c r="T185" s="95" t="s">
        <v>2020</v>
      </c>
      <c r="U185" s="95" t="s">
        <v>2072</v>
      </c>
      <c r="V185" s="95" t="s">
        <v>2125</v>
      </c>
      <c r="W185" s="95" t="s">
        <v>2183</v>
      </c>
      <c r="X185" s="95" t="s">
        <v>2238</v>
      </c>
      <c r="Y185" s="95" t="s">
        <v>2294</v>
      </c>
      <c r="Z185" s="95" t="s">
        <v>2351</v>
      </c>
      <c r="AA185" s="95" t="s">
        <v>2409</v>
      </c>
      <c r="AB185" s="95" t="s">
        <v>2468</v>
      </c>
      <c r="AC185" s="95" t="s">
        <v>2528</v>
      </c>
      <c r="AD185" s="95" t="s">
        <v>2589</v>
      </c>
      <c r="AE185" s="95" t="s">
        <v>2651</v>
      </c>
      <c r="AF185" s="95" t="s">
        <v>2712</v>
      </c>
      <c r="AG185" s="96" t="s">
        <v>2774</v>
      </c>
    </row>
    <row r="186" spans="1:33" x14ac:dyDescent="0.25">
      <c r="A186" s="19">
        <v>30</v>
      </c>
      <c r="B186" s="94" t="s">
        <v>308</v>
      </c>
      <c r="C186" s="95" t="s">
        <v>1290</v>
      </c>
      <c r="D186" s="95" t="s">
        <v>1359</v>
      </c>
      <c r="E186" s="95" t="s">
        <v>1325</v>
      </c>
      <c r="F186" s="95" t="s">
        <v>1422</v>
      </c>
      <c r="G186" s="95" t="s">
        <v>1450</v>
      </c>
      <c r="H186" s="95" t="s">
        <v>1479</v>
      </c>
      <c r="I186" s="95" t="s">
        <v>1515</v>
      </c>
      <c r="J186" s="95" t="s">
        <v>1556</v>
      </c>
      <c r="K186" s="95" t="s">
        <v>1598</v>
      </c>
      <c r="L186" s="95" t="s">
        <v>1641</v>
      </c>
      <c r="M186" s="95" t="s">
        <v>1685</v>
      </c>
      <c r="N186" s="95" t="s">
        <v>1730</v>
      </c>
      <c r="O186" s="95" t="s">
        <v>1776</v>
      </c>
      <c r="P186" s="95" t="s">
        <v>1823</v>
      </c>
      <c r="Q186" s="95" t="s">
        <v>1871</v>
      </c>
      <c r="R186" s="95" t="s">
        <v>1920</v>
      </c>
      <c r="S186" s="95" t="s">
        <v>1970</v>
      </c>
      <c r="T186" s="95" t="s">
        <v>2021</v>
      </c>
      <c r="U186" s="95" t="s">
        <v>2073</v>
      </c>
      <c r="V186" s="95" t="s">
        <v>2126</v>
      </c>
      <c r="W186" s="95" t="s">
        <v>2184</v>
      </c>
      <c r="X186" s="95" t="s">
        <v>2239</v>
      </c>
      <c r="Y186" s="95" t="s">
        <v>2295</v>
      </c>
      <c r="Z186" s="95" t="s">
        <v>2352</v>
      </c>
      <c r="AA186" s="95" t="s">
        <v>2410</v>
      </c>
      <c r="AB186" s="95" t="s">
        <v>2469</v>
      </c>
      <c r="AC186" s="95" t="s">
        <v>2529</v>
      </c>
      <c r="AD186" s="95" t="s">
        <v>2590</v>
      </c>
      <c r="AE186" s="95" t="s">
        <v>2652</v>
      </c>
      <c r="AF186" s="95" t="s">
        <v>2713</v>
      </c>
      <c r="AG186" s="96" t="s">
        <v>2775</v>
      </c>
    </row>
    <row r="187" spans="1:33" x14ac:dyDescent="0.25">
      <c r="A187" s="19">
        <v>31</v>
      </c>
      <c r="B187" s="94" t="s">
        <v>1257</v>
      </c>
      <c r="C187" s="95" t="s">
        <v>1291</v>
      </c>
      <c r="D187" s="95" t="s">
        <v>1360</v>
      </c>
      <c r="E187" s="95" t="s">
        <v>1326</v>
      </c>
      <c r="F187" s="95" t="s">
        <v>1423</v>
      </c>
      <c r="G187" s="95" t="s">
        <v>1451</v>
      </c>
      <c r="H187" s="95" t="s">
        <v>1480</v>
      </c>
      <c r="I187" s="95" t="s">
        <v>1516</v>
      </c>
      <c r="J187" s="95" t="s">
        <v>1557</v>
      </c>
      <c r="K187" s="95" t="s">
        <v>1599</v>
      </c>
      <c r="L187" s="95" t="s">
        <v>1642</v>
      </c>
      <c r="M187" s="95" t="s">
        <v>1686</v>
      </c>
      <c r="N187" s="95" t="s">
        <v>1731</v>
      </c>
      <c r="O187" s="95" t="s">
        <v>1777</v>
      </c>
      <c r="P187" s="95" t="s">
        <v>1824</v>
      </c>
      <c r="Q187" s="95" t="s">
        <v>1872</v>
      </c>
      <c r="R187" s="95" t="s">
        <v>1921</v>
      </c>
      <c r="S187" s="95" t="s">
        <v>1971</v>
      </c>
      <c r="T187" s="95" t="s">
        <v>2022</v>
      </c>
      <c r="U187" s="95" t="s">
        <v>2074</v>
      </c>
      <c r="V187" s="95" t="s">
        <v>2127</v>
      </c>
      <c r="W187" s="95" t="s">
        <v>2185</v>
      </c>
      <c r="X187" s="95" t="s">
        <v>2240</v>
      </c>
      <c r="Y187" s="95" t="s">
        <v>2296</v>
      </c>
      <c r="Z187" s="95" t="s">
        <v>2353</v>
      </c>
      <c r="AA187" s="95" t="s">
        <v>2411</v>
      </c>
      <c r="AB187" s="95" t="s">
        <v>2470</v>
      </c>
      <c r="AC187" s="95" t="s">
        <v>2530</v>
      </c>
      <c r="AD187" s="95" t="s">
        <v>2591</v>
      </c>
      <c r="AE187" s="95" t="s">
        <v>2653</v>
      </c>
      <c r="AF187" s="95" t="s">
        <v>2714</v>
      </c>
      <c r="AG187" s="96" t="s">
        <v>2776</v>
      </c>
    </row>
    <row r="188" spans="1:33" x14ac:dyDescent="0.25">
      <c r="A188" s="19">
        <v>32</v>
      </c>
      <c r="B188" s="94" t="s">
        <v>1258</v>
      </c>
      <c r="C188" s="95" t="s">
        <v>1292</v>
      </c>
      <c r="D188" s="95" t="s">
        <v>1361</v>
      </c>
      <c r="E188" s="95" t="s">
        <v>1327</v>
      </c>
      <c r="F188" s="95" t="s">
        <v>1424</v>
      </c>
      <c r="G188" s="95" t="s">
        <v>1452</v>
      </c>
      <c r="H188" s="95" t="s">
        <v>1481</v>
      </c>
      <c r="I188" s="95" t="s">
        <v>1517</v>
      </c>
      <c r="J188" s="95" t="s">
        <v>1558</v>
      </c>
      <c r="K188" s="95" t="s">
        <v>1600</v>
      </c>
      <c r="L188" s="95" t="s">
        <v>1643</v>
      </c>
      <c r="M188" s="95" t="s">
        <v>1687</v>
      </c>
      <c r="N188" s="95" t="s">
        <v>1732</v>
      </c>
      <c r="O188" s="95" t="s">
        <v>1778</v>
      </c>
      <c r="P188" s="95" t="s">
        <v>1825</v>
      </c>
      <c r="Q188" s="95" t="s">
        <v>1873</v>
      </c>
      <c r="R188" s="95" t="s">
        <v>1922</v>
      </c>
      <c r="S188" s="95" t="s">
        <v>1972</v>
      </c>
      <c r="T188" s="95" t="s">
        <v>2023</v>
      </c>
      <c r="U188" s="95" t="s">
        <v>2075</v>
      </c>
      <c r="V188" s="95" t="s">
        <v>2128</v>
      </c>
      <c r="W188" s="95" t="s">
        <v>2186</v>
      </c>
      <c r="X188" s="95" t="s">
        <v>2241</v>
      </c>
      <c r="Y188" s="95" t="s">
        <v>2297</v>
      </c>
      <c r="Z188" s="95" t="s">
        <v>2354</v>
      </c>
      <c r="AA188" s="95" t="s">
        <v>2412</v>
      </c>
      <c r="AB188" s="95" t="s">
        <v>2471</v>
      </c>
      <c r="AC188" s="95" t="s">
        <v>2531</v>
      </c>
      <c r="AD188" s="95" t="s">
        <v>2592</v>
      </c>
      <c r="AE188" s="95" t="s">
        <v>2654</v>
      </c>
      <c r="AF188" s="95" t="s">
        <v>2715</v>
      </c>
      <c r="AG188" s="96" t="s">
        <v>2777</v>
      </c>
    </row>
    <row r="189" spans="1:33" x14ac:dyDescent="0.25">
      <c r="A189" s="19">
        <v>33</v>
      </c>
      <c r="B189" s="94" t="s">
        <v>1259</v>
      </c>
      <c r="C189" s="95" t="s">
        <v>1293</v>
      </c>
      <c r="D189" s="95" t="s">
        <v>1362</v>
      </c>
      <c r="E189" s="95" t="s">
        <v>1328</v>
      </c>
      <c r="F189" s="95" t="s">
        <v>1425</v>
      </c>
      <c r="G189" s="95" t="s">
        <v>1453</v>
      </c>
      <c r="H189" s="95" t="s">
        <v>1482</v>
      </c>
      <c r="I189" s="95" t="s">
        <v>1518</v>
      </c>
      <c r="J189" s="95" t="s">
        <v>1559</v>
      </c>
      <c r="K189" s="95" t="s">
        <v>1601</v>
      </c>
      <c r="L189" s="95" t="s">
        <v>1644</v>
      </c>
      <c r="M189" s="95" t="s">
        <v>1688</v>
      </c>
      <c r="N189" s="95" t="s">
        <v>1733</v>
      </c>
      <c r="O189" s="95" t="s">
        <v>1779</v>
      </c>
      <c r="P189" s="95" t="s">
        <v>1826</v>
      </c>
      <c r="Q189" s="95" t="s">
        <v>1874</v>
      </c>
      <c r="R189" s="95" t="s">
        <v>1923</v>
      </c>
      <c r="S189" s="95" t="s">
        <v>1973</v>
      </c>
      <c r="T189" s="95" t="s">
        <v>2024</v>
      </c>
      <c r="U189" s="95" t="s">
        <v>2076</v>
      </c>
      <c r="V189" s="95" t="s">
        <v>2129</v>
      </c>
      <c r="W189" s="95" t="s">
        <v>2187</v>
      </c>
      <c r="X189" s="95" t="s">
        <v>2242</v>
      </c>
      <c r="Y189" s="95" t="s">
        <v>2298</v>
      </c>
      <c r="Z189" s="95" t="s">
        <v>2355</v>
      </c>
      <c r="AA189" s="95" t="s">
        <v>2413</v>
      </c>
      <c r="AB189" s="95" t="s">
        <v>2472</v>
      </c>
      <c r="AC189" s="95" t="s">
        <v>2532</v>
      </c>
      <c r="AD189" s="95" t="s">
        <v>2593</v>
      </c>
      <c r="AE189" s="95" t="s">
        <v>2655</v>
      </c>
      <c r="AF189" s="95" t="s">
        <v>2151</v>
      </c>
      <c r="AG189" s="96" t="s">
        <v>2778</v>
      </c>
    </row>
    <row r="190" spans="1:33" x14ac:dyDescent="0.25">
      <c r="A190" s="19">
        <v>34</v>
      </c>
      <c r="B190" s="94" t="s">
        <v>1260</v>
      </c>
      <c r="C190" s="95" t="s">
        <v>1294</v>
      </c>
      <c r="D190" s="95" t="s">
        <v>1363</v>
      </c>
      <c r="E190" s="95" t="s">
        <v>1329</v>
      </c>
      <c r="F190" s="95" t="s">
        <v>1426</v>
      </c>
      <c r="G190" s="95" t="s">
        <v>1454</v>
      </c>
      <c r="H190" s="95" t="s">
        <v>1483</v>
      </c>
      <c r="I190" s="95" t="s">
        <v>1519</v>
      </c>
      <c r="J190" s="95" t="s">
        <v>1560</v>
      </c>
      <c r="K190" s="95" t="s">
        <v>1602</v>
      </c>
      <c r="L190" s="95" t="s">
        <v>1645</v>
      </c>
      <c r="M190" s="95" t="s">
        <v>1689</v>
      </c>
      <c r="N190" s="95" t="s">
        <v>1734</v>
      </c>
      <c r="O190" s="95" t="s">
        <v>1780</v>
      </c>
      <c r="P190" s="95" t="s">
        <v>1827</v>
      </c>
      <c r="Q190" s="95" t="s">
        <v>1875</v>
      </c>
      <c r="R190" s="95" t="s">
        <v>1924</v>
      </c>
      <c r="S190" s="95" t="s">
        <v>1974</v>
      </c>
      <c r="T190" s="95" t="s">
        <v>2025</v>
      </c>
      <c r="U190" s="95" t="s">
        <v>2077</v>
      </c>
      <c r="V190" s="95" t="s">
        <v>2130</v>
      </c>
      <c r="W190" s="95" t="s">
        <v>2188</v>
      </c>
      <c r="X190" s="95" t="s">
        <v>2243</v>
      </c>
      <c r="Y190" s="95" t="s">
        <v>2299</v>
      </c>
      <c r="Z190" s="95" t="s">
        <v>2356</v>
      </c>
      <c r="AA190" s="95" t="s">
        <v>2414</v>
      </c>
      <c r="AB190" s="95" t="s">
        <v>2473</v>
      </c>
      <c r="AC190" s="95" t="s">
        <v>2533</v>
      </c>
      <c r="AD190" s="95" t="s">
        <v>2594</v>
      </c>
      <c r="AE190" s="95" t="s">
        <v>2656</v>
      </c>
      <c r="AF190" s="95" t="s">
        <v>2716</v>
      </c>
      <c r="AG190" s="96" t="s">
        <v>2779</v>
      </c>
    </row>
    <row r="191" spans="1:33" x14ac:dyDescent="0.25">
      <c r="A191" s="19">
        <v>35</v>
      </c>
      <c r="B191" s="94" t="s">
        <v>1261</v>
      </c>
      <c r="C191" s="95" t="s">
        <v>1295</v>
      </c>
      <c r="D191" s="95" t="s">
        <v>1364</v>
      </c>
      <c r="E191" s="95" t="s">
        <v>1330</v>
      </c>
      <c r="F191" s="95" t="s">
        <v>1427</v>
      </c>
      <c r="G191" s="95" t="s">
        <v>1455</v>
      </c>
      <c r="H191" s="95" t="s">
        <v>1484</v>
      </c>
      <c r="I191" s="95" t="s">
        <v>1520</v>
      </c>
      <c r="J191" s="95" t="s">
        <v>1561</v>
      </c>
      <c r="K191" s="95" t="s">
        <v>1603</v>
      </c>
      <c r="L191" s="95" t="s">
        <v>1646</v>
      </c>
      <c r="M191" s="95" t="s">
        <v>1690</v>
      </c>
      <c r="N191" s="95" t="s">
        <v>1735</v>
      </c>
      <c r="O191" s="95" t="s">
        <v>1781</v>
      </c>
      <c r="P191" s="95" t="s">
        <v>1828</v>
      </c>
      <c r="Q191" s="95" t="s">
        <v>1876</v>
      </c>
      <c r="R191" s="95" t="s">
        <v>1925</v>
      </c>
      <c r="S191" s="95" t="s">
        <v>1975</v>
      </c>
      <c r="T191" s="95" t="s">
        <v>2026</v>
      </c>
      <c r="U191" s="95" t="s">
        <v>2078</v>
      </c>
      <c r="V191" s="95" t="s">
        <v>2131</v>
      </c>
      <c r="W191" s="95" t="s">
        <v>2189</v>
      </c>
      <c r="X191" s="95" t="s">
        <v>2244</v>
      </c>
      <c r="Y191" s="95" t="s">
        <v>2300</v>
      </c>
      <c r="Z191" s="95" t="s">
        <v>2357</v>
      </c>
      <c r="AA191" s="95" t="s">
        <v>2415</v>
      </c>
      <c r="AB191" s="95" t="s">
        <v>2474</v>
      </c>
      <c r="AC191" s="95" t="s">
        <v>2534</v>
      </c>
      <c r="AD191" s="95" t="s">
        <v>2595</v>
      </c>
      <c r="AE191" s="95" t="s">
        <v>2657</v>
      </c>
      <c r="AF191" s="95" t="s">
        <v>2717</v>
      </c>
      <c r="AG191" s="96" t="s">
        <v>2780</v>
      </c>
    </row>
    <row r="192" spans="1:33" x14ac:dyDescent="0.25">
      <c r="A192" s="19">
        <v>36</v>
      </c>
      <c r="B192" s="94" t="s">
        <v>1262</v>
      </c>
      <c r="C192" s="95" t="s">
        <v>1296</v>
      </c>
      <c r="D192" s="95" t="s">
        <v>1365</v>
      </c>
      <c r="E192" s="95" t="s">
        <v>1331</v>
      </c>
      <c r="F192" s="95" t="s">
        <v>1428</v>
      </c>
      <c r="G192" s="95" t="s">
        <v>1456</v>
      </c>
      <c r="H192" s="95" t="s">
        <v>1485</v>
      </c>
      <c r="I192" s="95" t="s">
        <v>1521</v>
      </c>
      <c r="J192" s="95" t="s">
        <v>1562</v>
      </c>
      <c r="K192" s="95" t="s">
        <v>1604</v>
      </c>
      <c r="L192" s="95" t="s">
        <v>1647</v>
      </c>
      <c r="M192" s="95" t="s">
        <v>1691</v>
      </c>
      <c r="N192" s="95" t="s">
        <v>1736</v>
      </c>
      <c r="O192" s="95" t="s">
        <v>1782</v>
      </c>
      <c r="P192" s="95" t="s">
        <v>1829</v>
      </c>
      <c r="Q192" s="95" t="s">
        <v>1877</v>
      </c>
      <c r="R192" s="95" t="s">
        <v>1926</v>
      </c>
      <c r="S192" s="95" t="s">
        <v>1976</v>
      </c>
      <c r="T192" s="95" t="s">
        <v>2027</v>
      </c>
      <c r="U192" s="95" t="s">
        <v>2079</v>
      </c>
      <c r="V192" s="95" t="s">
        <v>2132</v>
      </c>
      <c r="W192" s="95" t="s">
        <v>2190</v>
      </c>
      <c r="X192" s="95" t="s">
        <v>2245</v>
      </c>
      <c r="Y192" s="95" t="s">
        <v>2301</v>
      </c>
      <c r="Z192" s="95" t="s">
        <v>2358</v>
      </c>
      <c r="AA192" s="95" t="s">
        <v>2416</v>
      </c>
      <c r="AB192" s="95" t="s">
        <v>2475</v>
      </c>
      <c r="AC192" s="95" t="s">
        <v>2535</v>
      </c>
      <c r="AD192" s="95" t="s">
        <v>2596</v>
      </c>
      <c r="AE192" s="95" t="s">
        <v>2658</v>
      </c>
      <c r="AF192" s="95" t="s">
        <v>2718</v>
      </c>
      <c r="AG192" s="96" t="s">
        <v>2781</v>
      </c>
    </row>
    <row r="193" spans="1:33" x14ac:dyDescent="0.25">
      <c r="A193" s="19">
        <v>37</v>
      </c>
      <c r="B193" s="94" t="s">
        <v>1263</v>
      </c>
      <c r="C193" s="95" t="s">
        <v>1297</v>
      </c>
      <c r="D193" s="95" t="s">
        <v>1366</v>
      </c>
      <c r="E193" s="95" t="s">
        <v>1332</v>
      </c>
      <c r="F193" s="95" t="s">
        <v>1429</v>
      </c>
      <c r="G193" s="95" t="s">
        <v>1457</v>
      </c>
      <c r="H193" s="95" t="s">
        <v>1486</v>
      </c>
      <c r="I193" s="95" t="s">
        <v>1522</v>
      </c>
      <c r="J193" s="95" t="s">
        <v>1563</v>
      </c>
      <c r="K193" s="95" t="s">
        <v>1605</v>
      </c>
      <c r="L193" s="95" t="s">
        <v>1648</v>
      </c>
      <c r="M193" s="95" t="s">
        <v>1692</v>
      </c>
      <c r="N193" s="95" t="s">
        <v>1737</v>
      </c>
      <c r="O193" s="95" t="s">
        <v>1783</v>
      </c>
      <c r="P193" s="95" t="s">
        <v>1830</v>
      </c>
      <c r="Q193" s="95" t="s">
        <v>1878</v>
      </c>
      <c r="R193" s="95" t="s">
        <v>1927</v>
      </c>
      <c r="S193" s="95" t="s">
        <v>1977</v>
      </c>
      <c r="T193" s="95" t="s">
        <v>2028</v>
      </c>
      <c r="U193" s="95" t="s">
        <v>2080</v>
      </c>
      <c r="V193" s="95" t="s">
        <v>2133</v>
      </c>
      <c r="W193" s="95" t="s">
        <v>2191</v>
      </c>
      <c r="X193" s="95" t="s">
        <v>2246</v>
      </c>
      <c r="Y193" s="95" t="s">
        <v>2302</v>
      </c>
      <c r="Z193" s="95" t="s">
        <v>2359</v>
      </c>
      <c r="AA193" s="95" t="s">
        <v>2417</v>
      </c>
      <c r="AB193" s="95" t="s">
        <v>2476</v>
      </c>
      <c r="AC193" s="95" t="s">
        <v>2536</v>
      </c>
      <c r="AD193" s="95" t="s">
        <v>2597</v>
      </c>
      <c r="AE193" s="95" t="s">
        <v>2659</v>
      </c>
      <c r="AF193" s="95" t="s">
        <v>2719</v>
      </c>
      <c r="AG193" s="96" t="s">
        <v>2782</v>
      </c>
    </row>
    <row r="194" spans="1:33" x14ac:dyDescent="0.25">
      <c r="A194" s="19">
        <v>38</v>
      </c>
      <c r="B194" s="94" t="s">
        <v>1264</v>
      </c>
      <c r="C194" s="95" t="s">
        <v>1298</v>
      </c>
      <c r="D194" s="95" t="s">
        <v>1367</v>
      </c>
      <c r="E194" s="95" t="s">
        <v>1333</v>
      </c>
      <c r="F194" s="95" t="s">
        <v>1430</v>
      </c>
      <c r="G194" s="95" t="s">
        <v>1458</v>
      </c>
      <c r="H194" s="95" t="s">
        <v>1487</v>
      </c>
      <c r="I194" s="95" t="s">
        <v>1523</v>
      </c>
      <c r="J194" s="95" t="s">
        <v>1564</v>
      </c>
      <c r="K194" s="95" t="s">
        <v>1606</v>
      </c>
      <c r="L194" s="95" t="s">
        <v>1649</v>
      </c>
      <c r="M194" s="95" t="s">
        <v>1693</v>
      </c>
      <c r="N194" s="95" t="s">
        <v>1738</v>
      </c>
      <c r="O194" s="95" t="s">
        <v>1784</v>
      </c>
      <c r="P194" s="95" t="s">
        <v>1831</v>
      </c>
      <c r="Q194" s="95" t="s">
        <v>1879</v>
      </c>
      <c r="R194" s="95" t="s">
        <v>1928</v>
      </c>
      <c r="S194" s="95" t="s">
        <v>1978</v>
      </c>
      <c r="T194" s="95" t="s">
        <v>2029</v>
      </c>
      <c r="U194" s="95" t="s">
        <v>2081</v>
      </c>
      <c r="V194" s="95" t="s">
        <v>2134</v>
      </c>
      <c r="W194" s="95" t="s">
        <v>2192</v>
      </c>
      <c r="X194" s="95" t="s">
        <v>2247</v>
      </c>
      <c r="Y194" s="95" t="s">
        <v>2303</v>
      </c>
      <c r="Z194" s="95" t="s">
        <v>2360</v>
      </c>
      <c r="AA194" s="95" t="s">
        <v>2418</v>
      </c>
      <c r="AB194" s="95" t="s">
        <v>2477</v>
      </c>
      <c r="AC194" s="95" t="s">
        <v>2537</v>
      </c>
      <c r="AD194" s="95" t="s">
        <v>2598</v>
      </c>
      <c r="AE194" s="95" t="s">
        <v>2660</v>
      </c>
      <c r="AF194" s="95" t="s">
        <v>2720</v>
      </c>
      <c r="AG194" s="96" t="s">
        <v>2783</v>
      </c>
    </row>
    <row r="195" spans="1:33" x14ac:dyDescent="0.25">
      <c r="A195" s="19">
        <v>39</v>
      </c>
      <c r="B195" s="94" t="s">
        <v>1265</v>
      </c>
      <c r="C195" s="95" t="s">
        <v>1299</v>
      </c>
      <c r="D195" s="95" t="s">
        <v>1368</v>
      </c>
      <c r="E195" s="95" t="s">
        <v>1334</v>
      </c>
      <c r="F195" s="95" t="s">
        <v>1431</v>
      </c>
      <c r="G195" s="95" t="s">
        <v>1459</v>
      </c>
      <c r="H195" s="95" t="s">
        <v>1488</v>
      </c>
      <c r="I195" s="95" t="s">
        <v>1524</v>
      </c>
      <c r="J195" s="95" t="s">
        <v>1565</v>
      </c>
      <c r="K195" s="95" t="s">
        <v>1607</v>
      </c>
      <c r="L195" s="95" t="s">
        <v>1650</v>
      </c>
      <c r="M195" s="95" t="s">
        <v>1694</v>
      </c>
      <c r="N195" s="95" t="s">
        <v>1739</v>
      </c>
      <c r="O195" s="95" t="s">
        <v>1785</v>
      </c>
      <c r="P195" s="95" t="s">
        <v>1832</v>
      </c>
      <c r="Q195" s="95" t="s">
        <v>1880</v>
      </c>
      <c r="R195" s="95" t="s">
        <v>1929</v>
      </c>
      <c r="S195" s="95" t="s">
        <v>1979</v>
      </c>
      <c r="T195" s="95" t="s">
        <v>2030</v>
      </c>
      <c r="U195" s="95" t="s">
        <v>2082</v>
      </c>
      <c r="V195" s="95" t="s">
        <v>2135</v>
      </c>
      <c r="W195" s="95" t="s">
        <v>2193</v>
      </c>
      <c r="X195" s="95" t="s">
        <v>2248</v>
      </c>
      <c r="Y195" s="95" t="s">
        <v>2304</v>
      </c>
      <c r="Z195" s="95" t="s">
        <v>2361</v>
      </c>
      <c r="AA195" s="95" t="s">
        <v>2419</v>
      </c>
      <c r="AB195" s="95" t="s">
        <v>2478</v>
      </c>
      <c r="AC195" s="95" t="s">
        <v>2538</v>
      </c>
      <c r="AD195" s="95" t="s">
        <v>2599</v>
      </c>
      <c r="AE195" s="95" t="s">
        <v>2661</v>
      </c>
      <c r="AF195" s="95" t="s">
        <v>2721</v>
      </c>
      <c r="AG195" s="96" t="s">
        <v>2784</v>
      </c>
    </row>
    <row r="196" spans="1:33" x14ac:dyDescent="0.25">
      <c r="A196" s="19">
        <v>40</v>
      </c>
      <c r="B196" s="94" t="s">
        <v>1266</v>
      </c>
      <c r="C196" s="95" t="s">
        <v>1300</v>
      </c>
      <c r="D196" s="95" t="s">
        <v>1369</v>
      </c>
      <c r="E196" s="95" t="s">
        <v>1395</v>
      </c>
      <c r="F196" s="95" t="s">
        <v>1335</v>
      </c>
      <c r="G196" s="95" t="s">
        <v>1460</v>
      </c>
      <c r="H196" s="95" t="s">
        <v>1489</v>
      </c>
      <c r="I196" s="95" t="s">
        <v>1525</v>
      </c>
      <c r="J196" s="95" t="s">
        <v>1566</v>
      </c>
      <c r="K196" s="95" t="s">
        <v>1608</v>
      </c>
      <c r="L196" s="95" t="s">
        <v>1651</v>
      </c>
      <c r="M196" s="95" t="s">
        <v>1695</v>
      </c>
      <c r="N196" s="95" t="s">
        <v>1740</v>
      </c>
      <c r="O196" s="95" t="s">
        <v>1786</v>
      </c>
      <c r="P196" s="95" t="s">
        <v>1833</v>
      </c>
      <c r="Q196" s="95" t="s">
        <v>1881</v>
      </c>
      <c r="R196" s="95" t="s">
        <v>1930</v>
      </c>
      <c r="S196" s="95" t="s">
        <v>1980</v>
      </c>
      <c r="T196" s="95" t="s">
        <v>2031</v>
      </c>
      <c r="U196" s="95" t="s">
        <v>2083</v>
      </c>
      <c r="V196" s="95" t="s">
        <v>2136</v>
      </c>
      <c r="W196" s="95" t="s">
        <v>2194</v>
      </c>
      <c r="X196" s="95" t="s">
        <v>2249</v>
      </c>
      <c r="Y196" s="95" t="s">
        <v>2305</v>
      </c>
      <c r="Z196" s="95" t="s">
        <v>2362</v>
      </c>
      <c r="AA196" s="95" t="s">
        <v>2420</v>
      </c>
      <c r="AB196" s="95" t="s">
        <v>2479</v>
      </c>
      <c r="AC196" s="95" t="s">
        <v>2539</v>
      </c>
      <c r="AD196" s="95" t="s">
        <v>2600</v>
      </c>
      <c r="AE196" s="95" t="s">
        <v>2662</v>
      </c>
      <c r="AF196" s="95" t="s">
        <v>2722</v>
      </c>
      <c r="AG196" s="96" t="s">
        <v>2785</v>
      </c>
    </row>
    <row r="197" spans="1:33" x14ac:dyDescent="0.25">
      <c r="A197" s="19">
        <v>41</v>
      </c>
      <c r="B197" s="94" t="s">
        <v>1267</v>
      </c>
      <c r="C197" s="95" t="s">
        <v>1301</v>
      </c>
      <c r="D197" s="95" t="s">
        <v>1370</v>
      </c>
      <c r="E197" s="95" t="s">
        <v>1396</v>
      </c>
      <c r="F197" s="95" t="s">
        <v>1336</v>
      </c>
      <c r="G197" s="95" t="s">
        <v>1461</v>
      </c>
      <c r="H197" s="95" t="s">
        <v>1490</v>
      </c>
      <c r="I197" s="95" t="s">
        <v>1526</v>
      </c>
      <c r="J197" s="95" t="s">
        <v>1567</v>
      </c>
      <c r="K197" s="95" t="s">
        <v>1609</v>
      </c>
      <c r="L197" s="95" t="s">
        <v>1652</v>
      </c>
      <c r="M197" s="95" t="s">
        <v>1696</v>
      </c>
      <c r="N197" s="95" t="s">
        <v>1741</v>
      </c>
      <c r="O197" s="95" t="s">
        <v>1787</v>
      </c>
      <c r="P197" s="95" t="s">
        <v>1834</v>
      </c>
      <c r="Q197" s="95" t="s">
        <v>1882</v>
      </c>
      <c r="R197" s="95" t="s">
        <v>1931</v>
      </c>
      <c r="S197" s="95" t="s">
        <v>1981</v>
      </c>
      <c r="T197" s="95" t="s">
        <v>2032</v>
      </c>
      <c r="U197" s="95" t="s">
        <v>2084</v>
      </c>
      <c r="V197" s="95" t="s">
        <v>2137</v>
      </c>
      <c r="W197" s="95" t="s">
        <v>2195</v>
      </c>
      <c r="X197" s="95" t="s">
        <v>2250</v>
      </c>
      <c r="Y197" s="95" t="s">
        <v>2306</v>
      </c>
      <c r="Z197" s="95" t="s">
        <v>2363</v>
      </c>
      <c r="AA197" s="95" t="s">
        <v>2421</v>
      </c>
      <c r="AB197" s="95" t="s">
        <v>2480</v>
      </c>
      <c r="AC197" s="95" t="s">
        <v>2540</v>
      </c>
      <c r="AD197" s="95" t="s">
        <v>2601</v>
      </c>
      <c r="AE197" s="95" t="s">
        <v>2663</v>
      </c>
      <c r="AF197" s="95" t="s">
        <v>2723</v>
      </c>
      <c r="AG197" s="96" t="s">
        <v>2786</v>
      </c>
    </row>
    <row r="198" spans="1:33" x14ac:dyDescent="0.25">
      <c r="A198" s="19">
        <v>42</v>
      </c>
      <c r="B198" s="94" t="s">
        <v>1268</v>
      </c>
      <c r="C198" s="95" t="s">
        <v>1302</v>
      </c>
      <c r="D198" s="95" t="s">
        <v>1371</v>
      </c>
      <c r="E198" s="95" t="s">
        <v>1397</v>
      </c>
      <c r="F198" s="95" t="s">
        <v>1337</v>
      </c>
      <c r="G198" s="95" t="s">
        <v>1462</v>
      </c>
      <c r="H198" s="95" t="s">
        <v>1491</v>
      </c>
      <c r="I198" s="95" t="s">
        <v>1527</v>
      </c>
      <c r="J198" s="95" t="s">
        <v>1568</v>
      </c>
      <c r="K198" s="95" t="s">
        <v>1610</v>
      </c>
      <c r="L198" s="95" t="s">
        <v>1653</v>
      </c>
      <c r="M198" s="95" t="s">
        <v>1697</v>
      </c>
      <c r="N198" s="95" t="s">
        <v>1742</v>
      </c>
      <c r="O198" s="95" t="s">
        <v>1788</v>
      </c>
      <c r="P198" s="95" t="s">
        <v>1835</v>
      </c>
      <c r="Q198" s="95" t="s">
        <v>1883</v>
      </c>
      <c r="R198" s="95" t="s">
        <v>1932</v>
      </c>
      <c r="S198" s="95" t="s">
        <v>1982</v>
      </c>
      <c r="T198" s="95" t="s">
        <v>2033</v>
      </c>
      <c r="U198" s="95" t="s">
        <v>2085</v>
      </c>
      <c r="V198" s="95" t="s">
        <v>2138</v>
      </c>
      <c r="W198" s="95" t="s">
        <v>2196</v>
      </c>
      <c r="X198" s="95" t="s">
        <v>2251</v>
      </c>
      <c r="Y198" s="95" t="s">
        <v>2307</v>
      </c>
      <c r="Z198" s="95" t="s">
        <v>2364</v>
      </c>
      <c r="AA198" s="95" t="s">
        <v>2422</v>
      </c>
      <c r="AB198" s="95" t="s">
        <v>2481</v>
      </c>
      <c r="AC198" s="95" t="s">
        <v>2541</v>
      </c>
      <c r="AD198" s="95" t="s">
        <v>2602</v>
      </c>
      <c r="AE198" s="95" t="s">
        <v>2664</v>
      </c>
      <c r="AF198" s="95" t="s">
        <v>2724</v>
      </c>
      <c r="AG198" s="96" t="s">
        <v>2787</v>
      </c>
    </row>
    <row r="199" spans="1:33" x14ac:dyDescent="0.25">
      <c r="A199" s="19">
        <v>43</v>
      </c>
      <c r="B199" s="94" t="s">
        <v>1269</v>
      </c>
      <c r="C199" s="95" t="s">
        <v>1303</v>
      </c>
      <c r="D199" s="95" t="s">
        <v>1372</v>
      </c>
      <c r="E199" s="95" t="s">
        <v>1398</v>
      </c>
      <c r="F199" s="95" t="s">
        <v>1338</v>
      </c>
      <c r="G199" s="95" t="s">
        <v>1463</v>
      </c>
      <c r="H199" s="95" t="s">
        <v>1492</v>
      </c>
      <c r="I199" s="95" t="s">
        <v>1528</v>
      </c>
      <c r="J199" s="95" t="s">
        <v>1569</v>
      </c>
      <c r="K199" s="95" t="s">
        <v>1611</v>
      </c>
      <c r="L199" s="95" t="s">
        <v>1654</v>
      </c>
      <c r="M199" s="95" t="s">
        <v>1698</v>
      </c>
      <c r="N199" s="95" t="s">
        <v>1743</v>
      </c>
      <c r="O199" s="95" t="s">
        <v>1789</v>
      </c>
      <c r="P199" s="95" t="s">
        <v>1836</v>
      </c>
      <c r="Q199" s="95" t="s">
        <v>1884</v>
      </c>
      <c r="R199" s="95" t="s">
        <v>1933</v>
      </c>
      <c r="S199" s="95" t="s">
        <v>1983</v>
      </c>
      <c r="T199" s="95" t="s">
        <v>2034</v>
      </c>
      <c r="U199" s="95" t="s">
        <v>2086</v>
      </c>
      <c r="V199" s="95" t="s">
        <v>2139</v>
      </c>
      <c r="W199" s="95" t="s">
        <v>2197</v>
      </c>
      <c r="X199" s="95" t="s">
        <v>2252</v>
      </c>
      <c r="Y199" s="95" t="s">
        <v>2308</v>
      </c>
      <c r="Z199" s="95" t="s">
        <v>2365</v>
      </c>
      <c r="AA199" s="95" t="s">
        <v>2423</v>
      </c>
      <c r="AB199" s="95" t="s">
        <v>2482</v>
      </c>
      <c r="AC199" s="95" t="s">
        <v>2542</v>
      </c>
      <c r="AD199" s="95" t="s">
        <v>2603</v>
      </c>
      <c r="AE199" s="95" t="s">
        <v>2665</v>
      </c>
      <c r="AF199" s="95" t="s">
        <v>2152</v>
      </c>
      <c r="AG199" s="96" t="s">
        <v>2788</v>
      </c>
    </row>
    <row r="200" spans="1:33" x14ac:dyDescent="0.25">
      <c r="A200" s="19">
        <v>44</v>
      </c>
      <c r="B200" s="94" t="s">
        <v>1270</v>
      </c>
      <c r="C200" s="95" t="s">
        <v>1304</v>
      </c>
      <c r="D200" s="95" t="s">
        <v>1373</v>
      </c>
      <c r="E200" s="95" t="s">
        <v>1399</v>
      </c>
      <c r="F200" s="95" t="s">
        <v>1339</v>
      </c>
      <c r="G200" s="95" t="s">
        <v>1464</v>
      </c>
      <c r="H200" s="95" t="s">
        <v>1493</v>
      </c>
      <c r="I200" s="95" t="s">
        <v>1529</v>
      </c>
      <c r="J200" s="95" t="s">
        <v>1570</v>
      </c>
      <c r="K200" s="95" t="s">
        <v>1612</v>
      </c>
      <c r="L200" s="95" t="s">
        <v>1655</v>
      </c>
      <c r="M200" s="95" t="s">
        <v>1699</v>
      </c>
      <c r="N200" s="95" t="s">
        <v>1744</v>
      </c>
      <c r="O200" s="95" t="s">
        <v>1790</v>
      </c>
      <c r="P200" s="95" t="s">
        <v>1837</v>
      </c>
      <c r="Q200" s="95" t="s">
        <v>1885</v>
      </c>
      <c r="R200" s="95" t="s">
        <v>1934</v>
      </c>
      <c r="S200" s="95" t="s">
        <v>1984</v>
      </c>
      <c r="T200" s="95" t="s">
        <v>2035</v>
      </c>
      <c r="U200" s="95" t="s">
        <v>2087</v>
      </c>
      <c r="V200" s="95" t="s">
        <v>2140</v>
      </c>
      <c r="W200" s="95" t="s">
        <v>2198</v>
      </c>
      <c r="X200" s="95" t="s">
        <v>2253</v>
      </c>
      <c r="Y200" s="95" t="s">
        <v>2309</v>
      </c>
      <c r="Z200" s="95" t="s">
        <v>2366</v>
      </c>
      <c r="AA200" s="95" t="s">
        <v>2424</v>
      </c>
      <c r="AB200" s="95" t="s">
        <v>2483</v>
      </c>
      <c r="AC200" s="95" t="s">
        <v>2543</v>
      </c>
      <c r="AD200" s="95" t="s">
        <v>2604</v>
      </c>
      <c r="AE200" s="95" t="s">
        <v>2666</v>
      </c>
      <c r="AF200" s="95" t="s">
        <v>2725</v>
      </c>
      <c r="AG200" s="96" t="s">
        <v>2789</v>
      </c>
    </row>
    <row r="201" spans="1:33" x14ac:dyDescent="0.25">
      <c r="A201" s="19">
        <v>45</v>
      </c>
      <c r="B201" s="94" t="s">
        <v>1271</v>
      </c>
      <c r="C201" s="95" t="s">
        <v>1305</v>
      </c>
      <c r="D201" s="95" t="s">
        <v>1374</v>
      </c>
      <c r="E201" s="95" t="s">
        <v>1400</v>
      </c>
      <c r="F201" s="95" t="s">
        <v>1340</v>
      </c>
      <c r="G201" s="95" t="s">
        <v>1465</v>
      </c>
      <c r="H201" s="95" t="s">
        <v>1494</v>
      </c>
      <c r="I201" s="95" t="s">
        <v>1530</v>
      </c>
      <c r="J201" s="95" t="s">
        <v>1571</v>
      </c>
      <c r="K201" s="95" t="s">
        <v>1613</v>
      </c>
      <c r="L201" s="95" t="s">
        <v>1656</v>
      </c>
      <c r="M201" s="95" t="s">
        <v>1700</v>
      </c>
      <c r="N201" s="95" t="s">
        <v>1745</v>
      </c>
      <c r="O201" s="95" t="s">
        <v>1791</v>
      </c>
      <c r="P201" s="95" t="s">
        <v>1838</v>
      </c>
      <c r="Q201" s="95" t="s">
        <v>1886</v>
      </c>
      <c r="R201" s="95" t="s">
        <v>1935</v>
      </c>
      <c r="S201" s="95" t="s">
        <v>1985</v>
      </c>
      <c r="T201" s="95" t="s">
        <v>2036</v>
      </c>
      <c r="U201" s="95" t="s">
        <v>2088</v>
      </c>
      <c r="V201" s="95" t="s">
        <v>2141</v>
      </c>
      <c r="W201" s="95" t="s">
        <v>2199</v>
      </c>
      <c r="X201" s="95" t="s">
        <v>2254</v>
      </c>
      <c r="Y201" s="95" t="s">
        <v>2310</v>
      </c>
      <c r="Z201" s="95" t="s">
        <v>2367</v>
      </c>
      <c r="AA201" s="95" t="s">
        <v>2425</v>
      </c>
      <c r="AB201" s="95" t="s">
        <v>2484</v>
      </c>
      <c r="AC201" s="95" t="s">
        <v>2544</v>
      </c>
      <c r="AD201" s="95" t="s">
        <v>2605</v>
      </c>
      <c r="AE201" s="95" t="s">
        <v>2667</v>
      </c>
      <c r="AF201" s="95" t="s">
        <v>2726</v>
      </c>
      <c r="AG201" s="96" t="s">
        <v>2790</v>
      </c>
    </row>
    <row r="202" spans="1:33" x14ac:dyDescent="0.25">
      <c r="A202" s="19">
        <v>46</v>
      </c>
      <c r="B202" s="94" t="s">
        <v>1272</v>
      </c>
      <c r="C202" s="95" t="s">
        <v>1306</v>
      </c>
      <c r="D202" s="95" t="s">
        <v>1375</v>
      </c>
      <c r="E202" s="95" t="s">
        <v>1401</v>
      </c>
      <c r="F202" s="95" t="s">
        <v>1341</v>
      </c>
      <c r="G202" s="95" t="s">
        <v>1466</v>
      </c>
      <c r="H202" s="95" t="s">
        <v>1495</v>
      </c>
      <c r="I202" s="95" t="s">
        <v>1531</v>
      </c>
      <c r="J202" s="95" t="s">
        <v>1572</v>
      </c>
      <c r="K202" s="95" t="s">
        <v>1614</v>
      </c>
      <c r="L202" s="95" t="s">
        <v>1657</v>
      </c>
      <c r="M202" s="95" t="s">
        <v>1701</v>
      </c>
      <c r="N202" s="95" t="s">
        <v>1746</v>
      </c>
      <c r="O202" s="95" t="s">
        <v>1792</v>
      </c>
      <c r="P202" s="95" t="s">
        <v>1839</v>
      </c>
      <c r="Q202" s="95" t="s">
        <v>1887</v>
      </c>
      <c r="R202" s="95" t="s">
        <v>1936</v>
      </c>
      <c r="S202" s="95" t="s">
        <v>1986</v>
      </c>
      <c r="T202" s="95" t="s">
        <v>2037</v>
      </c>
      <c r="U202" s="95" t="s">
        <v>2089</v>
      </c>
      <c r="V202" s="95" t="s">
        <v>2142</v>
      </c>
      <c r="W202" s="95" t="s">
        <v>2200</v>
      </c>
      <c r="X202" s="95" t="s">
        <v>2255</v>
      </c>
      <c r="Y202" s="95" t="s">
        <v>2311</v>
      </c>
      <c r="Z202" s="95" t="s">
        <v>2368</v>
      </c>
      <c r="AA202" s="95" t="s">
        <v>2426</v>
      </c>
      <c r="AB202" s="95" t="s">
        <v>2485</v>
      </c>
      <c r="AC202" s="95" t="s">
        <v>2545</v>
      </c>
      <c r="AD202" s="95" t="s">
        <v>2606</v>
      </c>
      <c r="AE202" s="95" t="s">
        <v>2668</v>
      </c>
      <c r="AF202" s="95" t="s">
        <v>2727</v>
      </c>
      <c r="AG202" s="96" t="s">
        <v>2791</v>
      </c>
    </row>
    <row r="203" spans="1:33" x14ac:dyDescent="0.25">
      <c r="A203" s="19">
        <v>47</v>
      </c>
      <c r="B203" s="94" t="s">
        <v>1273</v>
      </c>
      <c r="C203" s="95" t="s">
        <v>1307</v>
      </c>
      <c r="D203" s="95" t="s">
        <v>1376</v>
      </c>
      <c r="E203" s="95" t="s">
        <v>1402</v>
      </c>
      <c r="F203" s="95" t="s">
        <v>1342</v>
      </c>
      <c r="G203" s="95" t="s">
        <v>1467</v>
      </c>
      <c r="H203" s="95" t="s">
        <v>1496</v>
      </c>
      <c r="I203" s="95" t="s">
        <v>1532</v>
      </c>
      <c r="J203" s="95" t="s">
        <v>1573</v>
      </c>
      <c r="K203" s="95" t="s">
        <v>1615</v>
      </c>
      <c r="L203" s="95" t="s">
        <v>1658</v>
      </c>
      <c r="M203" s="95" t="s">
        <v>1702</v>
      </c>
      <c r="N203" s="95" t="s">
        <v>1747</v>
      </c>
      <c r="O203" s="95" t="s">
        <v>1793</v>
      </c>
      <c r="P203" s="95" t="s">
        <v>1840</v>
      </c>
      <c r="Q203" s="95" t="s">
        <v>1888</v>
      </c>
      <c r="R203" s="95" t="s">
        <v>1937</v>
      </c>
      <c r="S203" s="95" t="s">
        <v>1987</v>
      </c>
      <c r="T203" s="95" t="s">
        <v>2038</v>
      </c>
      <c r="U203" s="95" t="s">
        <v>2090</v>
      </c>
      <c r="V203" s="95" t="s">
        <v>2143</v>
      </c>
      <c r="W203" s="95" t="s">
        <v>2201</v>
      </c>
      <c r="X203" s="95" t="s">
        <v>2256</v>
      </c>
      <c r="Y203" s="95" t="s">
        <v>2312</v>
      </c>
      <c r="Z203" s="95" t="s">
        <v>2369</v>
      </c>
      <c r="AA203" s="95" t="s">
        <v>2427</v>
      </c>
      <c r="AB203" s="95" t="s">
        <v>2486</v>
      </c>
      <c r="AC203" s="95" t="s">
        <v>2546</v>
      </c>
      <c r="AD203" s="95" t="s">
        <v>2607</v>
      </c>
      <c r="AE203" s="95" t="s">
        <v>2669</v>
      </c>
      <c r="AF203" s="95" t="s">
        <v>2728</v>
      </c>
      <c r="AG203" s="96" t="s">
        <v>2792</v>
      </c>
    </row>
    <row r="204" spans="1:33" x14ac:dyDescent="0.25">
      <c r="A204" s="19">
        <v>48</v>
      </c>
      <c r="B204" s="94" t="s">
        <v>1274</v>
      </c>
      <c r="C204" s="95" t="s">
        <v>1308</v>
      </c>
      <c r="D204" s="95" t="s">
        <v>1377</v>
      </c>
      <c r="E204" s="95" t="s">
        <v>1403</v>
      </c>
      <c r="F204" s="95" t="s">
        <v>1343</v>
      </c>
      <c r="G204" s="95" t="s">
        <v>1468</v>
      </c>
      <c r="H204" s="95" t="s">
        <v>1497</v>
      </c>
      <c r="I204" s="95" t="s">
        <v>1533</v>
      </c>
      <c r="J204" s="95" t="s">
        <v>1574</v>
      </c>
      <c r="K204" s="95" t="s">
        <v>1616</v>
      </c>
      <c r="L204" s="95" t="s">
        <v>1659</v>
      </c>
      <c r="M204" s="95" t="s">
        <v>1703</v>
      </c>
      <c r="N204" s="95" t="s">
        <v>1748</v>
      </c>
      <c r="O204" s="95" t="s">
        <v>1794</v>
      </c>
      <c r="P204" s="95" t="s">
        <v>1841</v>
      </c>
      <c r="Q204" s="95" t="s">
        <v>1889</v>
      </c>
      <c r="R204" s="95" t="s">
        <v>1938</v>
      </c>
      <c r="S204" s="95" t="s">
        <v>1988</v>
      </c>
      <c r="T204" s="95" t="s">
        <v>2039</v>
      </c>
      <c r="U204" s="95" t="s">
        <v>2091</v>
      </c>
      <c r="V204" s="95" t="s">
        <v>2144</v>
      </c>
      <c r="W204" s="95" t="s">
        <v>2202</v>
      </c>
      <c r="X204" s="95" t="s">
        <v>2257</v>
      </c>
      <c r="Y204" s="95" t="s">
        <v>2313</v>
      </c>
      <c r="Z204" s="95" t="s">
        <v>2370</v>
      </c>
      <c r="AA204" s="95" t="s">
        <v>2428</v>
      </c>
      <c r="AB204" s="95" t="s">
        <v>2487</v>
      </c>
      <c r="AC204" s="95" t="s">
        <v>2547</v>
      </c>
      <c r="AD204" s="95" t="s">
        <v>2608</v>
      </c>
      <c r="AE204" s="95" t="s">
        <v>2670</v>
      </c>
      <c r="AF204" s="95" t="s">
        <v>2729</v>
      </c>
      <c r="AG204" s="96" t="s">
        <v>2793</v>
      </c>
    </row>
    <row r="205" spans="1:33" x14ac:dyDescent="0.25">
      <c r="A205" s="19">
        <v>49</v>
      </c>
      <c r="B205" s="94" t="s">
        <v>1275</v>
      </c>
      <c r="C205" s="95" t="s">
        <v>1309</v>
      </c>
      <c r="D205" s="95" t="s">
        <v>1378</v>
      </c>
      <c r="E205" s="95" t="s">
        <v>1404</v>
      </c>
      <c r="F205" s="95" t="s">
        <v>1344</v>
      </c>
      <c r="G205" s="95" t="s">
        <v>1469</v>
      </c>
      <c r="H205" s="95" t="s">
        <v>1498</v>
      </c>
      <c r="I205" s="95" t="s">
        <v>1534</v>
      </c>
      <c r="J205" s="95" t="s">
        <v>1575</v>
      </c>
      <c r="K205" s="95" t="s">
        <v>1617</v>
      </c>
      <c r="L205" s="95" t="s">
        <v>1660</v>
      </c>
      <c r="M205" s="95" t="s">
        <v>1704</v>
      </c>
      <c r="N205" s="95" t="s">
        <v>1749</v>
      </c>
      <c r="O205" s="95" t="s">
        <v>1795</v>
      </c>
      <c r="P205" s="95" t="s">
        <v>1842</v>
      </c>
      <c r="Q205" s="95" t="s">
        <v>1890</v>
      </c>
      <c r="R205" s="95" t="s">
        <v>1939</v>
      </c>
      <c r="S205" s="95" t="s">
        <v>1989</v>
      </c>
      <c r="T205" s="95" t="s">
        <v>2040</v>
      </c>
      <c r="U205" s="95" t="s">
        <v>2092</v>
      </c>
      <c r="V205" s="95" t="s">
        <v>2145</v>
      </c>
      <c r="W205" s="95" t="s">
        <v>2203</v>
      </c>
      <c r="X205" s="95" t="s">
        <v>2258</v>
      </c>
      <c r="Y205" s="95" t="s">
        <v>2314</v>
      </c>
      <c r="Z205" s="95" t="s">
        <v>2371</v>
      </c>
      <c r="AA205" s="95" t="s">
        <v>2429</v>
      </c>
      <c r="AB205" s="95" t="s">
        <v>2488</v>
      </c>
      <c r="AC205" s="95" t="s">
        <v>2548</v>
      </c>
      <c r="AD205" s="95" t="s">
        <v>2609</v>
      </c>
      <c r="AE205" s="95" t="s">
        <v>2671</v>
      </c>
      <c r="AF205" s="95" t="s">
        <v>2730</v>
      </c>
      <c r="AG205" s="96" t="s">
        <v>2794</v>
      </c>
    </row>
    <row r="206" spans="1:33" x14ac:dyDescent="0.25">
      <c r="A206" s="19">
        <v>50</v>
      </c>
      <c r="B206" s="94" t="s">
        <v>1276</v>
      </c>
      <c r="C206" s="95" t="s">
        <v>1310</v>
      </c>
      <c r="D206" s="95" t="s">
        <v>1379</v>
      </c>
      <c r="E206" s="95" t="s">
        <v>1405</v>
      </c>
      <c r="F206" s="95" t="s">
        <v>1432</v>
      </c>
      <c r="G206" s="95" t="s">
        <v>1345</v>
      </c>
      <c r="H206" s="95" t="s">
        <v>1499</v>
      </c>
      <c r="I206" s="95" t="s">
        <v>1535</v>
      </c>
      <c r="J206" s="95" t="s">
        <v>1576</v>
      </c>
      <c r="K206" s="95" t="s">
        <v>1618</v>
      </c>
      <c r="L206" s="95" t="s">
        <v>1661</v>
      </c>
      <c r="M206" s="95" t="s">
        <v>1705</v>
      </c>
      <c r="N206" s="95" t="s">
        <v>1750</v>
      </c>
      <c r="O206" s="95" t="s">
        <v>1796</v>
      </c>
      <c r="P206" s="95" t="s">
        <v>1843</v>
      </c>
      <c r="Q206" s="95" t="s">
        <v>1891</v>
      </c>
      <c r="R206" s="95" t="s">
        <v>1940</v>
      </c>
      <c r="S206" s="95" t="s">
        <v>1990</v>
      </c>
      <c r="T206" s="95" t="s">
        <v>2041</v>
      </c>
      <c r="U206" s="95" t="s">
        <v>2093</v>
      </c>
      <c r="V206" s="95" t="s">
        <v>2146</v>
      </c>
      <c r="W206" s="95" t="s">
        <v>2204</v>
      </c>
      <c r="X206" s="95" t="s">
        <v>2259</v>
      </c>
      <c r="Y206" s="95" t="s">
        <v>2315</v>
      </c>
      <c r="Z206" s="95" t="s">
        <v>2372</v>
      </c>
      <c r="AA206" s="95" t="s">
        <v>2430</v>
      </c>
      <c r="AB206" s="95" t="s">
        <v>2489</v>
      </c>
      <c r="AC206" s="95" t="s">
        <v>2549</v>
      </c>
      <c r="AD206" s="95" t="s">
        <v>2610</v>
      </c>
      <c r="AE206" s="95" t="s">
        <v>2672</v>
      </c>
      <c r="AF206" s="95" t="s">
        <v>2731</v>
      </c>
      <c r="AG206" s="96" t="s">
        <v>2795</v>
      </c>
    </row>
    <row r="207" spans="1:33" x14ac:dyDescent="0.25">
      <c r="A207" s="19">
        <v>51</v>
      </c>
      <c r="B207" s="94" t="s">
        <v>1277</v>
      </c>
      <c r="C207" s="95" t="s">
        <v>1311</v>
      </c>
      <c r="D207" s="95" t="s">
        <v>1380</v>
      </c>
      <c r="E207" s="95" t="s">
        <v>1406</v>
      </c>
      <c r="F207" s="95" t="s">
        <v>1433</v>
      </c>
      <c r="G207" s="95" t="s">
        <v>1346</v>
      </c>
      <c r="H207" s="95" t="s">
        <v>1500</v>
      </c>
      <c r="I207" s="95" t="s">
        <v>1536</v>
      </c>
      <c r="J207" s="95" t="s">
        <v>1577</v>
      </c>
      <c r="K207" s="95" t="s">
        <v>1619</v>
      </c>
      <c r="L207" s="95" t="s">
        <v>1662</v>
      </c>
      <c r="M207" s="95" t="s">
        <v>1706</v>
      </c>
      <c r="N207" s="95" t="s">
        <v>1751</v>
      </c>
      <c r="O207" s="95" t="s">
        <v>1797</v>
      </c>
      <c r="P207" s="95" t="s">
        <v>1844</v>
      </c>
      <c r="Q207" s="95" t="s">
        <v>1892</v>
      </c>
      <c r="R207" s="95" t="s">
        <v>1941</v>
      </c>
      <c r="S207" s="95" t="s">
        <v>1991</v>
      </c>
      <c r="T207" s="95" t="s">
        <v>2042</v>
      </c>
      <c r="U207" s="95" t="s">
        <v>2094</v>
      </c>
      <c r="V207" s="95" t="s">
        <v>2147</v>
      </c>
      <c r="W207" s="95" t="s">
        <v>2205</v>
      </c>
      <c r="X207" s="95" t="s">
        <v>2260</v>
      </c>
      <c r="Y207" s="95" t="s">
        <v>2316</v>
      </c>
      <c r="Z207" s="95" t="s">
        <v>2373</v>
      </c>
      <c r="AA207" s="95" t="s">
        <v>2431</v>
      </c>
      <c r="AB207" s="95" t="s">
        <v>2490</v>
      </c>
      <c r="AC207" s="95" t="s">
        <v>2550</v>
      </c>
      <c r="AD207" s="95" t="s">
        <v>2611</v>
      </c>
      <c r="AE207" s="95" t="s">
        <v>2673</v>
      </c>
      <c r="AF207" s="95" t="s">
        <v>2732</v>
      </c>
      <c r="AG207" s="96" t="s">
        <v>2796</v>
      </c>
    </row>
    <row r="208" spans="1:33" x14ac:dyDescent="0.25">
      <c r="A208" s="19">
        <v>52</v>
      </c>
      <c r="B208" s="94" t="s">
        <v>1278</v>
      </c>
      <c r="C208" s="95" t="s">
        <v>1312</v>
      </c>
      <c r="D208" s="95" t="s">
        <v>1381</v>
      </c>
      <c r="E208" s="95" t="s">
        <v>1407</v>
      </c>
      <c r="F208" s="95" t="s">
        <v>1434</v>
      </c>
      <c r="G208" s="95" t="s">
        <v>1347</v>
      </c>
      <c r="H208" s="95" t="s">
        <v>1501</v>
      </c>
      <c r="I208" s="95" t="s">
        <v>1537</v>
      </c>
      <c r="J208" s="95" t="s">
        <v>1578</v>
      </c>
      <c r="K208" s="95" t="s">
        <v>1620</v>
      </c>
      <c r="L208" s="95" t="s">
        <v>1663</v>
      </c>
      <c r="M208" s="95" t="s">
        <v>1707</v>
      </c>
      <c r="N208" s="95" t="s">
        <v>1752</v>
      </c>
      <c r="O208" s="95" t="s">
        <v>1798</v>
      </c>
      <c r="P208" s="95" t="s">
        <v>1845</v>
      </c>
      <c r="Q208" s="95" t="s">
        <v>1893</v>
      </c>
      <c r="R208" s="95" t="s">
        <v>1942</v>
      </c>
      <c r="S208" s="95" t="s">
        <v>1992</v>
      </c>
      <c r="T208" s="95" t="s">
        <v>2043</v>
      </c>
      <c r="U208" s="95" t="s">
        <v>2095</v>
      </c>
      <c r="V208" s="95" t="s">
        <v>2148</v>
      </c>
      <c r="W208" s="95" t="s">
        <v>2206</v>
      </c>
      <c r="X208" s="95" t="s">
        <v>2261</v>
      </c>
      <c r="Y208" s="95" t="s">
        <v>2317</v>
      </c>
      <c r="Z208" s="95" t="s">
        <v>2374</v>
      </c>
      <c r="AA208" s="95" t="s">
        <v>2432</v>
      </c>
      <c r="AB208" s="95" t="s">
        <v>2491</v>
      </c>
      <c r="AC208" s="95" t="s">
        <v>2551</v>
      </c>
      <c r="AD208" s="95" t="s">
        <v>2612</v>
      </c>
      <c r="AE208" s="95" t="s">
        <v>2674</v>
      </c>
      <c r="AF208" s="95" t="s">
        <v>2733</v>
      </c>
      <c r="AG208" s="96" t="s">
        <v>2797</v>
      </c>
    </row>
    <row r="209" spans="1:33" x14ac:dyDescent="0.25">
      <c r="A209" s="19">
        <v>53</v>
      </c>
      <c r="B209" s="94" t="s">
        <v>1279</v>
      </c>
      <c r="C209" s="95" t="s">
        <v>1313</v>
      </c>
      <c r="D209" s="95" t="s">
        <v>1382</v>
      </c>
      <c r="E209" s="95" t="s">
        <v>1408</v>
      </c>
      <c r="F209" s="95" t="s">
        <v>1435</v>
      </c>
      <c r="G209" s="95" t="s">
        <v>1348</v>
      </c>
      <c r="H209" s="95" t="s">
        <v>1502</v>
      </c>
      <c r="I209" s="95" t="s">
        <v>1538</v>
      </c>
      <c r="J209" s="95" t="s">
        <v>1579</v>
      </c>
      <c r="K209" s="95" t="s">
        <v>1621</v>
      </c>
      <c r="L209" s="95" t="s">
        <v>1664</v>
      </c>
      <c r="M209" s="95" t="s">
        <v>1708</v>
      </c>
      <c r="N209" s="95" t="s">
        <v>1753</v>
      </c>
      <c r="O209" s="95" t="s">
        <v>1799</v>
      </c>
      <c r="P209" s="95" t="s">
        <v>1846</v>
      </c>
      <c r="Q209" s="95" t="s">
        <v>1894</v>
      </c>
      <c r="R209" s="95" t="s">
        <v>1943</v>
      </c>
      <c r="S209" s="95" t="s">
        <v>1993</v>
      </c>
      <c r="T209" s="95" t="s">
        <v>2044</v>
      </c>
      <c r="U209" s="95" t="s">
        <v>2096</v>
      </c>
      <c r="V209" s="95" t="s">
        <v>2153</v>
      </c>
      <c r="W209" s="95" t="s">
        <v>2207</v>
      </c>
      <c r="X209" s="95" t="s">
        <v>2262</v>
      </c>
      <c r="Y209" s="95" t="s">
        <v>2318</v>
      </c>
      <c r="Z209" s="95" t="s">
        <v>2375</v>
      </c>
      <c r="AA209" s="95" t="s">
        <v>2433</v>
      </c>
      <c r="AB209" s="95" t="s">
        <v>2492</v>
      </c>
      <c r="AC209" s="95" t="s">
        <v>2552</v>
      </c>
      <c r="AD209" s="95" t="s">
        <v>2613</v>
      </c>
      <c r="AE209" s="95" t="s">
        <v>2675</v>
      </c>
      <c r="AF209" s="95" t="s">
        <v>2734</v>
      </c>
      <c r="AG209" s="96" t="s">
        <v>2798</v>
      </c>
    </row>
    <row r="210" spans="1:33" x14ac:dyDescent="0.25">
      <c r="A210" s="19">
        <v>54</v>
      </c>
      <c r="B210" s="94" t="s">
        <v>1280</v>
      </c>
      <c r="C210" s="95" t="s">
        <v>1314</v>
      </c>
      <c r="D210" s="95" t="s">
        <v>1383</v>
      </c>
      <c r="E210" s="95" t="s">
        <v>1409</v>
      </c>
      <c r="F210" s="95" t="s">
        <v>1436</v>
      </c>
      <c r="G210" s="95" t="s">
        <v>1349</v>
      </c>
      <c r="H210" s="95" t="s">
        <v>1503</v>
      </c>
      <c r="I210" s="95" t="s">
        <v>1539</v>
      </c>
      <c r="J210" s="95" t="s">
        <v>1580</v>
      </c>
      <c r="K210" s="95" t="s">
        <v>1622</v>
      </c>
      <c r="L210" s="95" t="s">
        <v>1665</v>
      </c>
      <c r="M210" s="95" t="s">
        <v>1709</v>
      </c>
      <c r="N210" s="95" t="s">
        <v>1754</v>
      </c>
      <c r="O210" s="95" t="s">
        <v>1800</v>
      </c>
      <c r="P210" s="95" t="s">
        <v>1847</v>
      </c>
      <c r="Q210" s="95" t="s">
        <v>1895</v>
      </c>
      <c r="R210" s="95" t="s">
        <v>1944</v>
      </c>
      <c r="S210" s="95" t="s">
        <v>1994</v>
      </c>
      <c r="T210" s="95" t="s">
        <v>2045</v>
      </c>
      <c r="U210" s="95" t="s">
        <v>2097</v>
      </c>
      <c r="V210" s="95" t="s">
        <v>2154</v>
      </c>
      <c r="W210" s="95" t="s">
        <v>2208</v>
      </c>
      <c r="X210" s="95" t="s">
        <v>2263</v>
      </c>
      <c r="Y210" s="95" t="s">
        <v>2319</v>
      </c>
      <c r="Z210" s="95" t="s">
        <v>2376</v>
      </c>
      <c r="AA210" s="95" t="s">
        <v>2434</v>
      </c>
      <c r="AB210" s="95" t="s">
        <v>2493</v>
      </c>
      <c r="AC210" s="95" t="s">
        <v>2553</v>
      </c>
      <c r="AD210" s="95" t="s">
        <v>2614</v>
      </c>
      <c r="AE210" s="95" t="s">
        <v>2676</v>
      </c>
      <c r="AF210" s="95" t="s">
        <v>2735</v>
      </c>
      <c r="AG210" s="96" t="s">
        <v>2799</v>
      </c>
    </row>
    <row r="211" spans="1:33" x14ac:dyDescent="0.25">
      <c r="A211" s="19">
        <v>55</v>
      </c>
      <c r="B211" s="94" t="s">
        <v>1281</v>
      </c>
      <c r="C211" s="95" t="s">
        <v>1315</v>
      </c>
      <c r="D211" s="95" t="s">
        <v>1384</v>
      </c>
      <c r="E211" s="95" t="s">
        <v>1410</v>
      </c>
      <c r="F211" s="95" t="s">
        <v>1437</v>
      </c>
      <c r="G211" s="95" t="s">
        <v>1350</v>
      </c>
      <c r="H211" s="95" t="s">
        <v>1504</v>
      </c>
      <c r="I211" s="95" t="s">
        <v>1540</v>
      </c>
      <c r="J211" s="95" t="s">
        <v>1581</v>
      </c>
      <c r="K211" s="95" t="s">
        <v>1623</v>
      </c>
      <c r="L211" s="95" t="s">
        <v>1666</v>
      </c>
      <c r="M211" s="95" t="s">
        <v>1710</v>
      </c>
      <c r="N211" s="95" t="s">
        <v>1755</v>
      </c>
      <c r="O211" s="95" t="s">
        <v>1801</v>
      </c>
      <c r="P211" s="95" t="s">
        <v>1848</v>
      </c>
      <c r="Q211" s="95" t="s">
        <v>1896</v>
      </c>
      <c r="R211" s="95" t="s">
        <v>1945</v>
      </c>
      <c r="S211" s="95" t="s">
        <v>1995</v>
      </c>
      <c r="T211" s="95" t="s">
        <v>2046</v>
      </c>
      <c r="U211" s="95" t="s">
        <v>2098</v>
      </c>
      <c r="V211" s="95" t="s">
        <v>2155</v>
      </c>
      <c r="W211" s="95" t="s">
        <v>2209</v>
      </c>
      <c r="X211" s="95" t="s">
        <v>2264</v>
      </c>
      <c r="Y211" s="95" t="s">
        <v>2320</v>
      </c>
      <c r="Z211" s="95" t="s">
        <v>2377</v>
      </c>
      <c r="AA211" s="95" t="s">
        <v>2435</v>
      </c>
      <c r="AB211" s="95" t="s">
        <v>2494</v>
      </c>
      <c r="AC211" s="95" t="s">
        <v>2554</v>
      </c>
      <c r="AD211" s="95" t="s">
        <v>2615</v>
      </c>
      <c r="AE211" s="95" t="s">
        <v>2677</v>
      </c>
      <c r="AF211" s="95" t="s">
        <v>2736</v>
      </c>
      <c r="AG211" s="96" t="s">
        <v>2800</v>
      </c>
    </row>
    <row r="212" spans="1:33" x14ac:dyDescent="0.25">
      <c r="A212" s="19">
        <v>56</v>
      </c>
      <c r="B212" s="94" t="s">
        <v>1282</v>
      </c>
      <c r="C212" s="95" t="s">
        <v>1316</v>
      </c>
      <c r="D212" s="95" t="s">
        <v>1385</v>
      </c>
      <c r="E212" s="95" t="s">
        <v>1411</v>
      </c>
      <c r="F212" s="95" t="s">
        <v>1438</v>
      </c>
      <c r="G212" s="95" t="s">
        <v>1351</v>
      </c>
      <c r="H212" s="95" t="s">
        <v>1505</v>
      </c>
      <c r="I212" s="95" t="s">
        <v>1541</v>
      </c>
      <c r="J212" s="95" t="s">
        <v>1582</v>
      </c>
      <c r="K212" s="95" t="s">
        <v>1624</v>
      </c>
      <c r="L212" s="95" t="s">
        <v>1667</v>
      </c>
      <c r="M212" s="95" t="s">
        <v>1711</v>
      </c>
      <c r="N212" s="95" t="s">
        <v>1756</v>
      </c>
      <c r="O212" s="95" t="s">
        <v>1802</v>
      </c>
      <c r="P212" s="95" t="s">
        <v>1849</v>
      </c>
      <c r="Q212" s="95" t="s">
        <v>1897</v>
      </c>
      <c r="R212" s="95" t="s">
        <v>1946</v>
      </c>
      <c r="S212" s="95" t="s">
        <v>1996</v>
      </c>
      <c r="T212" s="95" t="s">
        <v>2047</v>
      </c>
      <c r="U212" s="95" t="s">
        <v>2099</v>
      </c>
      <c r="V212" s="95" t="s">
        <v>2156</v>
      </c>
      <c r="W212" s="95" t="s">
        <v>2210</v>
      </c>
      <c r="X212" s="95" t="s">
        <v>2265</v>
      </c>
      <c r="Y212" s="95" t="s">
        <v>2321</v>
      </c>
      <c r="Z212" s="95" t="s">
        <v>2378</v>
      </c>
      <c r="AA212" s="95" t="s">
        <v>2436</v>
      </c>
      <c r="AB212" s="95" t="s">
        <v>2495</v>
      </c>
      <c r="AC212" s="95" t="s">
        <v>2555</v>
      </c>
      <c r="AD212" s="95" t="s">
        <v>2616</v>
      </c>
      <c r="AE212" s="95" t="s">
        <v>2678</v>
      </c>
      <c r="AF212" s="95" t="s">
        <v>2737</v>
      </c>
      <c r="AG212" s="96" t="s">
        <v>2801</v>
      </c>
    </row>
    <row r="213" spans="1:33" x14ac:dyDescent="0.25">
      <c r="A213" s="19">
        <v>57</v>
      </c>
      <c r="B213" s="94" t="s">
        <v>1283</v>
      </c>
      <c r="C213" s="95" t="s">
        <v>1317</v>
      </c>
      <c r="D213" s="95" t="s">
        <v>1386</v>
      </c>
      <c r="E213" s="95" t="s">
        <v>1412</v>
      </c>
      <c r="F213" s="95" t="s">
        <v>1439</v>
      </c>
      <c r="G213" s="95" t="s">
        <v>1352</v>
      </c>
      <c r="H213" s="95" t="s">
        <v>1506</v>
      </c>
      <c r="I213" s="95" t="s">
        <v>1542</v>
      </c>
      <c r="J213" s="95" t="s">
        <v>1583</v>
      </c>
      <c r="K213" s="95" t="s">
        <v>1625</v>
      </c>
      <c r="L213" s="95" t="s">
        <v>1668</v>
      </c>
      <c r="M213" s="95" t="s">
        <v>1712</v>
      </c>
      <c r="N213" s="95" t="s">
        <v>1757</v>
      </c>
      <c r="O213" s="95" t="s">
        <v>1803</v>
      </c>
      <c r="P213" s="95" t="s">
        <v>1850</v>
      </c>
      <c r="Q213" s="95" t="s">
        <v>1898</v>
      </c>
      <c r="R213" s="95" t="s">
        <v>1947</v>
      </c>
      <c r="S213" s="95" t="s">
        <v>1997</v>
      </c>
      <c r="T213" s="95" t="s">
        <v>2048</v>
      </c>
      <c r="U213" s="95" t="s">
        <v>2100</v>
      </c>
      <c r="V213" s="95" t="s">
        <v>2157</v>
      </c>
      <c r="W213" s="95" t="s">
        <v>2211</v>
      </c>
      <c r="X213" s="95" t="s">
        <v>2266</v>
      </c>
      <c r="Y213" s="95" t="s">
        <v>2322</v>
      </c>
      <c r="Z213" s="95" t="s">
        <v>2379</v>
      </c>
      <c r="AA213" s="95" t="s">
        <v>2437</v>
      </c>
      <c r="AB213" s="95" t="s">
        <v>2496</v>
      </c>
      <c r="AC213" s="95" t="s">
        <v>2556</v>
      </c>
      <c r="AD213" s="95" t="s">
        <v>2617</v>
      </c>
      <c r="AE213" s="95" t="s">
        <v>2679</v>
      </c>
      <c r="AF213" s="95" t="s">
        <v>2738</v>
      </c>
      <c r="AG213" s="96" t="s">
        <v>2802</v>
      </c>
    </row>
    <row r="214" spans="1:33" x14ac:dyDescent="0.25">
      <c r="A214" s="19">
        <v>58</v>
      </c>
      <c r="B214" s="94" t="s">
        <v>1284</v>
      </c>
      <c r="C214" s="95" t="s">
        <v>1318</v>
      </c>
      <c r="D214" s="95" t="s">
        <v>1387</v>
      </c>
      <c r="E214" s="95" t="s">
        <v>1413</v>
      </c>
      <c r="F214" s="95" t="s">
        <v>1440</v>
      </c>
      <c r="G214" s="95" t="s">
        <v>1353</v>
      </c>
      <c r="H214" s="95" t="s">
        <v>1507</v>
      </c>
      <c r="I214" s="95" t="s">
        <v>1543</v>
      </c>
      <c r="J214" s="95" t="s">
        <v>1584</v>
      </c>
      <c r="K214" s="95" t="s">
        <v>1626</v>
      </c>
      <c r="L214" s="95" t="s">
        <v>1669</v>
      </c>
      <c r="M214" s="95" t="s">
        <v>1713</v>
      </c>
      <c r="N214" s="95" t="s">
        <v>1758</v>
      </c>
      <c r="O214" s="95" t="s">
        <v>1804</v>
      </c>
      <c r="P214" s="95" t="s">
        <v>1851</v>
      </c>
      <c r="Q214" s="95" t="s">
        <v>1899</v>
      </c>
      <c r="R214" s="95" t="s">
        <v>1948</v>
      </c>
      <c r="S214" s="95" t="s">
        <v>1998</v>
      </c>
      <c r="T214" s="95" t="s">
        <v>2049</v>
      </c>
      <c r="U214" s="95" t="s">
        <v>2101</v>
      </c>
      <c r="V214" s="95" t="s">
        <v>2158</v>
      </c>
      <c r="W214" s="95" t="s">
        <v>2212</v>
      </c>
      <c r="X214" s="95" t="s">
        <v>2267</v>
      </c>
      <c r="Y214" s="95" t="s">
        <v>2323</v>
      </c>
      <c r="Z214" s="95" t="s">
        <v>2380</v>
      </c>
      <c r="AA214" s="95" t="s">
        <v>2438</v>
      </c>
      <c r="AB214" s="95" t="s">
        <v>2497</v>
      </c>
      <c r="AC214" s="95" t="s">
        <v>2557</v>
      </c>
      <c r="AD214" s="95" t="s">
        <v>2618</v>
      </c>
      <c r="AE214" s="95" t="s">
        <v>2680</v>
      </c>
      <c r="AF214" s="95" t="s">
        <v>2739</v>
      </c>
      <c r="AG214" s="96" t="s">
        <v>2803</v>
      </c>
    </row>
    <row r="215" spans="1:33" x14ac:dyDescent="0.25">
      <c r="A215" s="19">
        <v>59</v>
      </c>
      <c r="B215" s="94" t="s">
        <v>1285</v>
      </c>
      <c r="C215" s="95" t="s">
        <v>1319</v>
      </c>
      <c r="D215" s="95" t="s">
        <v>1388</v>
      </c>
      <c r="E215" s="95" t="s">
        <v>1414</v>
      </c>
      <c r="F215" s="95" t="s">
        <v>1441</v>
      </c>
      <c r="G215" s="95" t="s">
        <v>1354</v>
      </c>
      <c r="H215" s="95" t="s">
        <v>1508</v>
      </c>
      <c r="I215" s="95" t="s">
        <v>1544</v>
      </c>
      <c r="J215" s="95" t="s">
        <v>1585</v>
      </c>
      <c r="K215" s="95" t="s">
        <v>1627</v>
      </c>
      <c r="L215" s="95" t="s">
        <v>1670</v>
      </c>
      <c r="M215" s="95" t="s">
        <v>1714</v>
      </c>
      <c r="N215" s="95" t="s">
        <v>1759</v>
      </c>
      <c r="O215" s="95" t="s">
        <v>1805</v>
      </c>
      <c r="P215" s="95" t="s">
        <v>1852</v>
      </c>
      <c r="Q215" s="95" t="s">
        <v>1900</v>
      </c>
      <c r="R215" s="95" t="s">
        <v>1949</v>
      </c>
      <c r="S215" s="95" t="s">
        <v>1999</v>
      </c>
      <c r="T215" s="95" t="s">
        <v>2050</v>
      </c>
      <c r="U215" s="95" t="s">
        <v>2102</v>
      </c>
      <c r="V215" s="95" t="s">
        <v>2159</v>
      </c>
      <c r="W215" s="95" t="s">
        <v>2213</v>
      </c>
      <c r="X215" s="95" t="s">
        <v>2268</v>
      </c>
      <c r="Y215" s="95" t="s">
        <v>2324</v>
      </c>
      <c r="Z215" s="95" t="s">
        <v>2381</v>
      </c>
      <c r="AA215" s="95" t="s">
        <v>2439</v>
      </c>
      <c r="AB215" s="95" t="s">
        <v>2498</v>
      </c>
      <c r="AC215" s="95" t="s">
        <v>2558</v>
      </c>
      <c r="AD215" s="95" t="s">
        <v>2619</v>
      </c>
      <c r="AE215" s="95" t="s">
        <v>2681</v>
      </c>
      <c r="AF215" s="95" t="s">
        <v>2740</v>
      </c>
      <c r="AG215" s="96" t="s">
        <v>2804</v>
      </c>
    </row>
    <row r="216" spans="1:33" x14ac:dyDescent="0.25">
      <c r="A216" s="19">
        <v>60</v>
      </c>
      <c r="B216" s="94" t="s">
        <v>1286</v>
      </c>
      <c r="C216" s="95" t="s">
        <v>1320</v>
      </c>
      <c r="D216" s="95" t="s">
        <v>1389</v>
      </c>
      <c r="E216" s="95" t="s">
        <v>1415</v>
      </c>
      <c r="F216" s="95" t="s">
        <v>1442</v>
      </c>
      <c r="G216" s="95" t="s">
        <v>1470</v>
      </c>
      <c r="H216" s="95" t="s">
        <v>1355</v>
      </c>
      <c r="I216" s="95" t="s">
        <v>1545</v>
      </c>
      <c r="J216" s="95" t="s">
        <v>1586</v>
      </c>
      <c r="K216" s="95" t="s">
        <v>1628</v>
      </c>
      <c r="L216" s="95" t="s">
        <v>1671</v>
      </c>
      <c r="M216" s="95" t="s">
        <v>1715</v>
      </c>
      <c r="N216" s="95" t="s">
        <v>1760</v>
      </c>
      <c r="O216" s="95" t="s">
        <v>1806</v>
      </c>
      <c r="P216" s="95" t="s">
        <v>1853</v>
      </c>
      <c r="Q216" s="95" t="s">
        <v>1901</v>
      </c>
      <c r="R216" s="95" t="s">
        <v>1950</v>
      </c>
      <c r="S216" s="95" t="s">
        <v>2000</v>
      </c>
      <c r="T216" s="95" t="s">
        <v>2051</v>
      </c>
      <c r="U216" s="95" t="s">
        <v>2103</v>
      </c>
      <c r="V216" s="95" t="s">
        <v>2160</v>
      </c>
      <c r="W216" s="95" t="s">
        <v>2214</v>
      </c>
      <c r="X216" s="95" t="s">
        <v>2269</v>
      </c>
      <c r="Y216" s="95" t="s">
        <v>2325</v>
      </c>
      <c r="Z216" s="95" t="s">
        <v>2382</v>
      </c>
      <c r="AA216" s="95" t="s">
        <v>2440</v>
      </c>
      <c r="AB216" s="95" t="s">
        <v>2499</v>
      </c>
      <c r="AC216" s="95" t="s">
        <v>2559</v>
      </c>
      <c r="AD216" s="95" t="s">
        <v>2620</v>
      </c>
      <c r="AE216" s="95" t="s">
        <v>2682</v>
      </c>
      <c r="AF216" s="95" t="s">
        <v>2741</v>
      </c>
      <c r="AG216" s="96" t="s">
        <v>2805</v>
      </c>
    </row>
    <row r="217" spans="1:33" x14ac:dyDescent="0.25">
      <c r="A217" s="19">
        <v>61</v>
      </c>
      <c r="B217" s="94" t="s">
        <v>1287</v>
      </c>
      <c r="C217" s="95" t="s">
        <v>1321</v>
      </c>
      <c r="D217" s="95" t="s">
        <v>1390</v>
      </c>
      <c r="E217" s="95" t="s">
        <v>1416</v>
      </c>
      <c r="F217" s="95" t="s">
        <v>1443</v>
      </c>
      <c r="G217" s="95" t="s">
        <v>1471</v>
      </c>
      <c r="H217" s="95" t="s">
        <v>1356</v>
      </c>
      <c r="I217" s="95" t="s">
        <v>1546</v>
      </c>
      <c r="J217" s="95" t="s">
        <v>1587</v>
      </c>
      <c r="K217" s="95" t="s">
        <v>1629</v>
      </c>
      <c r="L217" s="95" t="s">
        <v>1672</v>
      </c>
      <c r="M217" s="95" t="s">
        <v>1716</v>
      </c>
      <c r="N217" s="95" t="s">
        <v>1761</v>
      </c>
      <c r="O217" s="95" t="s">
        <v>1807</v>
      </c>
      <c r="P217" s="95" t="s">
        <v>1854</v>
      </c>
      <c r="Q217" s="95" t="s">
        <v>1902</v>
      </c>
      <c r="R217" s="95" t="s">
        <v>1951</v>
      </c>
      <c r="S217" s="95" t="s">
        <v>2001</v>
      </c>
      <c r="T217" s="95" t="s">
        <v>2052</v>
      </c>
      <c r="U217" s="95" t="s">
        <v>2104</v>
      </c>
      <c r="V217" s="95" t="s">
        <v>2161</v>
      </c>
      <c r="W217" s="95" t="s">
        <v>2215</v>
      </c>
      <c r="X217" s="95" t="s">
        <v>2270</v>
      </c>
      <c r="Y217" s="95" t="s">
        <v>2326</v>
      </c>
      <c r="Z217" s="95" t="s">
        <v>2383</v>
      </c>
      <c r="AA217" s="95" t="s">
        <v>2441</v>
      </c>
      <c r="AB217" s="95" t="s">
        <v>2500</v>
      </c>
      <c r="AC217" s="95" t="s">
        <v>2560</v>
      </c>
      <c r="AD217" s="95" t="s">
        <v>2621</v>
      </c>
      <c r="AE217" s="95" t="s">
        <v>2683</v>
      </c>
      <c r="AF217" s="95" t="s">
        <v>2742</v>
      </c>
      <c r="AG217" s="96" t="s">
        <v>2806</v>
      </c>
    </row>
    <row r="218" spans="1:33" x14ac:dyDescent="0.25">
      <c r="A218" s="19">
        <v>62</v>
      </c>
      <c r="B218" s="94" t="s">
        <v>1288</v>
      </c>
      <c r="C218" s="95" t="s">
        <v>1322</v>
      </c>
      <c r="D218" s="95" t="s">
        <v>1391</v>
      </c>
      <c r="E218" s="95" t="s">
        <v>1417</v>
      </c>
      <c r="F218" s="95" t="s">
        <v>1444</v>
      </c>
      <c r="G218" s="95" t="s">
        <v>1472</v>
      </c>
      <c r="H218" s="95" t="s">
        <v>1357</v>
      </c>
      <c r="I218" s="95" t="s">
        <v>1547</v>
      </c>
      <c r="J218" s="95" t="s">
        <v>1588</v>
      </c>
      <c r="K218" s="95" t="s">
        <v>1630</v>
      </c>
      <c r="L218" s="95" t="s">
        <v>1673</v>
      </c>
      <c r="M218" s="95" t="s">
        <v>1717</v>
      </c>
      <c r="N218" s="95" t="s">
        <v>1762</v>
      </c>
      <c r="O218" s="95" t="s">
        <v>1808</v>
      </c>
      <c r="P218" s="95" t="s">
        <v>1855</v>
      </c>
      <c r="Q218" s="95" t="s">
        <v>1903</v>
      </c>
      <c r="R218" s="95" t="s">
        <v>1952</v>
      </c>
      <c r="S218" s="95" t="s">
        <v>2002</v>
      </c>
      <c r="T218" s="95" t="s">
        <v>2053</v>
      </c>
      <c r="U218" s="95" t="s">
        <v>2105</v>
      </c>
      <c r="V218" s="95" t="s">
        <v>2162</v>
      </c>
      <c r="W218" s="95" t="s">
        <v>2216</v>
      </c>
      <c r="X218" s="95" t="s">
        <v>2271</v>
      </c>
      <c r="Y218" s="95" t="s">
        <v>2327</v>
      </c>
      <c r="Z218" s="95" t="s">
        <v>2384</v>
      </c>
      <c r="AA218" s="95" t="s">
        <v>2442</v>
      </c>
      <c r="AB218" s="95" t="s">
        <v>2501</v>
      </c>
      <c r="AC218" s="95" t="s">
        <v>2561</v>
      </c>
      <c r="AD218" s="95" t="s">
        <v>2622</v>
      </c>
      <c r="AE218" s="95" t="s">
        <v>2684</v>
      </c>
      <c r="AF218" s="95" t="s">
        <v>2743</v>
      </c>
      <c r="AG218" s="96" t="s">
        <v>2807</v>
      </c>
    </row>
    <row r="219" spans="1:33" ht="15" thickBot="1" x14ac:dyDescent="0.3">
      <c r="A219" s="20">
        <v>63</v>
      </c>
      <c r="B219" s="97" t="s">
        <v>1289</v>
      </c>
      <c r="C219" s="98" t="s">
        <v>1323</v>
      </c>
      <c r="D219" s="98" t="s">
        <v>1392</v>
      </c>
      <c r="E219" s="98" t="s">
        <v>1418</v>
      </c>
      <c r="F219" s="98" t="s">
        <v>1445</v>
      </c>
      <c r="G219" s="98" t="s">
        <v>1473</v>
      </c>
      <c r="H219" s="98" t="s">
        <v>1358</v>
      </c>
      <c r="I219" s="98" t="s">
        <v>1548</v>
      </c>
      <c r="J219" s="98" t="s">
        <v>1589</v>
      </c>
      <c r="K219" s="98" t="s">
        <v>1631</v>
      </c>
      <c r="L219" s="98" t="s">
        <v>1674</v>
      </c>
      <c r="M219" s="98" t="s">
        <v>1718</v>
      </c>
      <c r="N219" s="98" t="s">
        <v>1763</v>
      </c>
      <c r="O219" s="98" t="s">
        <v>1809</v>
      </c>
      <c r="P219" s="98" t="s">
        <v>1856</v>
      </c>
      <c r="Q219" s="98" t="s">
        <v>1904</v>
      </c>
      <c r="R219" s="98" t="s">
        <v>1953</v>
      </c>
      <c r="S219" s="98" t="s">
        <v>2003</v>
      </c>
      <c r="T219" s="98" t="s">
        <v>2054</v>
      </c>
      <c r="U219" s="98" t="s">
        <v>2106</v>
      </c>
      <c r="V219" s="98" t="s">
        <v>2163</v>
      </c>
      <c r="W219" s="98" t="s">
        <v>2217</v>
      </c>
      <c r="X219" s="98" t="s">
        <v>2272</v>
      </c>
      <c r="Y219" s="98" t="s">
        <v>2328</v>
      </c>
      <c r="Z219" s="98" t="s">
        <v>2385</v>
      </c>
      <c r="AA219" s="98" t="s">
        <v>2443</v>
      </c>
      <c r="AB219" s="98" t="s">
        <v>2502</v>
      </c>
      <c r="AC219" s="98" t="s">
        <v>2562</v>
      </c>
      <c r="AD219" s="98" t="s">
        <v>2623</v>
      </c>
      <c r="AE219" s="98" t="s">
        <v>2685</v>
      </c>
      <c r="AF219" s="98" t="s">
        <v>2744</v>
      </c>
      <c r="AG219" s="99" t="s">
        <v>2808</v>
      </c>
    </row>
    <row r="220" spans="1:33" ht="15" thickBot="1" x14ac:dyDescent="0.3"/>
    <row r="221" spans="1:33" ht="15" thickBot="1" x14ac:dyDescent="0.3">
      <c r="A221" s="82" t="s">
        <v>2809</v>
      </c>
      <c r="B221" s="83"/>
      <c r="C221" s="90"/>
      <c r="D221" s="90"/>
      <c r="E221" s="90"/>
      <c r="F221" s="90"/>
      <c r="G221" s="90"/>
      <c r="H221" s="90"/>
      <c r="I221" s="84"/>
    </row>
    <row r="222" spans="1:33" x14ac:dyDescent="0.25">
      <c r="A222" s="19">
        <v>0</v>
      </c>
      <c r="B222" s="91" t="s">
        <v>263</v>
      </c>
      <c r="C222" s="92" t="s">
        <v>310</v>
      </c>
      <c r="D222" s="92" t="s">
        <v>355</v>
      </c>
      <c r="E222" s="92" t="s">
        <v>385</v>
      </c>
      <c r="F222" s="92" t="s">
        <v>415</v>
      </c>
      <c r="G222" s="92" t="s">
        <v>445</v>
      </c>
      <c r="H222" s="92" t="s">
        <v>475</v>
      </c>
      <c r="I222" s="93" t="s">
        <v>505</v>
      </c>
    </row>
    <row r="223" spans="1:33" x14ac:dyDescent="0.25">
      <c r="A223" s="19">
        <v>1</v>
      </c>
      <c r="B223" s="94" t="s">
        <v>279</v>
      </c>
      <c r="C223" s="95" t="s">
        <v>264</v>
      </c>
      <c r="D223" s="95" t="s">
        <v>341</v>
      </c>
      <c r="E223" s="95" t="s">
        <v>342</v>
      </c>
      <c r="F223" s="95" t="s">
        <v>343</v>
      </c>
      <c r="G223" s="95" t="s">
        <v>344</v>
      </c>
      <c r="H223" s="95" t="s">
        <v>345</v>
      </c>
      <c r="I223" s="96" t="s">
        <v>346</v>
      </c>
    </row>
    <row r="224" spans="1:33" x14ac:dyDescent="0.25">
      <c r="A224" s="19">
        <v>2</v>
      </c>
      <c r="B224" s="94" t="s">
        <v>280</v>
      </c>
      <c r="C224" s="95" t="s">
        <v>311</v>
      </c>
      <c r="D224" s="95" t="s">
        <v>265</v>
      </c>
      <c r="E224" s="95" t="s">
        <v>386</v>
      </c>
      <c r="F224" s="95" t="s">
        <v>416</v>
      </c>
      <c r="G224" s="95" t="s">
        <v>446</v>
      </c>
      <c r="H224" s="95" t="s">
        <v>476</v>
      </c>
      <c r="I224" s="96" t="s">
        <v>506</v>
      </c>
    </row>
    <row r="225" spans="1:9" x14ac:dyDescent="0.25">
      <c r="A225" s="19">
        <v>3</v>
      </c>
      <c r="B225" s="94" t="s">
        <v>281</v>
      </c>
      <c r="C225" s="95" t="s">
        <v>312</v>
      </c>
      <c r="D225" s="95" t="s">
        <v>356</v>
      </c>
      <c r="E225" s="95" t="s">
        <v>266</v>
      </c>
      <c r="F225" s="95" t="s">
        <v>417</v>
      </c>
      <c r="G225" s="95" t="s">
        <v>447</v>
      </c>
      <c r="H225" s="95" t="s">
        <v>477</v>
      </c>
      <c r="I225" s="96" t="s">
        <v>507</v>
      </c>
    </row>
    <row r="226" spans="1:9" x14ac:dyDescent="0.25">
      <c r="A226" s="19">
        <v>4</v>
      </c>
      <c r="B226" s="94" t="s">
        <v>282</v>
      </c>
      <c r="C226" s="95" t="s">
        <v>313</v>
      </c>
      <c r="D226" s="95" t="s">
        <v>357</v>
      </c>
      <c r="E226" s="95" t="s">
        <v>387</v>
      </c>
      <c r="F226" s="95" t="s">
        <v>267</v>
      </c>
      <c r="G226" s="95" t="s">
        <v>448</v>
      </c>
      <c r="H226" s="95" t="s">
        <v>478</v>
      </c>
      <c r="I226" s="96" t="s">
        <v>508</v>
      </c>
    </row>
    <row r="227" spans="1:9" x14ac:dyDescent="0.25">
      <c r="A227" s="19">
        <v>5</v>
      </c>
      <c r="B227" s="94" t="s">
        <v>283</v>
      </c>
      <c r="C227" s="95" t="s">
        <v>314</v>
      </c>
      <c r="D227" s="95" t="s">
        <v>358</v>
      </c>
      <c r="E227" s="95" t="s">
        <v>388</v>
      </c>
      <c r="F227" s="95" t="s">
        <v>418</v>
      </c>
      <c r="G227" s="95" t="s">
        <v>268</v>
      </c>
      <c r="H227" s="95" t="s">
        <v>479</v>
      </c>
      <c r="I227" s="96" t="s">
        <v>509</v>
      </c>
    </row>
    <row r="228" spans="1:9" x14ac:dyDescent="0.25">
      <c r="A228" s="19">
        <v>6</v>
      </c>
      <c r="B228" s="94" t="s">
        <v>284</v>
      </c>
      <c r="C228" s="95" t="s">
        <v>315</v>
      </c>
      <c r="D228" s="95" t="s">
        <v>359</v>
      </c>
      <c r="E228" s="95" t="s">
        <v>389</v>
      </c>
      <c r="F228" s="95" t="s">
        <v>419</v>
      </c>
      <c r="G228" s="95" t="s">
        <v>449</v>
      </c>
      <c r="H228" s="95" t="s">
        <v>269</v>
      </c>
      <c r="I228" s="96" t="s">
        <v>510</v>
      </c>
    </row>
    <row r="229" spans="1:9" x14ac:dyDescent="0.25">
      <c r="A229" s="19">
        <v>7</v>
      </c>
      <c r="B229" s="94" t="s">
        <v>285</v>
      </c>
      <c r="C229" s="95" t="s">
        <v>316</v>
      </c>
      <c r="D229" s="95" t="s">
        <v>360</v>
      </c>
      <c r="E229" s="95" t="s">
        <v>390</v>
      </c>
      <c r="F229" s="95" t="s">
        <v>420</v>
      </c>
      <c r="G229" s="95" t="s">
        <v>450</v>
      </c>
      <c r="H229" s="95" t="s">
        <v>480</v>
      </c>
      <c r="I229" s="96" t="s">
        <v>270</v>
      </c>
    </row>
    <row r="230" spans="1:9" x14ac:dyDescent="0.25">
      <c r="A230" s="19">
        <v>8</v>
      </c>
      <c r="B230" s="94" t="s">
        <v>286</v>
      </c>
      <c r="C230" s="95" t="s">
        <v>317</v>
      </c>
      <c r="D230" s="95" t="s">
        <v>361</v>
      </c>
      <c r="E230" s="95" t="s">
        <v>391</v>
      </c>
      <c r="F230" s="95" t="s">
        <v>421</v>
      </c>
      <c r="G230" s="95" t="s">
        <v>451</v>
      </c>
      <c r="H230" s="95" t="s">
        <v>481</v>
      </c>
      <c r="I230" s="96" t="s">
        <v>511</v>
      </c>
    </row>
    <row r="231" spans="1:9" x14ac:dyDescent="0.25">
      <c r="A231" s="19">
        <v>9</v>
      </c>
      <c r="B231" s="94" t="s">
        <v>287</v>
      </c>
      <c r="C231" s="95" t="s">
        <v>318</v>
      </c>
      <c r="D231" s="95" t="s">
        <v>362</v>
      </c>
      <c r="E231" s="95" t="s">
        <v>392</v>
      </c>
      <c r="F231" s="95" t="s">
        <v>422</v>
      </c>
      <c r="G231" s="95" t="s">
        <v>452</v>
      </c>
      <c r="H231" s="95" t="s">
        <v>482</v>
      </c>
      <c r="I231" s="96" t="s">
        <v>512</v>
      </c>
    </row>
    <row r="232" spans="1:9" x14ac:dyDescent="0.25">
      <c r="A232" s="19">
        <v>10</v>
      </c>
      <c r="B232" s="94" t="s">
        <v>288</v>
      </c>
      <c r="C232" s="95" t="s">
        <v>319</v>
      </c>
      <c r="D232" s="95" t="s">
        <v>363</v>
      </c>
      <c r="E232" s="95" t="s">
        <v>393</v>
      </c>
      <c r="F232" s="95" t="s">
        <v>423</v>
      </c>
      <c r="G232" s="95" t="s">
        <v>453</v>
      </c>
      <c r="H232" s="95" t="s">
        <v>483</v>
      </c>
      <c r="I232" s="96" t="s">
        <v>513</v>
      </c>
    </row>
    <row r="233" spans="1:9" x14ac:dyDescent="0.25">
      <c r="A233" s="19">
        <v>11</v>
      </c>
      <c r="B233" s="94" t="s">
        <v>289</v>
      </c>
      <c r="C233" s="95" t="s">
        <v>320</v>
      </c>
      <c r="D233" s="95" t="s">
        <v>364</v>
      </c>
      <c r="E233" s="95" t="s">
        <v>394</v>
      </c>
      <c r="F233" s="95" t="s">
        <v>424</v>
      </c>
      <c r="G233" s="95" t="s">
        <v>454</v>
      </c>
      <c r="H233" s="95" t="s">
        <v>484</v>
      </c>
      <c r="I233" s="96" t="s">
        <v>514</v>
      </c>
    </row>
    <row r="234" spans="1:9" x14ac:dyDescent="0.25">
      <c r="A234" s="19">
        <v>12</v>
      </c>
      <c r="B234" s="94" t="s">
        <v>290</v>
      </c>
      <c r="C234" s="95" t="s">
        <v>321</v>
      </c>
      <c r="D234" s="95" t="s">
        <v>365</v>
      </c>
      <c r="E234" s="95" t="s">
        <v>395</v>
      </c>
      <c r="F234" s="95" t="s">
        <v>425</v>
      </c>
      <c r="G234" s="95" t="s">
        <v>455</v>
      </c>
      <c r="H234" s="95" t="s">
        <v>485</v>
      </c>
      <c r="I234" s="96" t="s">
        <v>515</v>
      </c>
    </row>
    <row r="235" spans="1:9" x14ac:dyDescent="0.25">
      <c r="A235" s="19">
        <v>13</v>
      </c>
      <c r="B235" s="94" t="s">
        <v>291</v>
      </c>
      <c r="C235" s="95" t="s">
        <v>322</v>
      </c>
      <c r="D235" s="95" t="s">
        <v>366</v>
      </c>
      <c r="E235" s="95" t="s">
        <v>396</v>
      </c>
      <c r="F235" s="95" t="s">
        <v>426</v>
      </c>
      <c r="G235" s="95" t="s">
        <v>456</v>
      </c>
      <c r="H235" s="95" t="s">
        <v>486</v>
      </c>
      <c r="I235" s="96" t="s">
        <v>516</v>
      </c>
    </row>
    <row r="236" spans="1:9" x14ac:dyDescent="0.25">
      <c r="A236" s="19">
        <v>14</v>
      </c>
      <c r="B236" s="94" t="s">
        <v>292</v>
      </c>
      <c r="C236" s="95" t="s">
        <v>323</v>
      </c>
      <c r="D236" s="95" t="s">
        <v>367</v>
      </c>
      <c r="E236" s="95" t="s">
        <v>397</v>
      </c>
      <c r="F236" s="95" t="s">
        <v>427</v>
      </c>
      <c r="G236" s="95" t="s">
        <v>457</v>
      </c>
      <c r="H236" s="95" t="s">
        <v>487</v>
      </c>
      <c r="I236" s="96" t="s">
        <v>517</v>
      </c>
    </row>
    <row r="237" spans="1:9" x14ac:dyDescent="0.25">
      <c r="A237" s="19">
        <v>15</v>
      </c>
      <c r="B237" s="94" t="s">
        <v>293</v>
      </c>
      <c r="C237" s="95" t="s">
        <v>324</v>
      </c>
      <c r="D237" s="95" t="s">
        <v>368</v>
      </c>
      <c r="E237" s="95" t="s">
        <v>398</v>
      </c>
      <c r="F237" s="95" t="s">
        <v>428</v>
      </c>
      <c r="G237" s="95" t="s">
        <v>458</v>
      </c>
      <c r="H237" s="95" t="s">
        <v>488</v>
      </c>
      <c r="I237" s="96" t="s">
        <v>518</v>
      </c>
    </row>
    <row r="238" spans="1:9" x14ac:dyDescent="0.25">
      <c r="A238" s="19">
        <v>16</v>
      </c>
      <c r="B238" s="94" t="s">
        <v>294</v>
      </c>
      <c r="C238" s="95" t="s">
        <v>325</v>
      </c>
      <c r="D238" s="95" t="s">
        <v>369</v>
      </c>
      <c r="E238" s="95" t="s">
        <v>399</v>
      </c>
      <c r="F238" s="95" t="s">
        <v>429</v>
      </c>
      <c r="G238" s="95" t="s">
        <v>459</v>
      </c>
      <c r="H238" s="95" t="s">
        <v>489</v>
      </c>
      <c r="I238" s="96" t="s">
        <v>519</v>
      </c>
    </row>
    <row r="239" spans="1:9" x14ac:dyDescent="0.25">
      <c r="A239" s="19">
        <v>17</v>
      </c>
      <c r="B239" s="94" t="s">
        <v>295</v>
      </c>
      <c r="C239" s="95" t="s">
        <v>326</v>
      </c>
      <c r="D239" s="95" t="s">
        <v>370</v>
      </c>
      <c r="E239" s="95" t="s">
        <v>400</v>
      </c>
      <c r="F239" s="95" t="s">
        <v>430</v>
      </c>
      <c r="G239" s="95" t="s">
        <v>460</v>
      </c>
      <c r="H239" s="95" t="s">
        <v>490</v>
      </c>
      <c r="I239" s="96" t="s">
        <v>520</v>
      </c>
    </row>
    <row r="240" spans="1:9" x14ac:dyDescent="0.25">
      <c r="A240" s="19">
        <v>18</v>
      </c>
      <c r="B240" s="94" t="s">
        <v>296</v>
      </c>
      <c r="C240" s="95" t="s">
        <v>327</v>
      </c>
      <c r="D240" s="95" t="s">
        <v>371</v>
      </c>
      <c r="E240" s="95" t="s">
        <v>401</v>
      </c>
      <c r="F240" s="95" t="s">
        <v>431</v>
      </c>
      <c r="G240" s="95" t="s">
        <v>461</v>
      </c>
      <c r="H240" s="95" t="s">
        <v>491</v>
      </c>
      <c r="I240" s="96" t="s">
        <v>521</v>
      </c>
    </row>
    <row r="241" spans="1:9" x14ac:dyDescent="0.25">
      <c r="A241" s="19">
        <v>19</v>
      </c>
      <c r="B241" s="94" t="s">
        <v>297</v>
      </c>
      <c r="C241" s="95" t="s">
        <v>328</v>
      </c>
      <c r="D241" s="95" t="s">
        <v>372</v>
      </c>
      <c r="E241" s="95" t="s">
        <v>402</v>
      </c>
      <c r="F241" s="95" t="s">
        <v>432</v>
      </c>
      <c r="G241" s="95" t="s">
        <v>462</v>
      </c>
      <c r="H241" s="95" t="s">
        <v>492</v>
      </c>
      <c r="I241" s="96" t="s">
        <v>522</v>
      </c>
    </row>
    <row r="242" spans="1:9" x14ac:dyDescent="0.25">
      <c r="A242" s="19">
        <v>20</v>
      </c>
      <c r="B242" s="94" t="s">
        <v>298</v>
      </c>
      <c r="C242" s="95" t="s">
        <v>329</v>
      </c>
      <c r="D242" s="95" t="s">
        <v>373</v>
      </c>
      <c r="E242" s="95" t="s">
        <v>403</v>
      </c>
      <c r="F242" s="95" t="s">
        <v>433</v>
      </c>
      <c r="G242" s="95" t="s">
        <v>463</v>
      </c>
      <c r="H242" s="95" t="s">
        <v>493</v>
      </c>
      <c r="I242" s="96" t="s">
        <v>523</v>
      </c>
    </row>
    <row r="243" spans="1:9" x14ac:dyDescent="0.25">
      <c r="A243" s="19">
        <v>21</v>
      </c>
      <c r="B243" s="94" t="s">
        <v>299</v>
      </c>
      <c r="C243" s="95" t="s">
        <v>330</v>
      </c>
      <c r="D243" s="95" t="s">
        <v>374</v>
      </c>
      <c r="E243" s="95" t="s">
        <v>404</v>
      </c>
      <c r="F243" s="95" t="s">
        <v>434</v>
      </c>
      <c r="G243" s="95" t="s">
        <v>464</v>
      </c>
      <c r="H243" s="95" t="s">
        <v>494</v>
      </c>
      <c r="I243" s="96" t="s">
        <v>524</v>
      </c>
    </row>
    <row r="244" spans="1:9" x14ac:dyDescent="0.25">
      <c r="A244" s="19">
        <v>22</v>
      </c>
      <c r="B244" s="94" t="s">
        <v>300</v>
      </c>
      <c r="C244" s="95" t="s">
        <v>331</v>
      </c>
      <c r="D244" s="95" t="s">
        <v>375</v>
      </c>
      <c r="E244" s="95" t="s">
        <v>405</v>
      </c>
      <c r="F244" s="95" t="s">
        <v>435</v>
      </c>
      <c r="G244" s="95" t="s">
        <v>465</v>
      </c>
      <c r="H244" s="95" t="s">
        <v>495</v>
      </c>
      <c r="I244" s="96" t="s">
        <v>525</v>
      </c>
    </row>
    <row r="245" spans="1:9" x14ac:dyDescent="0.25">
      <c r="A245" s="19">
        <v>23</v>
      </c>
      <c r="B245" s="94" t="s">
        <v>301</v>
      </c>
      <c r="C245" s="95" t="s">
        <v>332</v>
      </c>
      <c r="D245" s="95" t="s">
        <v>376</v>
      </c>
      <c r="E245" s="95" t="s">
        <v>406</v>
      </c>
      <c r="F245" s="95" t="s">
        <v>436</v>
      </c>
      <c r="G245" s="95" t="s">
        <v>466</v>
      </c>
      <c r="H245" s="95" t="s">
        <v>496</v>
      </c>
      <c r="I245" s="96" t="s">
        <v>526</v>
      </c>
    </row>
    <row r="246" spans="1:9" x14ac:dyDescent="0.25">
      <c r="A246" s="19">
        <v>24</v>
      </c>
      <c r="B246" s="94" t="s">
        <v>302</v>
      </c>
      <c r="C246" s="95" t="s">
        <v>333</v>
      </c>
      <c r="D246" s="95" t="s">
        <v>377</v>
      </c>
      <c r="E246" s="95" t="s">
        <v>407</v>
      </c>
      <c r="F246" s="95" t="s">
        <v>437</v>
      </c>
      <c r="G246" s="95" t="s">
        <v>467</v>
      </c>
      <c r="H246" s="95" t="s">
        <v>497</v>
      </c>
      <c r="I246" s="96" t="s">
        <v>527</v>
      </c>
    </row>
    <row r="247" spans="1:9" x14ac:dyDescent="0.25">
      <c r="A247" s="19">
        <v>25</v>
      </c>
      <c r="B247" s="94" t="s">
        <v>303</v>
      </c>
      <c r="C247" s="95" t="s">
        <v>334</v>
      </c>
      <c r="D247" s="95" t="s">
        <v>378</v>
      </c>
      <c r="E247" s="95" t="s">
        <v>408</v>
      </c>
      <c r="F247" s="95" t="s">
        <v>438</v>
      </c>
      <c r="G247" s="95" t="s">
        <v>468</v>
      </c>
      <c r="H247" s="95" t="s">
        <v>498</v>
      </c>
      <c r="I247" s="96" t="s">
        <v>528</v>
      </c>
    </row>
    <row r="248" spans="1:9" x14ac:dyDescent="0.25">
      <c r="A248" s="19">
        <v>26</v>
      </c>
      <c r="B248" s="94" t="s">
        <v>304</v>
      </c>
      <c r="C248" s="95" t="s">
        <v>335</v>
      </c>
      <c r="D248" s="95" t="s">
        <v>379</v>
      </c>
      <c r="E248" s="95" t="s">
        <v>409</v>
      </c>
      <c r="F248" s="95" t="s">
        <v>439</v>
      </c>
      <c r="G248" s="95" t="s">
        <v>469</v>
      </c>
      <c r="H248" s="95" t="s">
        <v>499</v>
      </c>
      <c r="I248" s="96" t="s">
        <v>529</v>
      </c>
    </row>
    <row r="249" spans="1:9" x14ac:dyDescent="0.25">
      <c r="A249" s="19">
        <v>27</v>
      </c>
      <c r="B249" s="94" t="s">
        <v>305</v>
      </c>
      <c r="C249" s="95" t="s">
        <v>336</v>
      </c>
      <c r="D249" s="95" t="s">
        <v>380</v>
      </c>
      <c r="E249" s="95" t="s">
        <v>410</v>
      </c>
      <c r="F249" s="95" t="s">
        <v>440</v>
      </c>
      <c r="G249" s="95" t="s">
        <v>470</v>
      </c>
      <c r="H249" s="95" t="s">
        <v>500</v>
      </c>
      <c r="I249" s="96" t="s">
        <v>530</v>
      </c>
    </row>
    <row r="250" spans="1:9" x14ac:dyDescent="0.25">
      <c r="A250" s="19">
        <v>28</v>
      </c>
      <c r="B250" s="94" t="s">
        <v>306</v>
      </c>
      <c r="C250" s="95" t="s">
        <v>337</v>
      </c>
      <c r="D250" s="95" t="s">
        <v>381</v>
      </c>
      <c r="E250" s="95" t="s">
        <v>411</v>
      </c>
      <c r="F250" s="95" t="s">
        <v>441</v>
      </c>
      <c r="G250" s="95" t="s">
        <v>471</v>
      </c>
      <c r="H250" s="95" t="s">
        <v>501</v>
      </c>
      <c r="I250" s="96" t="s">
        <v>531</v>
      </c>
    </row>
    <row r="251" spans="1:9" x14ac:dyDescent="0.25">
      <c r="A251" s="19">
        <v>29</v>
      </c>
      <c r="B251" s="94" t="s">
        <v>307</v>
      </c>
      <c r="C251" s="95" t="s">
        <v>338</v>
      </c>
      <c r="D251" s="95" t="s">
        <v>382</v>
      </c>
      <c r="E251" s="95" t="s">
        <v>412</v>
      </c>
      <c r="F251" s="95" t="s">
        <v>442</v>
      </c>
      <c r="G251" s="95" t="s">
        <v>472</v>
      </c>
      <c r="H251" s="95" t="s">
        <v>502</v>
      </c>
      <c r="I251" s="96" t="s">
        <v>532</v>
      </c>
    </row>
    <row r="252" spans="1:9" x14ac:dyDescent="0.25">
      <c r="A252" s="19">
        <v>30</v>
      </c>
      <c r="B252" s="94" t="s">
        <v>308</v>
      </c>
      <c r="C252" s="95" t="s">
        <v>339</v>
      </c>
      <c r="D252" s="95" t="s">
        <v>383</v>
      </c>
      <c r="E252" s="95" t="s">
        <v>413</v>
      </c>
      <c r="F252" s="95" t="s">
        <v>443</v>
      </c>
      <c r="G252" s="95" t="s">
        <v>473</v>
      </c>
      <c r="H252" s="95" t="s">
        <v>503</v>
      </c>
      <c r="I252" s="96" t="s">
        <v>533</v>
      </c>
    </row>
    <row r="253" spans="1:9" ht="15" thickBot="1" x14ac:dyDescent="0.3">
      <c r="A253" s="20">
        <v>31</v>
      </c>
      <c r="B253" s="97" t="s">
        <v>309</v>
      </c>
      <c r="C253" s="98" t="s">
        <v>340</v>
      </c>
      <c r="D253" s="98" t="s">
        <v>384</v>
      </c>
      <c r="E253" s="98" t="s">
        <v>414</v>
      </c>
      <c r="F253" s="98" t="s">
        <v>444</v>
      </c>
      <c r="G253" s="98" t="s">
        <v>474</v>
      </c>
      <c r="H253" s="98" t="s">
        <v>504</v>
      </c>
      <c r="I253" s="99" t="s">
        <v>534</v>
      </c>
    </row>
    <row r="254" spans="1:9" ht="15" thickBot="1" x14ac:dyDescent="0.3"/>
    <row r="255" spans="1:9" ht="15" thickBot="1" x14ac:dyDescent="0.3">
      <c r="A255" s="82" t="s">
        <v>2810</v>
      </c>
      <c r="B255" s="83"/>
      <c r="C255" s="90"/>
      <c r="D255" s="90"/>
      <c r="E255" s="90"/>
      <c r="F255" s="90"/>
      <c r="G255" s="90"/>
      <c r="H255" s="90"/>
      <c r="I255" s="84"/>
    </row>
    <row r="256" spans="1:9" x14ac:dyDescent="0.25">
      <c r="A256" s="19">
        <v>0</v>
      </c>
      <c r="B256" s="16" t="s">
        <v>230</v>
      </c>
      <c r="C256" s="87" t="s">
        <v>234</v>
      </c>
      <c r="D256" s="88" t="s">
        <v>235</v>
      </c>
      <c r="E256" s="87" t="s">
        <v>236</v>
      </c>
      <c r="F256" s="92" t="s">
        <v>2811</v>
      </c>
      <c r="G256" s="92" t="s">
        <v>2819</v>
      </c>
      <c r="H256" s="92" t="s">
        <v>2827</v>
      </c>
      <c r="I256" s="93" t="s">
        <v>2835</v>
      </c>
    </row>
    <row r="257" spans="1:9" x14ac:dyDescent="0.25">
      <c r="A257" s="19">
        <v>1</v>
      </c>
      <c r="B257" s="16" t="s">
        <v>237</v>
      </c>
      <c r="C257" s="88" t="s">
        <v>231</v>
      </c>
      <c r="D257" s="88" t="s">
        <v>244</v>
      </c>
      <c r="E257" s="88" t="s">
        <v>245</v>
      </c>
      <c r="F257" s="95" t="s">
        <v>2812</v>
      </c>
      <c r="G257" s="95" t="s">
        <v>2820</v>
      </c>
      <c r="H257" s="95" t="s">
        <v>2828</v>
      </c>
      <c r="I257" s="96" t="s">
        <v>2836</v>
      </c>
    </row>
    <row r="258" spans="1:9" x14ac:dyDescent="0.25">
      <c r="A258" s="19">
        <v>2</v>
      </c>
      <c r="B258" s="16" t="s">
        <v>238</v>
      </c>
      <c r="C258" s="88" t="s">
        <v>246</v>
      </c>
      <c r="D258" s="88" t="s">
        <v>232</v>
      </c>
      <c r="E258" s="88" t="s">
        <v>247</v>
      </c>
      <c r="F258" s="95" t="s">
        <v>2813</v>
      </c>
      <c r="G258" s="95" t="s">
        <v>2821</v>
      </c>
      <c r="H258" s="95" t="s">
        <v>2829</v>
      </c>
      <c r="I258" s="96" t="s">
        <v>2837</v>
      </c>
    </row>
    <row r="259" spans="1:9" x14ac:dyDescent="0.25">
      <c r="A259" s="19">
        <v>3</v>
      </c>
      <c r="B259" s="16" t="s">
        <v>239</v>
      </c>
      <c r="C259" s="88" t="s">
        <v>248</v>
      </c>
      <c r="D259" s="88" t="s">
        <v>249</v>
      </c>
      <c r="E259" s="88" t="s">
        <v>233</v>
      </c>
      <c r="F259" s="95" t="s">
        <v>2814</v>
      </c>
      <c r="G259" s="95" t="s">
        <v>2822</v>
      </c>
      <c r="H259" s="95" t="s">
        <v>2830</v>
      </c>
      <c r="I259" s="96" t="s">
        <v>2838</v>
      </c>
    </row>
    <row r="260" spans="1:9" x14ac:dyDescent="0.25">
      <c r="A260" s="19">
        <v>4</v>
      </c>
      <c r="B260" s="16" t="s">
        <v>240</v>
      </c>
      <c r="C260" s="88" t="s">
        <v>250</v>
      </c>
      <c r="D260" s="88" t="s">
        <v>251</v>
      </c>
      <c r="E260" s="88" t="s">
        <v>252</v>
      </c>
      <c r="F260" s="95" t="s">
        <v>2815</v>
      </c>
      <c r="G260" s="95" t="s">
        <v>2823</v>
      </c>
      <c r="H260" s="95" t="s">
        <v>2831</v>
      </c>
      <c r="I260" s="96" t="s">
        <v>2839</v>
      </c>
    </row>
    <row r="261" spans="1:9" x14ac:dyDescent="0.25">
      <c r="A261" s="19">
        <v>5</v>
      </c>
      <c r="B261" s="16" t="s">
        <v>241</v>
      </c>
      <c r="C261" s="88" t="s">
        <v>253</v>
      </c>
      <c r="D261" s="88" t="s">
        <v>254</v>
      </c>
      <c r="E261" s="88" t="s">
        <v>255</v>
      </c>
      <c r="F261" s="95" t="s">
        <v>2816</v>
      </c>
      <c r="G261" s="95" t="s">
        <v>2824</v>
      </c>
      <c r="H261" s="95" t="s">
        <v>2832</v>
      </c>
      <c r="I261" s="96" t="s">
        <v>2840</v>
      </c>
    </row>
    <row r="262" spans="1:9" x14ac:dyDescent="0.25">
      <c r="A262" s="19">
        <v>6</v>
      </c>
      <c r="B262" s="16" t="s">
        <v>242</v>
      </c>
      <c r="C262" s="88" t="s">
        <v>256</v>
      </c>
      <c r="D262" s="88" t="s">
        <v>257</v>
      </c>
      <c r="E262" s="88" t="s">
        <v>258</v>
      </c>
      <c r="F262" s="95" t="s">
        <v>2817</v>
      </c>
      <c r="G262" s="95" t="s">
        <v>2825</v>
      </c>
      <c r="H262" s="95" t="s">
        <v>2833</v>
      </c>
      <c r="I262" s="96" t="s">
        <v>2841</v>
      </c>
    </row>
    <row r="263" spans="1:9" ht="15" thickBot="1" x14ac:dyDescent="0.3">
      <c r="A263" s="20">
        <v>7</v>
      </c>
      <c r="B263" s="17" t="s">
        <v>243</v>
      </c>
      <c r="C263" s="89" t="s">
        <v>259</v>
      </c>
      <c r="D263" s="89" t="s">
        <v>260</v>
      </c>
      <c r="E263" s="89" t="s">
        <v>261</v>
      </c>
      <c r="F263" s="98" t="s">
        <v>2818</v>
      </c>
      <c r="G263" s="98" t="s">
        <v>2826</v>
      </c>
      <c r="H263" s="98" t="s">
        <v>2834</v>
      </c>
      <c r="I263" s="99" t="s">
        <v>2842</v>
      </c>
    </row>
    <row r="264" spans="1:9" ht="15" thickBot="1" x14ac:dyDescent="0.3"/>
    <row r="265" spans="1:9" x14ac:dyDescent="0.25">
      <c r="A265" s="25" t="s">
        <v>2874</v>
      </c>
      <c r="B265" s="65" t="s">
        <v>2875</v>
      </c>
      <c r="C265" s="65" t="s">
        <v>2876</v>
      </c>
    </row>
    <row r="266" spans="1:9" x14ac:dyDescent="0.25">
      <c r="A266" s="16" t="s">
        <v>2894</v>
      </c>
      <c r="B266" s="19">
        <v>0</v>
      </c>
      <c r="C266" s="19">
        <v>0</v>
      </c>
    </row>
    <row r="267" spans="1:9" x14ac:dyDescent="0.25">
      <c r="A267" s="16" t="s">
        <v>2895</v>
      </c>
      <c r="B267" s="19">
        <v>1</v>
      </c>
      <c r="C267" s="19">
        <v>1</v>
      </c>
    </row>
    <row r="268" spans="1:9" x14ac:dyDescent="0.25">
      <c r="A268" s="16" t="s">
        <v>2896</v>
      </c>
      <c r="B268" s="19">
        <v>1</v>
      </c>
      <c r="C268" s="19">
        <v>1</v>
      </c>
    </row>
    <row r="269" spans="1:9" x14ac:dyDescent="0.25">
      <c r="A269" s="16" t="s">
        <v>2897</v>
      </c>
      <c r="B269" s="19">
        <v>1</v>
      </c>
      <c r="C269" s="19">
        <v>1</v>
      </c>
    </row>
    <row r="270" spans="1:9" x14ac:dyDescent="0.25">
      <c r="A270" s="16" t="s">
        <v>2898</v>
      </c>
      <c r="B270" s="19">
        <v>1</v>
      </c>
      <c r="C270" s="19">
        <v>1</v>
      </c>
    </row>
    <row r="271" spans="1:9" x14ac:dyDescent="0.25">
      <c r="A271" s="16" t="s">
        <v>2899</v>
      </c>
      <c r="B271" s="19">
        <v>0</v>
      </c>
      <c r="C271" s="19">
        <v>1</v>
      </c>
    </row>
    <row r="272" spans="1:9" x14ac:dyDescent="0.25">
      <c r="A272" s="16" t="s">
        <v>2900</v>
      </c>
      <c r="B272" s="19">
        <v>0</v>
      </c>
      <c r="C272" s="19">
        <v>1</v>
      </c>
    </row>
    <row r="273" spans="1:3" x14ac:dyDescent="0.25">
      <c r="A273" s="16" t="s">
        <v>2901</v>
      </c>
      <c r="B273" s="19">
        <v>0</v>
      </c>
      <c r="C273" s="19">
        <v>0</v>
      </c>
    </row>
    <row r="274" spans="1:3" x14ac:dyDescent="0.25">
      <c r="A274" s="16" t="s">
        <v>2902</v>
      </c>
      <c r="B274" s="19">
        <v>1</v>
      </c>
      <c r="C274" s="19">
        <v>3</v>
      </c>
    </row>
    <row r="275" spans="1:3" x14ac:dyDescent="0.25">
      <c r="A275" s="16" t="s">
        <v>131</v>
      </c>
      <c r="B275" s="19">
        <v>8</v>
      </c>
      <c r="C275" s="19">
        <v>8</v>
      </c>
    </row>
    <row r="276" spans="1:3" x14ac:dyDescent="0.25">
      <c r="A276" s="16" t="s">
        <v>2903</v>
      </c>
      <c r="B276" s="19">
        <v>0</v>
      </c>
      <c r="C276" s="19">
        <v>1</v>
      </c>
    </row>
    <row r="277" spans="1:3" x14ac:dyDescent="0.25">
      <c r="A277" s="16" t="s">
        <v>3114</v>
      </c>
      <c r="B277" s="19">
        <v>25</v>
      </c>
      <c r="C277" s="19">
        <v>50</v>
      </c>
    </row>
    <row r="278" spans="1:3" x14ac:dyDescent="0.25">
      <c r="A278" s="16" t="s">
        <v>2904</v>
      </c>
      <c r="B278" s="19">
        <v>0</v>
      </c>
      <c r="C278" s="19">
        <v>1</v>
      </c>
    </row>
    <row r="279" spans="1:3" x14ac:dyDescent="0.25">
      <c r="A279" s="16" t="s">
        <v>2906</v>
      </c>
      <c r="B279" s="19">
        <v>-4</v>
      </c>
      <c r="C279" s="19">
        <v>-16</v>
      </c>
    </row>
    <row r="280" spans="1:3" x14ac:dyDescent="0.25">
      <c r="A280" s="16" t="s">
        <v>2905</v>
      </c>
      <c r="B280" s="19">
        <v>0</v>
      </c>
      <c r="C280" s="19">
        <v>0</v>
      </c>
    </row>
    <row r="281" spans="1:3" x14ac:dyDescent="0.25">
      <c r="A281" s="16" t="s">
        <v>3115</v>
      </c>
      <c r="B281" s="19">
        <v>0</v>
      </c>
      <c r="C281" s="19">
        <v>25</v>
      </c>
    </row>
    <row r="282" spans="1:3" x14ac:dyDescent="0.25">
      <c r="A282" s="16" t="s">
        <v>2907</v>
      </c>
      <c r="B282" s="19">
        <v>0</v>
      </c>
      <c r="C282" s="19">
        <v>1</v>
      </c>
    </row>
    <row r="283" spans="1:3" x14ac:dyDescent="0.25">
      <c r="A283" s="16" t="s">
        <v>2908</v>
      </c>
      <c r="B283" s="19">
        <v>0</v>
      </c>
      <c r="C283" s="19">
        <v>1</v>
      </c>
    </row>
    <row r="284" spans="1:3" x14ac:dyDescent="0.25">
      <c r="A284" s="16" t="s">
        <v>2909</v>
      </c>
      <c r="B284" s="19" t="s">
        <v>9</v>
      </c>
      <c r="C284" s="19" t="s">
        <v>13</v>
      </c>
    </row>
    <row r="285" spans="1:3" x14ac:dyDescent="0.25">
      <c r="A285" s="16" t="s">
        <v>2910</v>
      </c>
      <c r="B285" s="19">
        <v>0</v>
      </c>
      <c r="C285" s="19">
        <v>1</v>
      </c>
    </row>
    <row r="286" spans="1:3" x14ac:dyDescent="0.25">
      <c r="A286" s="16" t="s">
        <v>2911</v>
      </c>
      <c r="B286" s="19">
        <v>0</v>
      </c>
      <c r="C286" s="19">
        <v>0</v>
      </c>
    </row>
    <row r="287" spans="1:3" x14ac:dyDescent="0.25">
      <c r="A287" s="16" t="s">
        <v>2912</v>
      </c>
      <c r="B287" s="19">
        <v>0</v>
      </c>
      <c r="C287" s="19">
        <v>24</v>
      </c>
    </row>
    <row r="288" spans="1:3" x14ac:dyDescent="0.25">
      <c r="A288" s="16" t="s">
        <v>2877</v>
      </c>
      <c r="B288" s="19">
        <v>3</v>
      </c>
      <c r="C288" s="19">
        <v>6</v>
      </c>
    </row>
    <row r="289" spans="1:3" x14ac:dyDescent="0.25">
      <c r="A289" s="16" t="s">
        <v>2913</v>
      </c>
      <c r="B289" s="19">
        <v>0</v>
      </c>
      <c r="C289" s="19">
        <v>1</v>
      </c>
    </row>
    <row r="290" spans="1:3" x14ac:dyDescent="0.25">
      <c r="A290" s="16" t="s">
        <v>2914</v>
      </c>
      <c r="B290" s="19">
        <v>0</v>
      </c>
      <c r="C290" s="19">
        <v>1</v>
      </c>
    </row>
    <row r="291" spans="1:3" x14ac:dyDescent="0.25">
      <c r="A291" s="16" t="s">
        <v>2915</v>
      </c>
      <c r="B291" s="19">
        <v>1</v>
      </c>
      <c r="C291" s="19">
        <v>3</v>
      </c>
    </row>
    <row r="292" spans="1:3" x14ac:dyDescent="0.25">
      <c r="A292" s="16" t="s">
        <v>2916</v>
      </c>
      <c r="B292" s="19">
        <v>0</v>
      </c>
      <c r="C292" s="19">
        <v>2</v>
      </c>
    </row>
    <row r="293" spans="1:3" x14ac:dyDescent="0.25">
      <c r="A293" s="16" t="s">
        <v>2917</v>
      </c>
      <c r="B293" s="19">
        <v>0</v>
      </c>
      <c r="C293" s="19">
        <v>3</v>
      </c>
    </row>
    <row r="294" spans="1:3" x14ac:dyDescent="0.25">
      <c r="A294" s="16" t="s">
        <v>2918</v>
      </c>
      <c r="B294" s="19">
        <v>0</v>
      </c>
      <c r="C294" s="19">
        <v>1</v>
      </c>
    </row>
    <row r="295" spans="1:3" x14ac:dyDescent="0.25">
      <c r="A295" s="16" t="s">
        <v>2919</v>
      </c>
      <c r="B295" s="19">
        <v>0</v>
      </c>
      <c r="C295" s="19">
        <v>1</v>
      </c>
    </row>
    <row r="296" spans="1:3" x14ac:dyDescent="0.25">
      <c r="A296" s="16" t="s">
        <v>2920</v>
      </c>
      <c r="B296" s="19">
        <v>0</v>
      </c>
      <c r="C296" s="19">
        <v>1</v>
      </c>
    </row>
    <row r="297" spans="1:3" x14ac:dyDescent="0.25">
      <c r="A297" s="16" t="s">
        <v>2921</v>
      </c>
      <c r="B297" s="19">
        <v>0</v>
      </c>
      <c r="C297" s="19">
        <v>1</v>
      </c>
    </row>
    <row r="298" spans="1:3" x14ac:dyDescent="0.25">
      <c r="A298" s="16" t="s">
        <v>2922</v>
      </c>
      <c r="B298" s="19">
        <v>0</v>
      </c>
      <c r="C298" s="19">
        <v>1</v>
      </c>
    </row>
    <row r="299" spans="1:3" x14ac:dyDescent="0.25">
      <c r="A299" s="16" t="s">
        <v>2923</v>
      </c>
      <c r="B299" s="19">
        <v>0</v>
      </c>
      <c r="C299" s="19">
        <v>1</v>
      </c>
    </row>
    <row r="300" spans="1:3" x14ac:dyDescent="0.25">
      <c r="A300" s="16" t="s">
        <v>2924</v>
      </c>
      <c r="B300" s="19">
        <v>3</v>
      </c>
      <c r="C300" s="19">
        <v>6</v>
      </c>
    </row>
    <row r="301" spans="1:3" x14ac:dyDescent="0.25">
      <c r="A301" s="16" t="s">
        <v>2925</v>
      </c>
      <c r="B301" s="19">
        <v>1</v>
      </c>
      <c r="C301" s="19">
        <v>1</v>
      </c>
    </row>
    <row r="302" spans="1:3" x14ac:dyDescent="0.25">
      <c r="A302" s="16" t="s">
        <v>2926</v>
      </c>
      <c r="B302" s="19">
        <v>1</v>
      </c>
      <c r="C302" s="19">
        <v>1</v>
      </c>
    </row>
    <row r="303" spans="1:3" x14ac:dyDescent="0.25">
      <c r="A303" s="16" t="s">
        <v>2927</v>
      </c>
      <c r="B303" s="19">
        <v>0</v>
      </c>
      <c r="C303" s="19">
        <v>3</v>
      </c>
    </row>
    <row r="304" spans="1:3" x14ac:dyDescent="0.25">
      <c r="A304" s="16" t="s">
        <v>2928</v>
      </c>
      <c r="B304" s="19">
        <v>0</v>
      </c>
      <c r="C304" s="19">
        <v>0</v>
      </c>
    </row>
    <row r="305" spans="1:3" x14ac:dyDescent="0.25">
      <c r="A305" s="16" t="s">
        <v>2929</v>
      </c>
      <c r="B305" s="19">
        <v>0</v>
      </c>
      <c r="C305" s="19">
        <v>0</v>
      </c>
    </row>
    <row r="306" spans="1:3" x14ac:dyDescent="0.25">
      <c r="A306" s="16" t="s">
        <v>2930</v>
      </c>
      <c r="B306" s="19">
        <v>0</v>
      </c>
      <c r="C306" s="19">
        <v>0</v>
      </c>
    </row>
    <row r="307" spans="1:3" x14ac:dyDescent="0.25">
      <c r="A307" s="16" t="s">
        <v>2931</v>
      </c>
      <c r="B307" s="19">
        <v>0</v>
      </c>
      <c r="C307" s="19">
        <v>1</v>
      </c>
    </row>
    <row r="308" spans="1:3" x14ac:dyDescent="0.25">
      <c r="A308" s="16" t="s">
        <v>2932</v>
      </c>
      <c r="B308" s="19">
        <v>0</v>
      </c>
      <c r="C308" s="19">
        <v>1</v>
      </c>
    </row>
    <row r="309" spans="1:3" x14ac:dyDescent="0.25">
      <c r="A309" s="16" t="s">
        <v>2933</v>
      </c>
      <c r="B309" s="19">
        <v>0</v>
      </c>
      <c r="C309" s="19">
        <v>6</v>
      </c>
    </row>
    <row r="310" spans="1:3" x14ac:dyDescent="0.25">
      <c r="A310" s="16" t="s">
        <v>2934</v>
      </c>
      <c r="B310" s="19">
        <v>0</v>
      </c>
      <c r="C310" s="19">
        <v>1</v>
      </c>
    </row>
    <row r="311" spans="1:3" x14ac:dyDescent="0.25">
      <c r="A311" s="16" t="s">
        <v>2935</v>
      </c>
      <c r="B311" s="19">
        <v>0</v>
      </c>
      <c r="C311" s="19">
        <v>6</v>
      </c>
    </row>
    <row r="312" spans="1:3" x14ac:dyDescent="0.25">
      <c r="A312" s="16" t="s">
        <v>2936</v>
      </c>
      <c r="B312" s="19">
        <v>0</v>
      </c>
      <c r="C312" s="19">
        <v>1</v>
      </c>
    </row>
    <row r="313" spans="1:3" x14ac:dyDescent="0.25">
      <c r="A313" s="16" t="s">
        <v>2937</v>
      </c>
      <c r="B313" s="19">
        <v>0</v>
      </c>
      <c r="C313" s="19">
        <v>6</v>
      </c>
    </row>
    <row r="314" spans="1:3" x14ac:dyDescent="0.25">
      <c r="A314" s="16" t="s">
        <v>2938</v>
      </c>
      <c r="B314" s="19">
        <v>0</v>
      </c>
      <c r="C314" s="19">
        <v>0</v>
      </c>
    </row>
    <row r="315" spans="1:3" x14ac:dyDescent="0.25">
      <c r="A315" s="16" t="s">
        <v>2939</v>
      </c>
      <c r="B315" s="19">
        <v>0</v>
      </c>
      <c r="C315" s="19">
        <v>1</v>
      </c>
    </row>
    <row r="316" spans="1:3" x14ac:dyDescent="0.25">
      <c r="A316" s="16" t="s">
        <v>2940</v>
      </c>
      <c r="B316" s="19">
        <v>0</v>
      </c>
      <c r="C316" s="19">
        <v>6</v>
      </c>
    </row>
    <row r="317" spans="1:3" x14ac:dyDescent="0.25">
      <c r="A317" s="16" t="s">
        <v>2941</v>
      </c>
      <c r="B317" s="19">
        <v>0</v>
      </c>
      <c r="C317" s="19">
        <v>1</v>
      </c>
    </row>
    <row r="318" spans="1:3" x14ac:dyDescent="0.25">
      <c r="A318" s="16" t="s">
        <v>2942</v>
      </c>
      <c r="B318" s="19">
        <v>0</v>
      </c>
      <c r="C318" s="19">
        <v>6</v>
      </c>
    </row>
    <row r="319" spans="1:3" x14ac:dyDescent="0.25">
      <c r="A319" s="16" t="s">
        <v>2943</v>
      </c>
      <c r="B319" s="19">
        <v>0</v>
      </c>
      <c r="C319" s="19">
        <v>1</v>
      </c>
    </row>
    <row r="320" spans="1:3" x14ac:dyDescent="0.25">
      <c r="A320" s="16" t="s">
        <v>2944</v>
      </c>
      <c r="B320" s="19">
        <v>1</v>
      </c>
      <c r="C320" s="19">
        <v>0</v>
      </c>
    </row>
    <row r="321" spans="1:3" x14ac:dyDescent="0.25">
      <c r="A321" s="16" t="s">
        <v>2945</v>
      </c>
      <c r="B321" s="19">
        <v>0</v>
      </c>
      <c r="C321" s="19">
        <v>0</v>
      </c>
    </row>
    <row r="322" spans="1:3" x14ac:dyDescent="0.25">
      <c r="A322" s="16" t="s">
        <v>2946</v>
      </c>
      <c r="B322" s="19">
        <v>0</v>
      </c>
      <c r="C322" s="19">
        <v>1</v>
      </c>
    </row>
    <row r="323" spans="1:3" x14ac:dyDescent="0.25">
      <c r="A323" s="16" t="s">
        <v>2947</v>
      </c>
      <c r="B323" s="19">
        <v>1</v>
      </c>
      <c r="C323" s="19">
        <v>1</v>
      </c>
    </row>
    <row r="324" spans="1:3" x14ac:dyDescent="0.25">
      <c r="A324" s="16" t="s">
        <v>2948</v>
      </c>
      <c r="B324" s="19">
        <v>0</v>
      </c>
      <c r="C324" s="19">
        <v>1</v>
      </c>
    </row>
    <row r="325" spans="1:3" x14ac:dyDescent="0.25">
      <c r="A325" s="16" t="s">
        <v>2949</v>
      </c>
      <c r="B325" s="19">
        <v>0</v>
      </c>
      <c r="C325" s="19">
        <v>6</v>
      </c>
    </row>
    <row r="326" spans="1:3" x14ac:dyDescent="0.25">
      <c r="A326" s="16" t="s">
        <v>2950</v>
      </c>
      <c r="B326" s="19">
        <v>0</v>
      </c>
      <c r="C326" s="19">
        <v>1</v>
      </c>
    </row>
    <row r="327" spans="1:3" x14ac:dyDescent="0.25">
      <c r="A327" s="16" t="s">
        <v>2951</v>
      </c>
      <c r="B327" s="19">
        <v>0</v>
      </c>
      <c r="C327" s="19">
        <v>6</v>
      </c>
    </row>
    <row r="328" spans="1:3" x14ac:dyDescent="0.25">
      <c r="A328" s="16" t="s">
        <v>2952</v>
      </c>
      <c r="B328" s="19">
        <v>0</v>
      </c>
      <c r="C328" s="19">
        <v>1</v>
      </c>
    </row>
    <row r="329" spans="1:3" x14ac:dyDescent="0.25">
      <c r="A329" s="16" t="s">
        <v>2953</v>
      </c>
      <c r="B329" s="19">
        <v>0</v>
      </c>
      <c r="C329" s="19">
        <v>6</v>
      </c>
    </row>
    <row r="330" spans="1:3" x14ac:dyDescent="0.25">
      <c r="A330" s="16" t="s">
        <v>2954</v>
      </c>
      <c r="B330" s="19">
        <v>0</v>
      </c>
      <c r="C330" s="19">
        <v>1</v>
      </c>
    </row>
    <row r="331" spans="1:3" x14ac:dyDescent="0.25">
      <c r="A331" s="16" t="s">
        <v>2955</v>
      </c>
      <c r="B331" s="19">
        <v>0</v>
      </c>
      <c r="C331" s="19">
        <v>6</v>
      </c>
    </row>
    <row r="332" spans="1:3" x14ac:dyDescent="0.25">
      <c r="A332" s="16" t="s">
        <v>2956</v>
      </c>
      <c r="B332" s="19">
        <v>0</v>
      </c>
      <c r="C332" s="19">
        <v>1</v>
      </c>
    </row>
    <row r="333" spans="1:3" x14ac:dyDescent="0.25">
      <c r="A333" s="16" t="s">
        <v>2957</v>
      </c>
      <c r="B333" s="19">
        <v>0</v>
      </c>
      <c r="C333" s="19">
        <v>6</v>
      </c>
    </row>
    <row r="334" spans="1:3" x14ac:dyDescent="0.25">
      <c r="A334" s="16" t="s">
        <v>3116</v>
      </c>
      <c r="B334" s="19">
        <v>0</v>
      </c>
      <c r="C334" s="19">
        <v>50</v>
      </c>
    </row>
    <row r="335" spans="1:3" x14ac:dyDescent="0.25">
      <c r="A335" s="16" t="s">
        <v>3117</v>
      </c>
      <c r="B335" s="19">
        <v>0</v>
      </c>
      <c r="C335" s="19">
        <v>50</v>
      </c>
    </row>
    <row r="336" spans="1:3" x14ac:dyDescent="0.25">
      <c r="A336" s="16" t="s">
        <v>3118</v>
      </c>
      <c r="B336" s="19">
        <v>0</v>
      </c>
      <c r="C336" s="19">
        <v>50</v>
      </c>
    </row>
    <row r="337" spans="1:3" x14ac:dyDescent="0.25">
      <c r="A337" s="16" t="s">
        <v>3119</v>
      </c>
      <c r="B337" s="19">
        <v>0</v>
      </c>
      <c r="C337" s="19">
        <v>50</v>
      </c>
    </row>
    <row r="338" spans="1:3" x14ac:dyDescent="0.25">
      <c r="A338" s="16" t="s">
        <v>3120</v>
      </c>
      <c r="B338" s="19">
        <v>2.5</v>
      </c>
      <c r="C338" s="19">
        <v>25</v>
      </c>
    </row>
    <row r="339" spans="1:3" x14ac:dyDescent="0.25">
      <c r="A339" s="16" t="s">
        <v>3121</v>
      </c>
      <c r="B339" s="19">
        <v>2.5</v>
      </c>
      <c r="C339" s="19">
        <v>25</v>
      </c>
    </row>
    <row r="340" spans="1:3" x14ac:dyDescent="0.25">
      <c r="A340" s="16" t="s">
        <v>2958</v>
      </c>
      <c r="B340" s="19">
        <v>0</v>
      </c>
      <c r="C340" s="19">
        <v>1</v>
      </c>
    </row>
    <row r="341" spans="1:3" x14ac:dyDescent="0.25">
      <c r="A341" s="16" t="s">
        <v>2959</v>
      </c>
      <c r="B341" s="19">
        <v>0</v>
      </c>
      <c r="C341" s="19">
        <v>1</v>
      </c>
    </row>
    <row r="342" spans="1:3" x14ac:dyDescent="0.25">
      <c r="A342" s="16" t="s">
        <v>2960</v>
      </c>
      <c r="B342" s="19">
        <v>0</v>
      </c>
      <c r="C342" s="19">
        <v>1</v>
      </c>
    </row>
    <row r="343" spans="1:3" x14ac:dyDescent="0.25">
      <c r="A343" s="16" t="s">
        <v>2961</v>
      </c>
      <c r="B343" s="19">
        <v>0</v>
      </c>
      <c r="C343" s="19">
        <v>1</v>
      </c>
    </row>
    <row r="344" spans="1:3" x14ac:dyDescent="0.25">
      <c r="A344" s="16" t="s">
        <v>2962</v>
      </c>
      <c r="B344" s="19">
        <v>0</v>
      </c>
      <c r="C344" s="19">
        <v>1</v>
      </c>
    </row>
    <row r="345" spans="1:3" x14ac:dyDescent="0.25">
      <c r="A345" s="16" t="s">
        <v>2963</v>
      </c>
      <c r="B345" s="19">
        <v>0</v>
      </c>
      <c r="C345" s="19">
        <v>0</v>
      </c>
    </row>
    <row r="346" spans="1:3" x14ac:dyDescent="0.25">
      <c r="A346" s="16" t="s">
        <v>2964</v>
      </c>
      <c r="B346" s="19">
        <v>0</v>
      </c>
      <c r="C346" s="19">
        <v>1</v>
      </c>
    </row>
    <row r="347" spans="1:3" x14ac:dyDescent="0.25">
      <c r="A347" s="16" t="s">
        <v>2965</v>
      </c>
      <c r="B347" s="19">
        <v>0</v>
      </c>
      <c r="C347" s="19">
        <v>1</v>
      </c>
    </row>
    <row r="348" spans="1:3" x14ac:dyDescent="0.25">
      <c r="A348" s="16" t="s">
        <v>2966</v>
      </c>
      <c r="B348" s="19">
        <v>1</v>
      </c>
      <c r="C348" s="19">
        <v>1</v>
      </c>
    </row>
    <row r="349" spans="1:3" x14ac:dyDescent="0.25">
      <c r="A349" s="16" t="s">
        <v>2967</v>
      </c>
      <c r="B349" s="19">
        <v>1</v>
      </c>
      <c r="C349" s="19">
        <v>1</v>
      </c>
    </row>
    <row r="350" spans="1:3" x14ac:dyDescent="0.25">
      <c r="A350" s="16" t="s">
        <v>2968</v>
      </c>
      <c r="B350" s="19">
        <v>1</v>
      </c>
      <c r="C350" s="19">
        <v>1</v>
      </c>
    </row>
    <row r="351" spans="1:3" x14ac:dyDescent="0.25">
      <c r="A351" s="16" t="s">
        <v>2969</v>
      </c>
      <c r="B351" s="19">
        <v>1</v>
      </c>
      <c r="C351" s="19">
        <v>1</v>
      </c>
    </row>
    <row r="352" spans="1:3" x14ac:dyDescent="0.25">
      <c r="A352" s="16" t="s">
        <v>2970</v>
      </c>
      <c r="B352" s="19">
        <v>1</v>
      </c>
      <c r="C352" s="19">
        <v>1</v>
      </c>
    </row>
    <row r="353" spans="1:3" x14ac:dyDescent="0.25">
      <c r="A353" s="16" t="s">
        <v>2971</v>
      </c>
      <c r="B353" s="19">
        <v>0</v>
      </c>
      <c r="C353" s="19">
        <v>1</v>
      </c>
    </row>
    <row r="354" spans="1:3" x14ac:dyDescent="0.25">
      <c r="A354" s="16" t="s">
        <v>2972</v>
      </c>
      <c r="B354" s="19">
        <v>0</v>
      </c>
      <c r="C354" s="19">
        <v>6</v>
      </c>
    </row>
    <row r="355" spans="1:3" x14ac:dyDescent="0.25">
      <c r="A355" s="16" t="s">
        <v>2973</v>
      </c>
      <c r="B355" s="19">
        <v>0</v>
      </c>
      <c r="C355" s="19">
        <v>0</v>
      </c>
    </row>
    <row r="356" spans="1:3" x14ac:dyDescent="0.25">
      <c r="A356" s="16" t="s">
        <v>2974</v>
      </c>
      <c r="B356" s="19">
        <v>0</v>
      </c>
      <c r="C356" s="19">
        <v>1</v>
      </c>
    </row>
    <row r="357" spans="1:3" x14ac:dyDescent="0.25">
      <c r="A357" s="16" t="s">
        <v>2975</v>
      </c>
      <c r="B357" s="19">
        <v>0</v>
      </c>
      <c r="C357" s="19">
        <v>1</v>
      </c>
    </row>
    <row r="358" spans="1:3" x14ac:dyDescent="0.25">
      <c r="A358" s="16" t="s">
        <v>3122</v>
      </c>
      <c r="B358" s="19">
        <v>0</v>
      </c>
      <c r="C358" s="19">
        <v>0</v>
      </c>
    </row>
    <row r="359" spans="1:3" x14ac:dyDescent="0.25">
      <c r="A359" s="16" t="s">
        <v>3123</v>
      </c>
      <c r="B359" s="19">
        <v>0</v>
      </c>
      <c r="C359" s="19">
        <v>0</v>
      </c>
    </row>
    <row r="360" spans="1:3" x14ac:dyDescent="0.25">
      <c r="A360" s="16" t="s">
        <v>3124</v>
      </c>
      <c r="B360" s="19">
        <v>0</v>
      </c>
      <c r="C360" s="19">
        <v>0</v>
      </c>
    </row>
    <row r="361" spans="1:3" x14ac:dyDescent="0.25">
      <c r="A361" s="16" t="s">
        <v>2976</v>
      </c>
      <c r="B361" s="19">
        <v>0</v>
      </c>
      <c r="C361" s="19">
        <v>0</v>
      </c>
    </row>
    <row r="362" spans="1:3" x14ac:dyDescent="0.25">
      <c r="A362" s="16" t="s">
        <v>2977</v>
      </c>
      <c r="B362" s="19">
        <v>0</v>
      </c>
      <c r="C362" s="19">
        <v>6</v>
      </c>
    </row>
    <row r="363" spans="1:3" x14ac:dyDescent="0.25">
      <c r="A363" s="16" t="s">
        <v>2978</v>
      </c>
      <c r="B363" s="19">
        <v>0</v>
      </c>
      <c r="C363" s="19">
        <v>1</v>
      </c>
    </row>
    <row r="364" spans="1:3" x14ac:dyDescent="0.25">
      <c r="A364" s="16" t="s">
        <v>2979</v>
      </c>
      <c r="B364" s="19">
        <v>0</v>
      </c>
      <c r="C364" s="19">
        <v>0</v>
      </c>
    </row>
    <row r="365" spans="1:3" x14ac:dyDescent="0.25">
      <c r="A365" s="16" t="s">
        <v>2980</v>
      </c>
      <c r="B365" s="19">
        <v>0</v>
      </c>
      <c r="C365" s="19">
        <v>1</v>
      </c>
    </row>
    <row r="366" spans="1:3" x14ac:dyDescent="0.25">
      <c r="A366" s="16" t="s">
        <v>2981</v>
      </c>
      <c r="B366" s="19">
        <v>0</v>
      </c>
      <c r="C366" s="19">
        <v>6</v>
      </c>
    </row>
    <row r="367" spans="1:3" x14ac:dyDescent="0.25">
      <c r="A367" s="16" t="s">
        <v>2982</v>
      </c>
      <c r="B367" s="19">
        <v>0</v>
      </c>
      <c r="C367" s="19">
        <v>0</v>
      </c>
    </row>
    <row r="368" spans="1:3" x14ac:dyDescent="0.25">
      <c r="A368" s="16" t="s">
        <v>2983</v>
      </c>
      <c r="B368" s="19">
        <v>0</v>
      </c>
      <c r="C368" s="19">
        <v>0</v>
      </c>
    </row>
    <row r="369" spans="1:3" x14ac:dyDescent="0.25">
      <c r="A369" s="16" t="s">
        <v>2984</v>
      </c>
      <c r="B369" s="19">
        <v>0</v>
      </c>
      <c r="C369" s="19">
        <v>3</v>
      </c>
    </row>
    <row r="370" spans="1:3" x14ac:dyDescent="0.25">
      <c r="A370" s="16" t="s">
        <v>2985</v>
      </c>
      <c r="B370" s="19">
        <v>0</v>
      </c>
      <c r="C370" s="19">
        <v>0</v>
      </c>
    </row>
    <row r="371" spans="1:3" x14ac:dyDescent="0.25">
      <c r="A371" s="16" t="s">
        <v>2986</v>
      </c>
      <c r="B371" s="19">
        <v>0</v>
      </c>
      <c r="C371" s="19">
        <v>1</v>
      </c>
    </row>
    <row r="372" spans="1:3" x14ac:dyDescent="0.25">
      <c r="A372" s="16" t="s">
        <v>2987</v>
      </c>
      <c r="B372" s="19">
        <v>0</v>
      </c>
      <c r="C372" s="19">
        <v>0</v>
      </c>
    </row>
    <row r="373" spans="1:3" x14ac:dyDescent="0.25">
      <c r="A373" s="16" t="s">
        <v>3125</v>
      </c>
      <c r="B373" s="19">
        <v>0</v>
      </c>
      <c r="C373" s="19">
        <v>0</v>
      </c>
    </row>
    <row r="374" spans="1:3" x14ac:dyDescent="0.25">
      <c r="A374" s="16" t="s">
        <v>3126</v>
      </c>
      <c r="B374" s="19">
        <v>0</v>
      </c>
      <c r="C374" s="19">
        <v>0</v>
      </c>
    </row>
    <row r="375" spans="1:3" x14ac:dyDescent="0.25">
      <c r="A375" s="16" t="s">
        <v>3127</v>
      </c>
      <c r="B375" s="19">
        <v>0</v>
      </c>
      <c r="C375" s="19">
        <v>0</v>
      </c>
    </row>
    <row r="376" spans="1:3" x14ac:dyDescent="0.25">
      <c r="A376" s="16" t="s">
        <v>3128</v>
      </c>
      <c r="B376" s="19">
        <v>0</v>
      </c>
      <c r="C376" s="19">
        <v>0</v>
      </c>
    </row>
    <row r="377" spans="1:3" x14ac:dyDescent="0.25">
      <c r="A377" s="16" t="s">
        <v>2988</v>
      </c>
      <c r="B377" s="19">
        <v>0</v>
      </c>
      <c r="C377" s="19">
        <v>1</v>
      </c>
    </row>
    <row r="378" spans="1:3" x14ac:dyDescent="0.25">
      <c r="A378" s="16" t="s">
        <v>2989</v>
      </c>
      <c r="B378" s="19">
        <v>0</v>
      </c>
      <c r="C378" s="19">
        <v>1</v>
      </c>
    </row>
    <row r="379" spans="1:3" x14ac:dyDescent="0.25">
      <c r="A379" s="16" t="s">
        <v>2990</v>
      </c>
      <c r="B379" s="19">
        <v>0</v>
      </c>
      <c r="C379" s="19">
        <v>0</v>
      </c>
    </row>
    <row r="380" spans="1:3" x14ac:dyDescent="0.25">
      <c r="A380" s="16" t="s">
        <v>2991</v>
      </c>
      <c r="B380" s="19">
        <v>0</v>
      </c>
      <c r="C380" s="19">
        <v>1</v>
      </c>
    </row>
    <row r="381" spans="1:3" x14ac:dyDescent="0.25">
      <c r="A381" s="16" t="s">
        <v>2992</v>
      </c>
      <c r="B381" s="19">
        <v>0</v>
      </c>
      <c r="C381" s="19">
        <v>0</v>
      </c>
    </row>
    <row r="382" spans="1:3" x14ac:dyDescent="0.25">
      <c r="A382" s="16" t="s">
        <v>2993</v>
      </c>
      <c r="B382" s="19">
        <v>0</v>
      </c>
      <c r="C382" s="19">
        <v>1</v>
      </c>
    </row>
    <row r="383" spans="1:3" x14ac:dyDescent="0.25">
      <c r="A383" s="16" t="s">
        <v>2994</v>
      </c>
      <c r="B383" s="19">
        <v>0</v>
      </c>
      <c r="C383" s="19">
        <v>0</v>
      </c>
    </row>
    <row r="384" spans="1:3" x14ac:dyDescent="0.25">
      <c r="A384" s="16" t="s">
        <v>2995</v>
      </c>
      <c r="B384" s="19">
        <v>0</v>
      </c>
      <c r="C384" s="19">
        <v>1</v>
      </c>
    </row>
    <row r="385" spans="1:3" x14ac:dyDescent="0.25">
      <c r="A385" s="16" t="s">
        <v>2996</v>
      </c>
      <c r="B385" s="19">
        <v>0</v>
      </c>
      <c r="C385" s="19">
        <v>0</v>
      </c>
    </row>
    <row r="386" spans="1:3" x14ac:dyDescent="0.25">
      <c r="A386" s="16" t="s">
        <v>2997</v>
      </c>
      <c r="B386" s="19">
        <v>0</v>
      </c>
      <c r="C386" s="19">
        <v>1</v>
      </c>
    </row>
    <row r="387" spans="1:3" x14ac:dyDescent="0.25">
      <c r="A387" s="16" t="s">
        <v>2998</v>
      </c>
      <c r="B387" s="19">
        <v>0</v>
      </c>
      <c r="C387" s="19">
        <v>1</v>
      </c>
    </row>
    <row r="388" spans="1:3" x14ac:dyDescent="0.25">
      <c r="A388" s="16" t="s">
        <v>2999</v>
      </c>
      <c r="B388" s="19">
        <v>0</v>
      </c>
      <c r="C388" s="19">
        <v>1</v>
      </c>
    </row>
    <row r="389" spans="1:3" x14ac:dyDescent="0.25">
      <c r="A389" s="16" t="s">
        <v>3000</v>
      </c>
      <c r="B389" s="19">
        <v>0</v>
      </c>
      <c r="C389" s="19">
        <v>1</v>
      </c>
    </row>
    <row r="390" spans="1:3" x14ac:dyDescent="0.25">
      <c r="A390" s="16" t="s">
        <v>3001</v>
      </c>
      <c r="B390" s="19">
        <v>0</v>
      </c>
      <c r="C390" s="19">
        <v>1</v>
      </c>
    </row>
    <row r="391" spans="1:3" x14ac:dyDescent="0.25">
      <c r="A391" s="16" t="s">
        <v>3002</v>
      </c>
      <c r="B391" s="19">
        <v>0</v>
      </c>
      <c r="C391" s="19">
        <v>6</v>
      </c>
    </row>
    <row r="392" spans="1:3" x14ac:dyDescent="0.25">
      <c r="A392" s="16" t="s">
        <v>3003</v>
      </c>
      <c r="B392" s="19">
        <v>0</v>
      </c>
      <c r="C392" s="19">
        <v>0</v>
      </c>
    </row>
    <row r="393" spans="1:3" x14ac:dyDescent="0.25">
      <c r="A393" s="16" t="s">
        <v>3004</v>
      </c>
      <c r="B393" s="19">
        <v>0</v>
      </c>
      <c r="C393" s="19">
        <v>1</v>
      </c>
    </row>
    <row r="394" spans="1:3" x14ac:dyDescent="0.25">
      <c r="A394" s="16" t="s">
        <v>3005</v>
      </c>
      <c r="B394" s="19">
        <v>0</v>
      </c>
      <c r="C394" s="19">
        <v>1</v>
      </c>
    </row>
    <row r="395" spans="1:3" x14ac:dyDescent="0.25">
      <c r="A395" s="16" t="s">
        <v>3006</v>
      </c>
      <c r="B395" s="19">
        <v>0</v>
      </c>
      <c r="C395" s="19">
        <v>0</v>
      </c>
    </row>
    <row r="396" spans="1:3" x14ac:dyDescent="0.25">
      <c r="A396" s="16" t="s">
        <v>3007</v>
      </c>
      <c r="B396" s="19">
        <v>0</v>
      </c>
      <c r="C396" s="19">
        <v>6</v>
      </c>
    </row>
    <row r="397" spans="1:3" x14ac:dyDescent="0.25">
      <c r="A397" s="16" t="s">
        <v>3008</v>
      </c>
      <c r="B397" s="19">
        <v>0</v>
      </c>
      <c r="C397" s="19">
        <v>1</v>
      </c>
    </row>
    <row r="398" spans="1:3" x14ac:dyDescent="0.25">
      <c r="A398" s="16" t="s">
        <v>3009</v>
      </c>
      <c r="B398" s="19">
        <v>0</v>
      </c>
      <c r="C398" s="19">
        <v>0</v>
      </c>
    </row>
    <row r="399" spans="1:3" x14ac:dyDescent="0.25">
      <c r="A399" s="16" t="s">
        <v>3010</v>
      </c>
      <c r="B399" s="19">
        <v>0</v>
      </c>
      <c r="C399" s="19">
        <v>1</v>
      </c>
    </row>
    <row r="400" spans="1:3" x14ac:dyDescent="0.25">
      <c r="A400" s="16" t="s">
        <v>3011</v>
      </c>
      <c r="B400" s="19">
        <v>0</v>
      </c>
      <c r="C400" s="19">
        <v>0</v>
      </c>
    </row>
    <row r="401" spans="1:3" x14ac:dyDescent="0.25">
      <c r="A401" s="16" t="s">
        <v>3012</v>
      </c>
      <c r="B401" s="19">
        <v>0</v>
      </c>
      <c r="C401" s="19">
        <v>6</v>
      </c>
    </row>
    <row r="402" spans="1:3" x14ac:dyDescent="0.25">
      <c r="A402" s="16" t="s">
        <v>3013</v>
      </c>
      <c r="B402" s="19">
        <v>0</v>
      </c>
      <c r="C402" s="19">
        <v>1</v>
      </c>
    </row>
    <row r="403" spans="1:3" x14ac:dyDescent="0.25">
      <c r="A403" s="16" t="s">
        <v>3014</v>
      </c>
      <c r="B403" s="19">
        <v>0</v>
      </c>
      <c r="C403" s="19">
        <v>0</v>
      </c>
    </row>
    <row r="404" spans="1:3" x14ac:dyDescent="0.25">
      <c r="A404" s="16" t="s">
        <v>3015</v>
      </c>
      <c r="B404" s="19">
        <v>0</v>
      </c>
      <c r="C404" s="19">
        <v>1</v>
      </c>
    </row>
    <row r="405" spans="1:3" x14ac:dyDescent="0.25">
      <c r="A405" s="16" t="s">
        <v>3016</v>
      </c>
      <c r="B405" s="19">
        <v>0</v>
      </c>
      <c r="C405" s="19">
        <v>0</v>
      </c>
    </row>
    <row r="406" spans="1:3" x14ac:dyDescent="0.25">
      <c r="A406" s="16" t="s">
        <v>3017</v>
      </c>
      <c r="B406" s="19">
        <v>0</v>
      </c>
      <c r="C406" s="19">
        <v>6</v>
      </c>
    </row>
    <row r="407" spans="1:3" x14ac:dyDescent="0.25">
      <c r="A407" s="16" t="s">
        <v>3018</v>
      </c>
      <c r="B407" s="19">
        <v>0</v>
      </c>
      <c r="C407" s="19">
        <v>1</v>
      </c>
    </row>
    <row r="408" spans="1:3" x14ac:dyDescent="0.25">
      <c r="A408" s="16" t="s">
        <v>3019</v>
      </c>
      <c r="B408" s="19">
        <v>0</v>
      </c>
      <c r="C408" s="19">
        <v>0</v>
      </c>
    </row>
    <row r="409" spans="1:3" x14ac:dyDescent="0.25">
      <c r="A409" s="16" t="s">
        <v>3020</v>
      </c>
      <c r="B409" s="19">
        <v>0</v>
      </c>
      <c r="C409" s="19">
        <v>1</v>
      </c>
    </row>
    <row r="410" spans="1:3" x14ac:dyDescent="0.25">
      <c r="A410" s="16" t="s">
        <v>3021</v>
      </c>
      <c r="B410" s="19">
        <v>0</v>
      </c>
      <c r="C410" s="19">
        <v>0</v>
      </c>
    </row>
    <row r="411" spans="1:3" x14ac:dyDescent="0.25">
      <c r="A411" s="16" t="s">
        <v>3022</v>
      </c>
      <c r="B411" s="19">
        <v>0</v>
      </c>
      <c r="C411" s="19">
        <v>6</v>
      </c>
    </row>
    <row r="412" spans="1:3" x14ac:dyDescent="0.25">
      <c r="A412" s="16" t="s">
        <v>3023</v>
      </c>
      <c r="B412" s="19">
        <v>0</v>
      </c>
      <c r="C412" s="19">
        <v>1</v>
      </c>
    </row>
    <row r="413" spans="1:3" x14ac:dyDescent="0.25">
      <c r="A413" s="16" t="s">
        <v>3024</v>
      </c>
      <c r="B413" s="19">
        <v>0</v>
      </c>
      <c r="C413" s="19">
        <v>0</v>
      </c>
    </row>
    <row r="414" spans="1:3" x14ac:dyDescent="0.25">
      <c r="A414" s="16" t="s">
        <v>3025</v>
      </c>
      <c r="B414" s="19">
        <v>0</v>
      </c>
      <c r="C414" s="19">
        <v>1</v>
      </c>
    </row>
    <row r="415" spans="1:3" x14ac:dyDescent="0.25">
      <c r="A415" s="16" t="s">
        <v>3026</v>
      </c>
      <c r="B415" s="19">
        <v>0</v>
      </c>
      <c r="C415" s="19">
        <v>0</v>
      </c>
    </row>
    <row r="416" spans="1:3" x14ac:dyDescent="0.25">
      <c r="A416" s="16" t="s">
        <v>3027</v>
      </c>
      <c r="B416" s="19">
        <v>0</v>
      </c>
      <c r="C416" s="19">
        <v>6</v>
      </c>
    </row>
    <row r="417" spans="1:3" x14ac:dyDescent="0.25">
      <c r="A417" s="16" t="s">
        <v>3159</v>
      </c>
      <c r="B417" s="19">
        <v>0</v>
      </c>
      <c r="C417" s="19">
        <v>1</v>
      </c>
    </row>
    <row r="418" spans="1:3" x14ac:dyDescent="0.25">
      <c r="A418" s="16" t="s">
        <v>3028</v>
      </c>
      <c r="B418" s="19">
        <v>0</v>
      </c>
      <c r="C418" s="19">
        <v>0</v>
      </c>
    </row>
    <row r="419" spans="1:3" x14ac:dyDescent="0.25">
      <c r="A419" s="16" t="s">
        <v>3029</v>
      </c>
      <c r="B419" s="19">
        <v>0</v>
      </c>
      <c r="C419" s="19">
        <v>1</v>
      </c>
    </row>
    <row r="420" spans="1:3" x14ac:dyDescent="0.25">
      <c r="A420" s="16" t="s">
        <v>3030</v>
      </c>
      <c r="B420" s="19">
        <v>0</v>
      </c>
      <c r="C420" s="19">
        <v>0</v>
      </c>
    </row>
    <row r="421" spans="1:3" x14ac:dyDescent="0.25">
      <c r="A421" s="16" t="s">
        <v>3031</v>
      </c>
      <c r="B421" s="19">
        <v>0</v>
      </c>
      <c r="C421" s="19">
        <v>6</v>
      </c>
    </row>
    <row r="422" spans="1:3" x14ac:dyDescent="0.25">
      <c r="A422" s="16" t="s">
        <v>3160</v>
      </c>
      <c r="B422" s="19">
        <v>0</v>
      </c>
      <c r="C422" s="19">
        <v>1</v>
      </c>
    </row>
    <row r="423" spans="1:3" x14ac:dyDescent="0.25">
      <c r="A423" s="16" t="s">
        <v>3032</v>
      </c>
      <c r="B423" s="19">
        <v>0</v>
      </c>
      <c r="C423" s="19">
        <v>0</v>
      </c>
    </row>
    <row r="424" spans="1:3" x14ac:dyDescent="0.25">
      <c r="A424" s="16" t="s">
        <v>3033</v>
      </c>
      <c r="B424" s="19">
        <v>0</v>
      </c>
      <c r="C424" s="19">
        <v>1</v>
      </c>
    </row>
    <row r="425" spans="1:3" x14ac:dyDescent="0.25">
      <c r="A425" s="16" t="s">
        <v>3034</v>
      </c>
      <c r="B425" s="19">
        <v>0</v>
      </c>
      <c r="C425" s="19">
        <v>0</v>
      </c>
    </row>
    <row r="426" spans="1:3" x14ac:dyDescent="0.25">
      <c r="A426" s="16" t="s">
        <v>3035</v>
      </c>
      <c r="B426" s="19">
        <v>0</v>
      </c>
      <c r="C426" s="19">
        <v>6</v>
      </c>
    </row>
    <row r="427" spans="1:3" x14ac:dyDescent="0.25">
      <c r="A427" s="16" t="s">
        <v>3161</v>
      </c>
      <c r="B427" s="19">
        <v>0</v>
      </c>
      <c r="C427" s="19">
        <v>1</v>
      </c>
    </row>
    <row r="428" spans="1:3" x14ac:dyDescent="0.25">
      <c r="A428" s="16" t="s">
        <v>3036</v>
      </c>
      <c r="B428" s="19">
        <v>0</v>
      </c>
      <c r="C428" s="19">
        <v>0</v>
      </c>
    </row>
    <row r="429" spans="1:3" x14ac:dyDescent="0.25">
      <c r="A429" s="16" t="s">
        <v>2927</v>
      </c>
      <c r="B429" s="19">
        <v>0</v>
      </c>
      <c r="C429" s="19">
        <v>0</v>
      </c>
    </row>
    <row r="430" spans="1:3" x14ac:dyDescent="0.25">
      <c r="A430" s="16" t="s">
        <v>3037</v>
      </c>
      <c r="B430" s="19">
        <v>0</v>
      </c>
      <c r="C430" s="19">
        <v>7</v>
      </c>
    </row>
    <row r="431" spans="1:3" x14ac:dyDescent="0.25">
      <c r="A431" s="16" t="s">
        <v>3038</v>
      </c>
      <c r="B431" s="19">
        <v>0</v>
      </c>
      <c r="C431" s="19">
        <v>1</v>
      </c>
    </row>
    <row r="432" spans="1:3" x14ac:dyDescent="0.25">
      <c r="A432" s="16" t="s">
        <v>3039</v>
      </c>
      <c r="B432" s="19">
        <v>0</v>
      </c>
      <c r="C432" s="19">
        <v>1</v>
      </c>
    </row>
    <row r="433" spans="1:3" x14ac:dyDescent="0.25">
      <c r="A433" s="16" t="s">
        <v>3040</v>
      </c>
      <c r="B433" s="19">
        <v>0</v>
      </c>
      <c r="C433" s="19">
        <v>1</v>
      </c>
    </row>
    <row r="434" spans="1:3" x14ac:dyDescent="0.25">
      <c r="A434" s="16" t="s">
        <v>3041</v>
      </c>
      <c r="B434" s="19">
        <v>0</v>
      </c>
      <c r="C434" s="19">
        <v>1</v>
      </c>
    </row>
    <row r="435" spans="1:3" x14ac:dyDescent="0.25">
      <c r="A435" s="16" t="s">
        <v>3042</v>
      </c>
      <c r="B435" s="19">
        <v>0</v>
      </c>
      <c r="C435" s="19">
        <v>0</v>
      </c>
    </row>
    <row r="436" spans="1:3" x14ac:dyDescent="0.25">
      <c r="A436" s="16" t="s">
        <v>2879</v>
      </c>
      <c r="B436" s="19">
        <v>0</v>
      </c>
      <c r="C436" s="19">
        <v>0</v>
      </c>
    </row>
    <row r="437" spans="1:3" x14ac:dyDescent="0.25">
      <c r="A437" s="16" t="s">
        <v>2881</v>
      </c>
      <c r="B437" s="19">
        <v>0</v>
      </c>
      <c r="C437" s="19">
        <v>1</v>
      </c>
    </row>
    <row r="438" spans="1:3" x14ac:dyDescent="0.25">
      <c r="A438" s="16" t="s">
        <v>2883</v>
      </c>
      <c r="B438" s="19">
        <v>0</v>
      </c>
      <c r="C438" s="19">
        <v>1</v>
      </c>
    </row>
    <row r="439" spans="1:3" x14ac:dyDescent="0.25">
      <c r="A439" s="16" t="s">
        <v>2885</v>
      </c>
      <c r="B439" s="19">
        <v>0</v>
      </c>
      <c r="C439" s="19">
        <v>0</v>
      </c>
    </row>
    <row r="440" spans="1:3" x14ac:dyDescent="0.25">
      <c r="A440" s="16" t="s">
        <v>3043</v>
      </c>
      <c r="B440" s="19">
        <v>0</v>
      </c>
      <c r="C440" s="19">
        <v>0</v>
      </c>
    </row>
    <row r="441" spans="1:3" x14ac:dyDescent="0.25">
      <c r="A441" s="16" t="s">
        <v>3044</v>
      </c>
      <c r="B441" s="19">
        <v>0</v>
      </c>
      <c r="C441" s="19">
        <v>0</v>
      </c>
    </row>
    <row r="442" spans="1:3" x14ac:dyDescent="0.25">
      <c r="A442" s="16" t="s">
        <v>2878</v>
      </c>
      <c r="B442" s="19">
        <v>0</v>
      </c>
      <c r="C442" s="19">
        <v>0</v>
      </c>
    </row>
    <row r="443" spans="1:3" x14ac:dyDescent="0.25">
      <c r="A443" s="16" t="s">
        <v>2880</v>
      </c>
      <c r="B443" s="19">
        <v>0</v>
      </c>
      <c r="C443" s="19">
        <v>1</v>
      </c>
    </row>
    <row r="444" spans="1:3" x14ac:dyDescent="0.25">
      <c r="A444" s="16" t="s">
        <v>2882</v>
      </c>
      <c r="B444" s="19">
        <v>0</v>
      </c>
      <c r="C444" s="19">
        <v>1</v>
      </c>
    </row>
    <row r="445" spans="1:3" x14ac:dyDescent="0.25">
      <c r="A445" s="16" t="s">
        <v>2884</v>
      </c>
      <c r="B445" s="19">
        <v>0</v>
      </c>
      <c r="C445" s="19">
        <v>0</v>
      </c>
    </row>
    <row r="446" spans="1:3" x14ac:dyDescent="0.25">
      <c r="A446" s="16" t="s">
        <v>3045</v>
      </c>
      <c r="B446" s="19">
        <v>0</v>
      </c>
      <c r="C446" s="19">
        <v>0</v>
      </c>
    </row>
    <row r="447" spans="1:3" x14ac:dyDescent="0.25">
      <c r="A447" s="16" t="s">
        <v>3046</v>
      </c>
      <c r="B447" s="19">
        <v>0</v>
      </c>
      <c r="C447" s="19">
        <v>1</v>
      </c>
    </row>
    <row r="448" spans="1:3" x14ac:dyDescent="0.25">
      <c r="A448" s="16" t="s">
        <v>3047</v>
      </c>
      <c r="B448" s="19">
        <v>0</v>
      </c>
      <c r="C448" s="19">
        <v>0</v>
      </c>
    </row>
    <row r="449" spans="1:3" x14ac:dyDescent="0.25">
      <c r="A449" s="16" t="s">
        <v>2887</v>
      </c>
      <c r="B449" s="19">
        <v>0</v>
      </c>
      <c r="C449" s="19">
        <v>0</v>
      </c>
    </row>
    <row r="450" spans="1:3" x14ac:dyDescent="0.25">
      <c r="A450" s="16" t="s">
        <v>2889</v>
      </c>
      <c r="B450" s="19">
        <v>0</v>
      </c>
      <c r="C450" s="19">
        <v>1</v>
      </c>
    </row>
    <row r="451" spans="1:3" x14ac:dyDescent="0.25">
      <c r="A451" s="16" t="s">
        <v>2891</v>
      </c>
      <c r="B451" s="19">
        <v>0</v>
      </c>
      <c r="C451" s="19">
        <v>1</v>
      </c>
    </row>
    <row r="452" spans="1:3" x14ac:dyDescent="0.25">
      <c r="A452" s="16" t="s">
        <v>2893</v>
      </c>
      <c r="B452" s="19">
        <v>0</v>
      </c>
      <c r="C452" s="19">
        <v>0</v>
      </c>
    </row>
    <row r="453" spans="1:3" x14ac:dyDescent="0.25">
      <c r="A453" s="16" t="s">
        <v>3048</v>
      </c>
      <c r="B453" s="19">
        <v>0</v>
      </c>
      <c r="C453" s="19">
        <v>0</v>
      </c>
    </row>
    <row r="454" spans="1:3" x14ac:dyDescent="0.25">
      <c r="A454" s="16" t="s">
        <v>3049</v>
      </c>
      <c r="B454" s="19">
        <v>0</v>
      </c>
      <c r="C454" s="19">
        <v>0</v>
      </c>
    </row>
    <row r="455" spans="1:3" x14ac:dyDescent="0.25">
      <c r="A455" s="16" t="s">
        <v>2886</v>
      </c>
      <c r="B455" s="19">
        <v>0</v>
      </c>
      <c r="C455" s="19">
        <v>0</v>
      </c>
    </row>
    <row r="456" spans="1:3" x14ac:dyDescent="0.25">
      <c r="A456" s="16" t="s">
        <v>2888</v>
      </c>
      <c r="B456" s="19">
        <v>0</v>
      </c>
      <c r="C456" s="19">
        <v>1</v>
      </c>
    </row>
    <row r="457" spans="1:3" x14ac:dyDescent="0.25">
      <c r="A457" s="16" t="s">
        <v>2890</v>
      </c>
      <c r="B457" s="19">
        <v>0</v>
      </c>
      <c r="C457" s="19">
        <v>1</v>
      </c>
    </row>
    <row r="458" spans="1:3" x14ac:dyDescent="0.25">
      <c r="A458" s="16" t="s">
        <v>2892</v>
      </c>
      <c r="B458" s="19">
        <v>0</v>
      </c>
      <c r="C458" s="19">
        <v>0</v>
      </c>
    </row>
    <row r="459" spans="1:3" x14ac:dyDescent="0.25">
      <c r="A459" s="16" t="s">
        <v>3050</v>
      </c>
      <c r="B459" s="19">
        <v>0</v>
      </c>
      <c r="C459" s="19">
        <v>0</v>
      </c>
    </row>
    <row r="460" spans="1:3" x14ac:dyDescent="0.25">
      <c r="A460" s="16" t="s">
        <v>3051</v>
      </c>
      <c r="B460" s="19">
        <v>0</v>
      </c>
      <c r="C460" s="19">
        <v>0</v>
      </c>
    </row>
    <row r="461" spans="1:3" x14ac:dyDescent="0.25">
      <c r="A461" s="16" t="s">
        <v>3052</v>
      </c>
      <c r="B461" s="19">
        <v>0</v>
      </c>
      <c r="C461" s="19">
        <v>1</v>
      </c>
    </row>
    <row r="462" spans="1:3" x14ac:dyDescent="0.25">
      <c r="A462" s="16" t="s">
        <v>3053</v>
      </c>
      <c r="B462" s="19">
        <v>0</v>
      </c>
      <c r="C462" s="19">
        <v>0</v>
      </c>
    </row>
    <row r="463" spans="1:3" x14ac:dyDescent="0.25">
      <c r="A463" s="16" t="s">
        <v>3054</v>
      </c>
      <c r="B463" s="19">
        <v>0</v>
      </c>
      <c r="C463" s="19">
        <v>1</v>
      </c>
    </row>
    <row r="464" spans="1:3" x14ac:dyDescent="0.25">
      <c r="A464" s="16" t="s">
        <v>3055</v>
      </c>
      <c r="B464" s="19">
        <v>0</v>
      </c>
      <c r="C464" s="19">
        <v>0</v>
      </c>
    </row>
    <row r="465" spans="1:3" x14ac:dyDescent="0.25">
      <c r="A465" s="16" t="s">
        <v>3056</v>
      </c>
      <c r="B465" s="19">
        <v>0</v>
      </c>
      <c r="C465" s="19">
        <v>0</v>
      </c>
    </row>
    <row r="466" spans="1:3" x14ac:dyDescent="0.25">
      <c r="A466" s="16" t="s">
        <v>3057</v>
      </c>
      <c r="B466" s="19">
        <v>0</v>
      </c>
      <c r="C466" s="19">
        <v>0</v>
      </c>
    </row>
    <row r="467" spans="1:3" x14ac:dyDescent="0.25">
      <c r="A467" s="16" t="s">
        <v>3058</v>
      </c>
      <c r="B467" s="19">
        <v>0</v>
      </c>
      <c r="C467" s="19">
        <v>0</v>
      </c>
    </row>
    <row r="468" spans="1:3" x14ac:dyDescent="0.25">
      <c r="A468" s="16" t="s">
        <v>3059</v>
      </c>
      <c r="B468" s="19">
        <v>0</v>
      </c>
      <c r="C468" s="19">
        <v>0</v>
      </c>
    </row>
    <row r="469" spans="1:3" x14ac:dyDescent="0.25">
      <c r="A469" s="16" t="s">
        <v>3060</v>
      </c>
      <c r="B469" s="19">
        <v>0</v>
      </c>
      <c r="C469" s="19">
        <v>1</v>
      </c>
    </row>
    <row r="470" spans="1:3" x14ac:dyDescent="0.25">
      <c r="A470" s="16" t="s">
        <v>3061</v>
      </c>
      <c r="B470" s="19">
        <v>0</v>
      </c>
      <c r="C470" s="19">
        <v>6</v>
      </c>
    </row>
    <row r="471" spans="1:3" x14ac:dyDescent="0.25">
      <c r="A471" s="16" t="s">
        <v>3062</v>
      </c>
      <c r="B471" s="19">
        <v>0</v>
      </c>
      <c r="C471" s="19">
        <v>0</v>
      </c>
    </row>
    <row r="472" spans="1:3" x14ac:dyDescent="0.25">
      <c r="A472" s="16" t="s">
        <v>3063</v>
      </c>
      <c r="B472" s="19">
        <v>0</v>
      </c>
      <c r="C472" s="19">
        <v>0</v>
      </c>
    </row>
    <row r="473" spans="1:3" x14ac:dyDescent="0.25">
      <c r="A473" s="16" t="s">
        <v>3064</v>
      </c>
      <c r="B473" s="19">
        <v>0</v>
      </c>
      <c r="C473" s="19">
        <v>1</v>
      </c>
    </row>
    <row r="474" spans="1:3" x14ac:dyDescent="0.25">
      <c r="A474" s="16" t="s">
        <v>3065</v>
      </c>
      <c r="B474" s="19">
        <v>0</v>
      </c>
      <c r="C474" s="19">
        <v>0</v>
      </c>
    </row>
    <row r="475" spans="1:3" x14ac:dyDescent="0.25">
      <c r="A475" s="16" t="s">
        <v>3066</v>
      </c>
      <c r="B475" s="19">
        <v>0</v>
      </c>
      <c r="C475" s="19">
        <v>3</v>
      </c>
    </row>
    <row r="476" spans="1:3" x14ac:dyDescent="0.25">
      <c r="A476" s="16" t="s">
        <v>3067</v>
      </c>
      <c r="B476" s="19">
        <v>0</v>
      </c>
      <c r="C476" s="19">
        <v>1</v>
      </c>
    </row>
    <row r="477" spans="1:3" x14ac:dyDescent="0.25">
      <c r="A477" s="16" t="s">
        <v>3068</v>
      </c>
      <c r="B477" s="19">
        <v>0</v>
      </c>
      <c r="C477" s="19">
        <v>7</v>
      </c>
    </row>
    <row r="478" spans="1:3" x14ac:dyDescent="0.25">
      <c r="A478" s="16" t="s">
        <v>3069</v>
      </c>
      <c r="B478" s="19">
        <v>0</v>
      </c>
      <c r="C478" s="19">
        <v>0</v>
      </c>
    </row>
    <row r="479" spans="1:3" x14ac:dyDescent="0.25">
      <c r="A479" s="16" t="s">
        <v>3070</v>
      </c>
      <c r="B479" s="19">
        <v>0</v>
      </c>
      <c r="C479" s="19">
        <v>2</v>
      </c>
    </row>
    <row r="480" spans="1:3" x14ac:dyDescent="0.25">
      <c r="A480" s="16" t="s">
        <v>3071</v>
      </c>
      <c r="B480" s="19">
        <v>0</v>
      </c>
      <c r="C480" s="19">
        <v>1</v>
      </c>
    </row>
    <row r="481" spans="1:3" x14ac:dyDescent="0.25">
      <c r="A481" s="16" t="s">
        <v>3072</v>
      </c>
      <c r="B481" s="19">
        <v>0</v>
      </c>
      <c r="C481" s="19">
        <v>1</v>
      </c>
    </row>
    <row r="482" spans="1:3" x14ac:dyDescent="0.25">
      <c r="A482" s="16" t="s">
        <v>3073</v>
      </c>
      <c r="B482" s="19">
        <v>0</v>
      </c>
      <c r="C482" s="19">
        <v>30</v>
      </c>
    </row>
    <row r="483" spans="1:3" x14ac:dyDescent="0.25">
      <c r="A483" s="16" t="s">
        <v>3068</v>
      </c>
      <c r="B483" s="19">
        <v>0</v>
      </c>
      <c r="C483" s="19">
        <v>10</v>
      </c>
    </row>
    <row r="484" spans="1:3" x14ac:dyDescent="0.25">
      <c r="A484" s="16" t="s">
        <v>3069</v>
      </c>
      <c r="B484" s="19">
        <v>0</v>
      </c>
      <c r="C484" s="19">
        <v>2</v>
      </c>
    </row>
    <row r="485" spans="1:3" x14ac:dyDescent="0.25">
      <c r="A485" s="16" t="s">
        <v>3070</v>
      </c>
      <c r="B485" s="19">
        <v>0</v>
      </c>
      <c r="C485" s="19">
        <v>3</v>
      </c>
    </row>
    <row r="486" spans="1:3" x14ac:dyDescent="0.25">
      <c r="A486" s="16" t="s">
        <v>3074</v>
      </c>
      <c r="B486" s="19">
        <v>0</v>
      </c>
      <c r="C486" s="19">
        <v>1</v>
      </c>
    </row>
    <row r="487" spans="1:3" x14ac:dyDescent="0.25">
      <c r="A487" s="16" t="s">
        <v>3075</v>
      </c>
      <c r="B487" s="19">
        <v>1</v>
      </c>
      <c r="C487" s="19">
        <v>1</v>
      </c>
    </row>
    <row r="488" spans="1:3" x14ac:dyDescent="0.25">
      <c r="A488" s="16" t="s">
        <v>3076</v>
      </c>
      <c r="B488" s="19">
        <v>0</v>
      </c>
      <c r="C488" s="19">
        <v>1</v>
      </c>
    </row>
    <row r="489" spans="1:3" x14ac:dyDescent="0.25">
      <c r="A489" s="16" t="s">
        <v>3077</v>
      </c>
      <c r="B489" s="19">
        <v>0</v>
      </c>
      <c r="C489" s="19">
        <v>0</v>
      </c>
    </row>
    <row r="490" spans="1:3" x14ac:dyDescent="0.25">
      <c r="A490" s="16" t="s">
        <v>3078</v>
      </c>
      <c r="B490" s="19">
        <v>0</v>
      </c>
      <c r="C490" s="19">
        <v>6</v>
      </c>
    </row>
    <row r="491" spans="1:3" x14ac:dyDescent="0.25">
      <c r="A491" s="16" t="s">
        <v>3079</v>
      </c>
      <c r="B491" s="19">
        <v>0</v>
      </c>
      <c r="C491" s="19">
        <v>1</v>
      </c>
    </row>
    <row r="492" spans="1:3" x14ac:dyDescent="0.25">
      <c r="A492" s="16" t="s">
        <v>3080</v>
      </c>
      <c r="B492" s="19">
        <v>0</v>
      </c>
      <c r="C492" s="19">
        <v>1</v>
      </c>
    </row>
    <row r="493" spans="1:3" x14ac:dyDescent="0.25">
      <c r="A493" s="16" t="s">
        <v>3081</v>
      </c>
      <c r="B493" s="19">
        <v>0</v>
      </c>
      <c r="C493" s="19">
        <v>1</v>
      </c>
    </row>
    <row r="494" spans="1:3" x14ac:dyDescent="0.25">
      <c r="A494" s="16" t="s">
        <v>3082</v>
      </c>
      <c r="B494" s="19">
        <v>0</v>
      </c>
      <c r="C494" s="19">
        <v>3</v>
      </c>
    </row>
    <row r="495" spans="1:3" x14ac:dyDescent="0.25">
      <c r="A495" s="16" t="s">
        <v>3083</v>
      </c>
      <c r="B495" s="19">
        <v>0</v>
      </c>
      <c r="C495" s="19">
        <v>1</v>
      </c>
    </row>
    <row r="496" spans="1:3" x14ac:dyDescent="0.25">
      <c r="A496" s="16" t="s">
        <v>3084</v>
      </c>
      <c r="B496" s="19">
        <v>0</v>
      </c>
      <c r="C496" s="19">
        <v>7</v>
      </c>
    </row>
    <row r="497" spans="1:3" x14ac:dyDescent="0.25">
      <c r="A497" s="16" t="s">
        <v>3085</v>
      </c>
      <c r="B497" s="19">
        <v>0</v>
      </c>
      <c r="C497" s="19">
        <v>0</v>
      </c>
    </row>
    <row r="498" spans="1:3" x14ac:dyDescent="0.25">
      <c r="A498" s="16" t="s">
        <v>3086</v>
      </c>
      <c r="B498" s="19">
        <v>0</v>
      </c>
      <c r="C498" s="19">
        <v>2</v>
      </c>
    </row>
    <row r="499" spans="1:3" x14ac:dyDescent="0.25">
      <c r="A499" s="16" t="s">
        <v>3087</v>
      </c>
      <c r="B499" s="19">
        <v>0</v>
      </c>
      <c r="C499" s="19">
        <v>1</v>
      </c>
    </row>
    <row r="500" spans="1:3" x14ac:dyDescent="0.25">
      <c r="A500" s="16" t="s">
        <v>3088</v>
      </c>
      <c r="B500" s="19">
        <v>0</v>
      </c>
      <c r="C500" s="19">
        <v>1</v>
      </c>
    </row>
    <row r="501" spans="1:3" x14ac:dyDescent="0.25">
      <c r="A501" s="16" t="s">
        <v>3089</v>
      </c>
      <c r="B501" s="19">
        <v>0</v>
      </c>
      <c r="C501" s="19">
        <v>30</v>
      </c>
    </row>
    <row r="502" spans="1:3" x14ac:dyDescent="0.25">
      <c r="A502" s="16" t="s">
        <v>3084</v>
      </c>
      <c r="B502" s="19">
        <v>0</v>
      </c>
      <c r="C502" s="19">
        <v>10</v>
      </c>
    </row>
    <row r="503" spans="1:3" x14ac:dyDescent="0.25">
      <c r="A503" s="16" t="s">
        <v>3085</v>
      </c>
      <c r="B503" s="19">
        <v>0</v>
      </c>
      <c r="C503" s="19">
        <v>2</v>
      </c>
    </row>
    <row r="504" spans="1:3" x14ac:dyDescent="0.25">
      <c r="A504" s="16" t="s">
        <v>3086</v>
      </c>
      <c r="B504" s="19">
        <v>0</v>
      </c>
      <c r="C504" s="19">
        <v>3</v>
      </c>
    </row>
    <row r="505" spans="1:3" x14ac:dyDescent="0.25">
      <c r="A505" s="16" t="s">
        <v>3090</v>
      </c>
      <c r="B505" s="19">
        <v>0</v>
      </c>
      <c r="C505" s="19">
        <v>1</v>
      </c>
    </row>
    <row r="506" spans="1:3" x14ac:dyDescent="0.25">
      <c r="A506" s="16" t="s">
        <v>3091</v>
      </c>
      <c r="B506" s="19">
        <v>1</v>
      </c>
      <c r="C506" s="19">
        <v>1</v>
      </c>
    </row>
    <row r="507" spans="1:3" x14ac:dyDescent="0.25">
      <c r="A507" s="16" t="s">
        <v>3092</v>
      </c>
      <c r="B507" s="19">
        <v>0</v>
      </c>
      <c r="C507" s="19">
        <v>1</v>
      </c>
    </row>
    <row r="508" spans="1:3" x14ac:dyDescent="0.25">
      <c r="A508" s="16" t="s">
        <v>3093</v>
      </c>
      <c r="B508" s="19">
        <v>0</v>
      </c>
      <c r="C508" s="19">
        <v>0</v>
      </c>
    </row>
    <row r="509" spans="1:3" x14ac:dyDescent="0.25">
      <c r="A509" s="16" t="s">
        <v>3094</v>
      </c>
      <c r="B509" s="19">
        <v>0</v>
      </c>
      <c r="C509" s="19">
        <v>6</v>
      </c>
    </row>
    <row r="510" spans="1:3" x14ac:dyDescent="0.25">
      <c r="A510" s="16" t="s">
        <v>3095</v>
      </c>
      <c r="B510" s="19">
        <v>0</v>
      </c>
      <c r="C510" s="19">
        <v>1</v>
      </c>
    </row>
    <row r="511" spans="1:3" x14ac:dyDescent="0.25">
      <c r="A511" s="16" t="s">
        <v>3096</v>
      </c>
      <c r="B511" s="19">
        <v>0</v>
      </c>
      <c r="C511" s="19">
        <v>1</v>
      </c>
    </row>
    <row r="512" spans="1:3" x14ac:dyDescent="0.25">
      <c r="A512" s="16" t="s">
        <v>3097</v>
      </c>
      <c r="B512" s="19">
        <v>0</v>
      </c>
      <c r="C512" s="19">
        <v>1</v>
      </c>
    </row>
    <row r="513" spans="1:3" x14ac:dyDescent="0.25">
      <c r="A513" s="16" t="s">
        <v>3098</v>
      </c>
      <c r="B513" s="19">
        <v>0</v>
      </c>
      <c r="C513" s="19">
        <v>3</v>
      </c>
    </row>
    <row r="514" spans="1:3" x14ac:dyDescent="0.25">
      <c r="A514" s="16" t="s">
        <v>3099</v>
      </c>
      <c r="B514" s="19">
        <v>0</v>
      </c>
      <c r="C514" s="19">
        <v>1</v>
      </c>
    </row>
    <row r="515" spans="1:3" x14ac:dyDescent="0.25">
      <c r="A515" s="16" t="s">
        <v>3100</v>
      </c>
      <c r="B515" s="19">
        <v>0</v>
      </c>
      <c r="C515" s="19">
        <v>7</v>
      </c>
    </row>
    <row r="516" spans="1:3" x14ac:dyDescent="0.25">
      <c r="A516" s="16" t="s">
        <v>3101</v>
      </c>
      <c r="B516" s="19">
        <v>0</v>
      </c>
      <c r="C516" s="19">
        <v>0</v>
      </c>
    </row>
    <row r="517" spans="1:3" x14ac:dyDescent="0.25">
      <c r="A517" s="16" t="s">
        <v>3102</v>
      </c>
      <c r="B517" s="19">
        <v>0</v>
      </c>
      <c r="C517" s="19">
        <v>2</v>
      </c>
    </row>
    <row r="518" spans="1:3" x14ac:dyDescent="0.25">
      <c r="A518" s="16" t="s">
        <v>3103</v>
      </c>
      <c r="B518" s="19">
        <v>0</v>
      </c>
      <c r="C518" s="19">
        <v>1</v>
      </c>
    </row>
    <row r="519" spans="1:3" x14ac:dyDescent="0.25">
      <c r="A519" s="16" t="s">
        <v>3104</v>
      </c>
      <c r="B519" s="19">
        <v>0</v>
      </c>
      <c r="C519" s="19">
        <v>1</v>
      </c>
    </row>
    <row r="520" spans="1:3" x14ac:dyDescent="0.25">
      <c r="A520" s="16" t="s">
        <v>3105</v>
      </c>
      <c r="B520" s="19">
        <v>0</v>
      </c>
      <c r="C520" s="19">
        <v>30</v>
      </c>
    </row>
    <row r="521" spans="1:3" x14ac:dyDescent="0.25">
      <c r="A521" s="16" t="s">
        <v>3100</v>
      </c>
      <c r="B521" s="19">
        <v>0</v>
      </c>
      <c r="C521" s="19">
        <v>10</v>
      </c>
    </row>
    <row r="522" spans="1:3" x14ac:dyDescent="0.25">
      <c r="A522" s="16" t="s">
        <v>3101</v>
      </c>
      <c r="B522" s="19">
        <v>0</v>
      </c>
      <c r="C522" s="19">
        <v>2</v>
      </c>
    </row>
    <row r="523" spans="1:3" x14ac:dyDescent="0.25">
      <c r="A523" s="16" t="s">
        <v>3102</v>
      </c>
      <c r="B523" s="19">
        <v>0</v>
      </c>
      <c r="C523" s="19">
        <v>3</v>
      </c>
    </row>
    <row r="524" spans="1:3" x14ac:dyDescent="0.25">
      <c r="A524" s="16" t="s">
        <v>3106</v>
      </c>
      <c r="B524" s="19">
        <v>0</v>
      </c>
      <c r="C524" s="19">
        <v>1</v>
      </c>
    </row>
    <row r="525" spans="1:3" x14ac:dyDescent="0.25">
      <c r="A525" s="16" t="s">
        <v>3107</v>
      </c>
      <c r="B525" s="19">
        <v>1</v>
      </c>
      <c r="C525" s="19">
        <v>1</v>
      </c>
    </row>
    <row r="526" spans="1:3" x14ac:dyDescent="0.25">
      <c r="A526" s="16" t="s">
        <v>3108</v>
      </c>
      <c r="B526" s="19">
        <v>0</v>
      </c>
      <c r="C526" s="19">
        <v>1</v>
      </c>
    </row>
    <row r="527" spans="1:3" x14ac:dyDescent="0.25">
      <c r="A527" s="16" t="s">
        <v>3109</v>
      </c>
      <c r="B527" s="19">
        <v>0</v>
      </c>
      <c r="C527" s="19">
        <v>0</v>
      </c>
    </row>
    <row r="528" spans="1:3" x14ac:dyDescent="0.25">
      <c r="A528" s="16" t="s">
        <v>3110</v>
      </c>
      <c r="B528" s="19">
        <v>0</v>
      </c>
      <c r="C528" s="19">
        <v>6</v>
      </c>
    </row>
    <row r="529" spans="1:3" x14ac:dyDescent="0.25">
      <c r="A529" s="16" t="s">
        <v>3111</v>
      </c>
      <c r="B529" s="19">
        <v>0</v>
      </c>
      <c r="C529" s="19">
        <v>1</v>
      </c>
    </row>
    <row r="530" spans="1:3" x14ac:dyDescent="0.25">
      <c r="A530" s="16" t="s">
        <v>3112</v>
      </c>
      <c r="B530" s="19">
        <v>0</v>
      </c>
      <c r="C530" s="19">
        <v>1</v>
      </c>
    </row>
    <row r="531" spans="1:3" x14ac:dyDescent="0.25">
      <c r="A531" s="16" t="s">
        <v>3113</v>
      </c>
      <c r="B531" s="19">
        <v>0</v>
      </c>
      <c r="C531" s="19">
        <v>1</v>
      </c>
    </row>
    <row r="532" spans="1:3" ht="15" thickBot="1" x14ac:dyDescent="0.3">
      <c r="A532" s="17" t="s">
        <v>3171</v>
      </c>
      <c r="B532" s="20" t="s">
        <v>3170</v>
      </c>
      <c r="C532" s="20" t="s">
        <v>3170</v>
      </c>
    </row>
  </sheetData>
  <mergeCells count="1">
    <mergeCell ref="A2:B2"/>
  </mergeCells>
  <phoneticPr fontId="11" type="noConversion"/>
  <conditionalFormatting sqref="AO137">
    <cfRule type="expression" dxfId="0" priority="325">
      <formula>OR($AO$137&gt;$AL$130,$AO$137&gt;$B$92)</formula>
    </cfRule>
  </conditionalFormatting>
  <dataValidations count="1">
    <dataValidation allowBlank="1" showErrorMessage="1" promptTitle="Note" prompt="The actual XOSC limit is 44 MHz, but 44 is difficult to work with in a PLL." sqref="C266"/>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41D382EB71FE41B2A4ED54EE7A7A78" ma:contentTypeVersion="10" ma:contentTypeDescription="Create a new document." ma:contentTypeScope="" ma:versionID="2f61bb0c268a7e072b1d812775f8c9cf">
  <xsd:schema xmlns:xsd="http://www.w3.org/2001/XMLSchema" xmlns:xs="http://www.w3.org/2001/XMLSchema" xmlns:p="http://schemas.microsoft.com/office/2006/metadata/properties" xmlns:ns2="1e41a949-89b6-4fbc-a24a-14e96cae5647" xmlns:ns3="http://schemas.microsoft.com/sharepoint/v4" xmlns:ns4="b29a2363-0b01-47a1-87d8-ea263e3d2043" targetNamespace="http://schemas.microsoft.com/office/2006/metadata/properties" ma:root="true" ma:fieldsID="74a791a43cf4fd70b813d51433c0bbaf" ns2:_="" ns3:_="" ns4:_="">
    <xsd:import namespace="1e41a949-89b6-4fbc-a24a-14e96cae5647"/>
    <xsd:import namespace="http://schemas.microsoft.com/sharepoint/v4"/>
    <xsd:import namespace="b29a2363-0b01-47a1-87d8-ea263e3d2043"/>
    <xsd:element name="properties">
      <xsd:complexType>
        <xsd:sequence>
          <xsd:element name="documentManagement">
            <xsd:complexType>
              <xsd:all>
                <xsd:element ref="ns2:SharedWithUsers" minOccurs="0"/>
                <xsd:element ref="ns2:SharedWithDetails" minOccurs="0"/>
                <xsd:element ref="ns2:_dlc_DocId" minOccurs="0"/>
                <xsd:element ref="ns2:_dlc_DocIdUrl" minOccurs="0"/>
                <xsd:element ref="ns2:_dlc_DocIdPersistId" minOccurs="0"/>
                <xsd:element ref="ns3:IconOverlay" minOccurs="0"/>
                <xsd:element ref="ns2:LastSharedByUser" minOccurs="0"/>
                <xsd:element ref="ns2:LastSharedByTime" minOccurs="0"/>
                <xsd:element ref="ns4:MediaServiceMetadata" minOccurs="0"/>
                <xsd:element ref="ns4:MediaServiceFastMetadata" minOccurs="0"/>
                <xsd:element ref="ns4:MediaServiceAutoTags" minOccurs="0"/>
                <xsd:element ref="ns4:MediaServiceOCR" minOccurs="0"/>
                <xsd:element ref="ns4: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41a949-89b6-4fbc-a24a-14e96cae564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_dlc_DocId" ma:index="10" nillable="true" ma:displayName="Document ID Value" ma:description="The value of the document ID assigned to this item." ma:internalName="_dlc_DocId" ma:readOnly="true">
      <xsd:simpleType>
        <xsd:restriction base="dms:Text"/>
      </xsd:simpleType>
    </xsd:element>
    <xsd:element name="_dlc_DocIdUrl" ma:index="1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element name="LastSharedByUser" ma:index="14" nillable="true" ma:displayName="Last Shared By User" ma:description="" ma:internalName="LastSharedByUser" ma:readOnly="true">
      <xsd:simpleType>
        <xsd:restriction base="dms:Note">
          <xsd:maxLength value="255"/>
        </xsd:restriction>
      </xsd:simpleType>
    </xsd:element>
    <xsd:element name="LastSharedByTime" ma:index="15"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3"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29a2363-0b01-47a1-87d8-ea263e3d2043" elementFormDefault="qualified">
    <xsd:import namespace="http://schemas.microsoft.com/office/2006/documentManagement/types"/>
    <xsd:import namespace="http://schemas.microsoft.com/office/infopath/2007/PartnerControls"/>
    <xsd:element name="MediaServiceMetadata" ma:index="16" nillable="true" ma:displayName="MediaServiceMetadata" ma:description="" ma:hidden="true" ma:internalName="MediaServiceMetadata" ma:readOnly="true">
      <xsd:simpleType>
        <xsd:restriction base="dms:Note"/>
      </xsd:simpleType>
    </xsd:element>
    <xsd:element name="MediaServiceFastMetadata" ma:index="17" nillable="true" ma:displayName="MediaServiceFastMetadata" ma:description="" ma:hidden="true" ma:internalName="MediaServiceFastMetadata" ma:readOnly="true">
      <xsd:simpleType>
        <xsd:restriction base="dms:Note"/>
      </xsd:simpleType>
    </xsd:element>
    <xsd:element name="MediaServiceAutoTags" ma:index="18" nillable="true" ma:displayName="MediaServiceAutoTags" ma:internalName="MediaServiceAutoTags" ma:readOnly="true">
      <xsd:simpleType>
        <xsd:restriction base="dms:Text"/>
      </xsd:simpleType>
    </xsd:element>
    <xsd:element name="MediaServiceOCR" ma:index="19" nillable="true" ma:displayName="MediaServiceOCR" ma:internalName="MediaServiceOCR" ma:readOnly="true">
      <xsd:simpleType>
        <xsd:restriction base="dms:Note">
          <xsd:maxLength value="255"/>
        </xsd:restriction>
      </xsd:simpleType>
    </xsd:element>
    <xsd:element name="MediaServiceDateTaken" ma:index="20"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_dlc_DocId xmlns="1e41a949-89b6-4fbc-a24a-14e96cae5647">DX5FUNCQP33E-850182076-5391</_dlc_DocId>
    <_dlc_DocIdUrl xmlns="1e41a949-89b6-4fbc-a24a-14e96cae5647">
      <Url>https://nxp1.sharepoint.com/teams/25_32/_layouts/15/DocIdRedir.aspx?ID=DX5FUNCQP33E-850182076-5391</Url>
      <Description>DX5FUNCQP33E-850182076-5391</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0C7B93C-564C-487E-9B54-07162FECDE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41a949-89b6-4fbc-a24a-14e96cae5647"/>
    <ds:schemaRef ds:uri="http://schemas.microsoft.com/sharepoint/v4"/>
    <ds:schemaRef ds:uri="b29a2363-0b01-47a1-87d8-ea263e3d20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57242F8-4BC4-492F-9154-12DDEE9078C5}">
  <ds:schemaRefs>
    <ds:schemaRef ds:uri="http://schemas.microsoft.com/office/2006/metadata/properties"/>
    <ds:schemaRef ds:uri="http://schemas.microsoft.com/office/2006/documentManagement/types"/>
    <ds:schemaRef ds:uri="http://schemas.openxmlformats.org/package/2006/metadata/core-properties"/>
    <ds:schemaRef ds:uri="http://schemas.microsoft.com/office/infopath/2007/PartnerControls"/>
    <ds:schemaRef ds:uri="http://purl.org/dc/dcmitype/"/>
    <ds:schemaRef ds:uri="http://purl.org/dc/elements/1.1/"/>
    <ds:schemaRef ds:uri="cc4f0714-531f-455a-8952-664ba21f1403"/>
    <ds:schemaRef ds:uri="http://www.w3.org/XML/1998/namespace"/>
    <ds:schemaRef ds:uri="http://purl.org/dc/terms/"/>
    <ds:schemaRef ds:uri="http://schemas.microsoft.com/sharepoint/v4"/>
    <ds:schemaRef ds:uri="1e41a949-89b6-4fbc-a24a-14e96cae5647"/>
  </ds:schemaRefs>
</ds:datastoreItem>
</file>

<file path=customXml/itemProps3.xml><?xml version="1.0" encoding="utf-8"?>
<ds:datastoreItem xmlns:ds="http://schemas.openxmlformats.org/officeDocument/2006/customXml" ds:itemID="{83AC1428-2407-4567-9C7E-747A6DFA8E2A}">
  <ds:schemaRefs>
    <ds:schemaRef ds:uri="http://schemas.microsoft.com/sharepoint/events"/>
  </ds:schemaRefs>
</ds:datastoreItem>
</file>

<file path=customXml/itemProps4.xml><?xml version="1.0" encoding="utf-8"?>
<ds:datastoreItem xmlns:ds="http://schemas.openxmlformats.org/officeDocument/2006/customXml" ds:itemID="{A9C9F553-53EF-4EB9-8B6F-283EA8D446A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14</vt:i4>
      </vt:variant>
      <vt:variant>
        <vt:lpstr>命名范围</vt:lpstr>
      </vt:variant>
      <vt:variant>
        <vt:i4>2663</vt:i4>
      </vt:variant>
    </vt:vector>
  </HeadingPairs>
  <TitlesOfParts>
    <vt:vector size="2677" baseType="lpstr">
      <vt:lpstr>Tree</vt:lpstr>
      <vt:lpstr>Device Select</vt:lpstr>
      <vt:lpstr>Oscillator Source Control</vt:lpstr>
      <vt:lpstr>Power Mode Control</vt:lpstr>
      <vt:lpstr>Module Domains</vt:lpstr>
      <vt:lpstr>RTC Clocking</vt:lpstr>
      <vt:lpstr>SAI Clocking</vt:lpstr>
      <vt:lpstr>QSPI Clocking</vt:lpstr>
      <vt:lpstr>ENET Clocking</vt:lpstr>
      <vt:lpstr>CAN Clocking</vt:lpstr>
      <vt:lpstr>SPLL</vt:lpstr>
      <vt:lpstr>spll_clk</vt:lpstr>
      <vt:lpstr>Summary</vt:lpstr>
      <vt:lpstr>Limits</vt:lpstr>
      <vt:lpstr>All_Enabled</vt:lpstr>
      <vt:lpstr>Tree!CLKOUT_S32K11x</vt:lpstr>
      <vt:lpstr>Tree!CLKOUT_S32K14x</vt:lpstr>
      <vt:lpstr>E0_0</vt:lpstr>
      <vt:lpstr>E0_1</vt:lpstr>
      <vt:lpstr>E0_10</vt:lpstr>
      <vt:lpstr>E0_11</vt:lpstr>
      <vt:lpstr>E0_12</vt:lpstr>
      <vt:lpstr>E0_13</vt:lpstr>
      <vt:lpstr>E0_14</vt:lpstr>
      <vt:lpstr>E0_15</vt:lpstr>
      <vt:lpstr>E0_16</vt:lpstr>
      <vt:lpstr>E0_17</vt:lpstr>
      <vt:lpstr>E0_18</vt:lpstr>
      <vt:lpstr>E0_19</vt:lpstr>
      <vt:lpstr>E0_2</vt:lpstr>
      <vt:lpstr>E0_20</vt:lpstr>
      <vt:lpstr>E0_21</vt:lpstr>
      <vt:lpstr>E0_22</vt:lpstr>
      <vt:lpstr>E0_23</vt:lpstr>
      <vt:lpstr>E0_24</vt:lpstr>
      <vt:lpstr>E0_25</vt:lpstr>
      <vt:lpstr>E0_26</vt:lpstr>
      <vt:lpstr>E0_27</vt:lpstr>
      <vt:lpstr>E0_28</vt:lpstr>
      <vt:lpstr>E0_29</vt:lpstr>
      <vt:lpstr>E0_3</vt:lpstr>
      <vt:lpstr>E0_30</vt:lpstr>
      <vt:lpstr>E0_31</vt:lpstr>
      <vt:lpstr>E0_4</vt:lpstr>
      <vt:lpstr>E0_5</vt:lpstr>
      <vt:lpstr>E0_6</vt:lpstr>
      <vt:lpstr>E0_7</vt:lpstr>
      <vt:lpstr>E0_8</vt:lpstr>
      <vt:lpstr>E0_9</vt:lpstr>
      <vt:lpstr>E1_0</vt:lpstr>
      <vt:lpstr>E1_1</vt:lpstr>
      <vt:lpstr>E1_10</vt:lpstr>
      <vt:lpstr>E1_11</vt:lpstr>
      <vt:lpstr>E1_12</vt:lpstr>
      <vt:lpstr>E1_13</vt:lpstr>
      <vt:lpstr>E1_14</vt:lpstr>
      <vt:lpstr>E1_15</vt:lpstr>
      <vt:lpstr>E1_16</vt:lpstr>
      <vt:lpstr>E1_17</vt:lpstr>
      <vt:lpstr>E1_18</vt:lpstr>
      <vt:lpstr>E1_19</vt:lpstr>
      <vt:lpstr>E1_2</vt:lpstr>
      <vt:lpstr>E1_20</vt:lpstr>
      <vt:lpstr>E1_21</vt:lpstr>
      <vt:lpstr>E1_22</vt:lpstr>
      <vt:lpstr>E1_23</vt:lpstr>
      <vt:lpstr>E1_24</vt:lpstr>
      <vt:lpstr>E1_25</vt:lpstr>
      <vt:lpstr>E1_26</vt:lpstr>
      <vt:lpstr>E1_27</vt:lpstr>
      <vt:lpstr>E1_28</vt:lpstr>
      <vt:lpstr>E1_29</vt:lpstr>
      <vt:lpstr>E1_3</vt:lpstr>
      <vt:lpstr>E1_30</vt:lpstr>
      <vt:lpstr>E1_31</vt:lpstr>
      <vt:lpstr>E1_4</vt:lpstr>
      <vt:lpstr>E1_5</vt:lpstr>
      <vt:lpstr>E1_6</vt:lpstr>
      <vt:lpstr>E1_7</vt:lpstr>
      <vt:lpstr>E1_8</vt:lpstr>
      <vt:lpstr>E1_9</vt:lpstr>
      <vt:lpstr>E10_0</vt:lpstr>
      <vt:lpstr>E10_1</vt:lpstr>
      <vt:lpstr>E10_10</vt:lpstr>
      <vt:lpstr>E10_11</vt:lpstr>
      <vt:lpstr>E10_12</vt:lpstr>
      <vt:lpstr>E10_13</vt:lpstr>
      <vt:lpstr>E10_14</vt:lpstr>
      <vt:lpstr>E10_15</vt:lpstr>
      <vt:lpstr>E10_16</vt:lpstr>
      <vt:lpstr>E10_17</vt:lpstr>
      <vt:lpstr>E10_18</vt:lpstr>
      <vt:lpstr>E10_19</vt:lpstr>
      <vt:lpstr>E10_2</vt:lpstr>
      <vt:lpstr>E10_20</vt:lpstr>
      <vt:lpstr>E10_21</vt:lpstr>
      <vt:lpstr>E10_22</vt:lpstr>
      <vt:lpstr>E10_23</vt:lpstr>
      <vt:lpstr>E10_24</vt:lpstr>
      <vt:lpstr>E10_25</vt:lpstr>
      <vt:lpstr>E10_26</vt:lpstr>
      <vt:lpstr>E10_27</vt:lpstr>
      <vt:lpstr>E10_28</vt:lpstr>
      <vt:lpstr>E10_29</vt:lpstr>
      <vt:lpstr>E10_3</vt:lpstr>
      <vt:lpstr>E10_30</vt:lpstr>
      <vt:lpstr>E10_31</vt:lpstr>
      <vt:lpstr>E10_4</vt:lpstr>
      <vt:lpstr>E10_5</vt:lpstr>
      <vt:lpstr>E10_6</vt:lpstr>
      <vt:lpstr>E10_7</vt:lpstr>
      <vt:lpstr>E10_8</vt:lpstr>
      <vt:lpstr>E10_9</vt:lpstr>
      <vt:lpstr>E11_0</vt:lpstr>
      <vt:lpstr>E11_1</vt:lpstr>
      <vt:lpstr>E11_10</vt:lpstr>
      <vt:lpstr>E11_11</vt:lpstr>
      <vt:lpstr>E11_12</vt:lpstr>
      <vt:lpstr>E11_13</vt:lpstr>
      <vt:lpstr>E11_14</vt:lpstr>
      <vt:lpstr>E11_15</vt:lpstr>
      <vt:lpstr>E11_16</vt:lpstr>
      <vt:lpstr>E11_17</vt:lpstr>
      <vt:lpstr>E11_18</vt:lpstr>
      <vt:lpstr>E11_19</vt:lpstr>
      <vt:lpstr>E11_2</vt:lpstr>
      <vt:lpstr>E11_20</vt:lpstr>
      <vt:lpstr>E11_21</vt:lpstr>
      <vt:lpstr>E11_22</vt:lpstr>
      <vt:lpstr>E11_23</vt:lpstr>
      <vt:lpstr>E11_24</vt:lpstr>
      <vt:lpstr>E11_25</vt:lpstr>
      <vt:lpstr>E11_26</vt:lpstr>
      <vt:lpstr>E11_27</vt:lpstr>
      <vt:lpstr>E11_28</vt:lpstr>
      <vt:lpstr>E11_29</vt:lpstr>
      <vt:lpstr>E11_3</vt:lpstr>
      <vt:lpstr>E11_30</vt:lpstr>
      <vt:lpstr>E11_31</vt:lpstr>
      <vt:lpstr>E11_4</vt:lpstr>
      <vt:lpstr>E11_5</vt:lpstr>
      <vt:lpstr>E11_6</vt:lpstr>
      <vt:lpstr>E11_7</vt:lpstr>
      <vt:lpstr>E11_8</vt:lpstr>
      <vt:lpstr>E11_9</vt:lpstr>
      <vt:lpstr>E12_0</vt:lpstr>
      <vt:lpstr>E12_1</vt:lpstr>
      <vt:lpstr>E12_10</vt:lpstr>
      <vt:lpstr>E12_11</vt:lpstr>
      <vt:lpstr>E12_12</vt:lpstr>
      <vt:lpstr>E12_13</vt:lpstr>
      <vt:lpstr>E12_14</vt:lpstr>
      <vt:lpstr>E12_15</vt:lpstr>
      <vt:lpstr>E12_16</vt:lpstr>
      <vt:lpstr>E12_17</vt:lpstr>
      <vt:lpstr>E12_18</vt:lpstr>
      <vt:lpstr>E12_19</vt:lpstr>
      <vt:lpstr>E12_2</vt:lpstr>
      <vt:lpstr>E12_20</vt:lpstr>
      <vt:lpstr>E12_21</vt:lpstr>
      <vt:lpstr>E12_22</vt:lpstr>
      <vt:lpstr>E12_23</vt:lpstr>
      <vt:lpstr>E12_24</vt:lpstr>
      <vt:lpstr>E12_25</vt:lpstr>
      <vt:lpstr>E12_26</vt:lpstr>
      <vt:lpstr>E12_27</vt:lpstr>
      <vt:lpstr>E12_28</vt:lpstr>
      <vt:lpstr>E12_29</vt:lpstr>
      <vt:lpstr>E12_3</vt:lpstr>
      <vt:lpstr>E12_30</vt:lpstr>
      <vt:lpstr>E12_31</vt:lpstr>
      <vt:lpstr>E12_4</vt:lpstr>
      <vt:lpstr>E12_5</vt:lpstr>
      <vt:lpstr>E12_6</vt:lpstr>
      <vt:lpstr>E12_7</vt:lpstr>
      <vt:lpstr>E12_8</vt:lpstr>
      <vt:lpstr>E12_9</vt:lpstr>
      <vt:lpstr>E13_0</vt:lpstr>
      <vt:lpstr>E13_1</vt:lpstr>
      <vt:lpstr>E13_10</vt:lpstr>
      <vt:lpstr>E13_11</vt:lpstr>
      <vt:lpstr>E13_12</vt:lpstr>
      <vt:lpstr>E13_13</vt:lpstr>
      <vt:lpstr>E13_14</vt:lpstr>
      <vt:lpstr>E13_15</vt:lpstr>
      <vt:lpstr>E13_16</vt:lpstr>
      <vt:lpstr>E13_17</vt:lpstr>
      <vt:lpstr>E13_18</vt:lpstr>
      <vt:lpstr>E13_19</vt:lpstr>
      <vt:lpstr>E13_2</vt:lpstr>
      <vt:lpstr>E13_20</vt:lpstr>
      <vt:lpstr>E13_21</vt:lpstr>
      <vt:lpstr>E13_22</vt:lpstr>
      <vt:lpstr>E13_23</vt:lpstr>
      <vt:lpstr>E13_24</vt:lpstr>
      <vt:lpstr>E13_25</vt:lpstr>
      <vt:lpstr>E13_26</vt:lpstr>
      <vt:lpstr>E13_27</vt:lpstr>
      <vt:lpstr>E13_28</vt:lpstr>
      <vt:lpstr>E13_29</vt:lpstr>
      <vt:lpstr>E13_3</vt:lpstr>
      <vt:lpstr>E13_30</vt:lpstr>
      <vt:lpstr>E13_31</vt:lpstr>
      <vt:lpstr>E13_4</vt:lpstr>
      <vt:lpstr>E13_5</vt:lpstr>
      <vt:lpstr>E13_6</vt:lpstr>
      <vt:lpstr>E13_7</vt:lpstr>
      <vt:lpstr>E13_8</vt:lpstr>
      <vt:lpstr>E13_9</vt:lpstr>
      <vt:lpstr>E14_0</vt:lpstr>
      <vt:lpstr>E14_1</vt:lpstr>
      <vt:lpstr>E14_10</vt:lpstr>
      <vt:lpstr>E14_11</vt:lpstr>
      <vt:lpstr>E14_12</vt:lpstr>
      <vt:lpstr>E14_13</vt:lpstr>
      <vt:lpstr>E14_14</vt:lpstr>
      <vt:lpstr>E14_15</vt:lpstr>
      <vt:lpstr>E14_16</vt:lpstr>
      <vt:lpstr>E14_17</vt:lpstr>
      <vt:lpstr>E14_18</vt:lpstr>
      <vt:lpstr>E14_19</vt:lpstr>
      <vt:lpstr>E14_2</vt:lpstr>
      <vt:lpstr>E14_20</vt:lpstr>
      <vt:lpstr>E14_21</vt:lpstr>
      <vt:lpstr>E14_22</vt:lpstr>
      <vt:lpstr>E14_23</vt:lpstr>
      <vt:lpstr>E14_24</vt:lpstr>
      <vt:lpstr>E14_25</vt:lpstr>
      <vt:lpstr>E14_26</vt:lpstr>
      <vt:lpstr>E14_27</vt:lpstr>
      <vt:lpstr>E14_28</vt:lpstr>
      <vt:lpstr>E14_29</vt:lpstr>
      <vt:lpstr>E14_3</vt:lpstr>
      <vt:lpstr>E14_30</vt:lpstr>
      <vt:lpstr>E14_31</vt:lpstr>
      <vt:lpstr>E14_4</vt:lpstr>
      <vt:lpstr>E14_5</vt:lpstr>
      <vt:lpstr>E14_6</vt:lpstr>
      <vt:lpstr>E14_7</vt:lpstr>
      <vt:lpstr>E14_8</vt:lpstr>
      <vt:lpstr>E14_9</vt:lpstr>
      <vt:lpstr>E15_0</vt:lpstr>
      <vt:lpstr>E15_1</vt:lpstr>
      <vt:lpstr>E15_10</vt:lpstr>
      <vt:lpstr>E15_11</vt:lpstr>
      <vt:lpstr>E15_12</vt:lpstr>
      <vt:lpstr>E15_13</vt:lpstr>
      <vt:lpstr>E15_14</vt:lpstr>
      <vt:lpstr>E15_15</vt:lpstr>
      <vt:lpstr>E15_16</vt:lpstr>
      <vt:lpstr>E15_17</vt:lpstr>
      <vt:lpstr>E15_18</vt:lpstr>
      <vt:lpstr>E15_19</vt:lpstr>
      <vt:lpstr>E15_2</vt:lpstr>
      <vt:lpstr>E15_20</vt:lpstr>
      <vt:lpstr>E15_21</vt:lpstr>
      <vt:lpstr>E15_22</vt:lpstr>
      <vt:lpstr>E15_23</vt:lpstr>
      <vt:lpstr>E15_24</vt:lpstr>
      <vt:lpstr>E15_25</vt:lpstr>
      <vt:lpstr>E15_26</vt:lpstr>
      <vt:lpstr>E15_27</vt:lpstr>
      <vt:lpstr>E15_28</vt:lpstr>
      <vt:lpstr>E15_29</vt:lpstr>
      <vt:lpstr>E15_3</vt:lpstr>
      <vt:lpstr>E15_30</vt:lpstr>
      <vt:lpstr>E15_31</vt:lpstr>
      <vt:lpstr>E15_4</vt:lpstr>
      <vt:lpstr>E15_5</vt:lpstr>
      <vt:lpstr>E15_6</vt:lpstr>
      <vt:lpstr>E15_7</vt:lpstr>
      <vt:lpstr>E15_8</vt:lpstr>
      <vt:lpstr>E15_9</vt:lpstr>
      <vt:lpstr>E16_0</vt:lpstr>
      <vt:lpstr>E16_1</vt:lpstr>
      <vt:lpstr>E16_10</vt:lpstr>
      <vt:lpstr>E16_11</vt:lpstr>
      <vt:lpstr>E16_12</vt:lpstr>
      <vt:lpstr>E16_13</vt:lpstr>
      <vt:lpstr>E16_14</vt:lpstr>
      <vt:lpstr>E16_15</vt:lpstr>
      <vt:lpstr>E16_16</vt:lpstr>
      <vt:lpstr>E16_17</vt:lpstr>
      <vt:lpstr>E16_18</vt:lpstr>
      <vt:lpstr>E16_19</vt:lpstr>
      <vt:lpstr>E16_2</vt:lpstr>
      <vt:lpstr>E16_20</vt:lpstr>
      <vt:lpstr>E16_21</vt:lpstr>
      <vt:lpstr>E16_22</vt:lpstr>
      <vt:lpstr>E16_23</vt:lpstr>
      <vt:lpstr>E16_24</vt:lpstr>
      <vt:lpstr>E16_25</vt:lpstr>
      <vt:lpstr>E16_26</vt:lpstr>
      <vt:lpstr>E16_27</vt:lpstr>
      <vt:lpstr>E16_28</vt:lpstr>
      <vt:lpstr>E16_29</vt:lpstr>
      <vt:lpstr>E16_3</vt:lpstr>
      <vt:lpstr>E16_30</vt:lpstr>
      <vt:lpstr>E16_31</vt:lpstr>
      <vt:lpstr>E16_4</vt:lpstr>
      <vt:lpstr>E16_5</vt:lpstr>
      <vt:lpstr>E16_6</vt:lpstr>
      <vt:lpstr>E16_7</vt:lpstr>
      <vt:lpstr>E16_8</vt:lpstr>
      <vt:lpstr>E16_9</vt:lpstr>
      <vt:lpstr>E17_0</vt:lpstr>
      <vt:lpstr>E17_1</vt:lpstr>
      <vt:lpstr>E17_10</vt:lpstr>
      <vt:lpstr>E17_11</vt:lpstr>
      <vt:lpstr>E17_12</vt:lpstr>
      <vt:lpstr>E17_13</vt:lpstr>
      <vt:lpstr>E17_14</vt:lpstr>
      <vt:lpstr>E17_15</vt:lpstr>
      <vt:lpstr>E17_16</vt:lpstr>
      <vt:lpstr>E17_17</vt:lpstr>
      <vt:lpstr>E17_18</vt:lpstr>
      <vt:lpstr>E17_19</vt:lpstr>
      <vt:lpstr>E17_2</vt:lpstr>
      <vt:lpstr>E17_20</vt:lpstr>
      <vt:lpstr>E17_21</vt:lpstr>
      <vt:lpstr>E17_22</vt:lpstr>
      <vt:lpstr>E17_23</vt:lpstr>
      <vt:lpstr>E17_24</vt:lpstr>
      <vt:lpstr>E17_25</vt:lpstr>
      <vt:lpstr>E17_26</vt:lpstr>
      <vt:lpstr>E17_27</vt:lpstr>
      <vt:lpstr>E17_28</vt:lpstr>
      <vt:lpstr>E17_29</vt:lpstr>
      <vt:lpstr>E17_3</vt:lpstr>
      <vt:lpstr>E17_30</vt:lpstr>
      <vt:lpstr>E17_31</vt:lpstr>
      <vt:lpstr>E17_4</vt:lpstr>
      <vt:lpstr>E17_5</vt:lpstr>
      <vt:lpstr>E17_6</vt:lpstr>
      <vt:lpstr>E17_7</vt:lpstr>
      <vt:lpstr>E17_8</vt:lpstr>
      <vt:lpstr>E17_9</vt:lpstr>
      <vt:lpstr>E18_0</vt:lpstr>
      <vt:lpstr>E18_1</vt:lpstr>
      <vt:lpstr>E18_10</vt:lpstr>
      <vt:lpstr>E18_11</vt:lpstr>
      <vt:lpstr>E18_12</vt:lpstr>
      <vt:lpstr>E18_13</vt:lpstr>
      <vt:lpstr>E18_14</vt:lpstr>
      <vt:lpstr>E18_15</vt:lpstr>
      <vt:lpstr>E18_16</vt:lpstr>
      <vt:lpstr>E18_17</vt:lpstr>
      <vt:lpstr>E18_18</vt:lpstr>
      <vt:lpstr>E18_19</vt:lpstr>
      <vt:lpstr>E18_2</vt:lpstr>
      <vt:lpstr>E18_20</vt:lpstr>
      <vt:lpstr>E18_21</vt:lpstr>
      <vt:lpstr>E18_22</vt:lpstr>
      <vt:lpstr>E18_23</vt:lpstr>
      <vt:lpstr>E18_24</vt:lpstr>
      <vt:lpstr>E18_25</vt:lpstr>
      <vt:lpstr>E18_26</vt:lpstr>
      <vt:lpstr>E18_27</vt:lpstr>
      <vt:lpstr>E18_28</vt:lpstr>
      <vt:lpstr>E18_29</vt:lpstr>
      <vt:lpstr>E18_3</vt:lpstr>
      <vt:lpstr>E18_30</vt:lpstr>
      <vt:lpstr>E18_31</vt:lpstr>
      <vt:lpstr>E18_4</vt:lpstr>
      <vt:lpstr>E18_5</vt:lpstr>
      <vt:lpstr>E18_6</vt:lpstr>
      <vt:lpstr>E18_7</vt:lpstr>
      <vt:lpstr>E18_8</vt:lpstr>
      <vt:lpstr>E18_9</vt:lpstr>
      <vt:lpstr>E19_0</vt:lpstr>
      <vt:lpstr>E19_1</vt:lpstr>
      <vt:lpstr>E19_10</vt:lpstr>
      <vt:lpstr>E19_11</vt:lpstr>
      <vt:lpstr>E19_12</vt:lpstr>
      <vt:lpstr>E19_13</vt:lpstr>
      <vt:lpstr>E19_14</vt:lpstr>
      <vt:lpstr>E19_15</vt:lpstr>
      <vt:lpstr>E19_16</vt:lpstr>
      <vt:lpstr>E19_17</vt:lpstr>
      <vt:lpstr>E19_18</vt:lpstr>
      <vt:lpstr>E19_19</vt:lpstr>
      <vt:lpstr>E19_2</vt:lpstr>
      <vt:lpstr>E19_20</vt:lpstr>
      <vt:lpstr>E19_21</vt:lpstr>
      <vt:lpstr>E19_22</vt:lpstr>
      <vt:lpstr>E19_23</vt:lpstr>
      <vt:lpstr>E19_24</vt:lpstr>
      <vt:lpstr>E19_25</vt:lpstr>
      <vt:lpstr>E19_26</vt:lpstr>
      <vt:lpstr>E19_27</vt:lpstr>
      <vt:lpstr>E19_28</vt:lpstr>
      <vt:lpstr>E19_29</vt:lpstr>
      <vt:lpstr>E19_3</vt:lpstr>
      <vt:lpstr>E19_30</vt:lpstr>
      <vt:lpstr>E19_31</vt:lpstr>
      <vt:lpstr>E19_4</vt:lpstr>
      <vt:lpstr>E19_5</vt:lpstr>
      <vt:lpstr>E19_6</vt:lpstr>
      <vt:lpstr>E19_7</vt:lpstr>
      <vt:lpstr>E19_8</vt:lpstr>
      <vt:lpstr>E19_9</vt:lpstr>
      <vt:lpstr>E2_0</vt:lpstr>
      <vt:lpstr>E2_1</vt:lpstr>
      <vt:lpstr>E2_10</vt:lpstr>
      <vt:lpstr>E2_11</vt:lpstr>
      <vt:lpstr>E2_12</vt:lpstr>
      <vt:lpstr>E2_13</vt:lpstr>
      <vt:lpstr>E2_14</vt:lpstr>
      <vt:lpstr>E2_15</vt:lpstr>
      <vt:lpstr>E2_16</vt:lpstr>
      <vt:lpstr>E2_17</vt:lpstr>
      <vt:lpstr>E2_18</vt:lpstr>
      <vt:lpstr>E2_19</vt:lpstr>
      <vt:lpstr>E2_2</vt:lpstr>
      <vt:lpstr>E2_20</vt:lpstr>
      <vt:lpstr>E2_21</vt:lpstr>
      <vt:lpstr>E2_22</vt:lpstr>
      <vt:lpstr>E2_23</vt:lpstr>
      <vt:lpstr>E2_24</vt:lpstr>
      <vt:lpstr>E2_25</vt:lpstr>
      <vt:lpstr>E2_26</vt:lpstr>
      <vt:lpstr>E2_27</vt:lpstr>
      <vt:lpstr>E2_28</vt:lpstr>
      <vt:lpstr>E2_29</vt:lpstr>
      <vt:lpstr>E2_3</vt:lpstr>
      <vt:lpstr>E2_30</vt:lpstr>
      <vt:lpstr>E2_31</vt:lpstr>
      <vt:lpstr>E2_4</vt:lpstr>
      <vt:lpstr>E2_5</vt:lpstr>
      <vt:lpstr>E2_6</vt:lpstr>
      <vt:lpstr>E2_7</vt:lpstr>
      <vt:lpstr>E2_8</vt:lpstr>
      <vt:lpstr>E2_9</vt:lpstr>
      <vt:lpstr>E20_0</vt:lpstr>
      <vt:lpstr>E20_1</vt:lpstr>
      <vt:lpstr>E20_10</vt:lpstr>
      <vt:lpstr>E20_11</vt:lpstr>
      <vt:lpstr>E20_12</vt:lpstr>
      <vt:lpstr>E20_13</vt:lpstr>
      <vt:lpstr>E20_14</vt:lpstr>
      <vt:lpstr>E20_15</vt:lpstr>
      <vt:lpstr>E20_16</vt:lpstr>
      <vt:lpstr>E20_17</vt:lpstr>
      <vt:lpstr>E20_18</vt:lpstr>
      <vt:lpstr>E20_19</vt:lpstr>
      <vt:lpstr>E20_2</vt:lpstr>
      <vt:lpstr>E20_20</vt:lpstr>
      <vt:lpstr>E20_21</vt:lpstr>
      <vt:lpstr>E20_22</vt:lpstr>
      <vt:lpstr>E20_23</vt:lpstr>
      <vt:lpstr>E20_24</vt:lpstr>
      <vt:lpstr>E20_25</vt:lpstr>
      <vt:lpstr>E20_26</vt:lpstr>
      <vt:lpstr>E20_27</vt:lpstr>
      <vt:lpstr>E20_28</vt:lpstr>
      <vt:lpstr>E20_29</vt:lpstr>
      <vt:lpstr>E20_3</vt:lpstr>
      <vt:lpstr>E20_30</vt:lpstr>
      <vt:lpstr>E20_31</vt:lpstr>
      <vt:lpstr>E20_4</vt:lpstr>
      <vt:lpstr>E20_5</vt:lpstr>
      <vt:lpstr>E20_6</vt:lpstr>
      <vt:lpstr>E20_7</vt:lpstr>
      <vt:lpstr>E20_8</vt:lpstr>
      <vt:lpstr>E20_9</vt:lpstr>
      <vt:lpstr>E21_0</vt:lpstr>
      <vt:lpstr>E21_1</vt:lpstr>
      <vt:lpstr>E21_10</vt:lpstr>
      <vt:lpstr>E21_11</vt:lpstr>
      <vt:lpstr>E21_12</vt:lpstr>
      <vt:lpstr>E21_13</vt:lpstr>
      <vt:lpstr>E21_14</vt:lpstr>
      <vt:lpstr>E21_15</vt:lpstr>
      <vt:lpstr>E21_16</vt:lpstr>
      <vt:lpstr>E21_17</vt:lpstr>
      <vt:lpstr>E21_18</vt:lpstr>
      <vt:lpstr>E21_19</vt:lpstr>
      <vt:lpstr>E21_2</vt:lpstr>
      <vt:lpstr>E21_20</vt:lpstr>
      <vt:lpstr>E21_21</vt:lpstr>
      <vt:lpstr>E21_22</vt:lpstr>
      <vt:lpstr>E21_23</vt:lpstr>
      <vt:lpstr>E21_24</vt:lpstr>
      <vt:lpstr>E21_25</vt:lpstr>
      <vt:lpstr>E21_26</vt:lpstr>
      <vt:lpstr>E21_27</vt:lpstr>
      <vt:lpstr>E21_28</vt:lpstr>
      <vt:lpstr>E21_29</vt:lpstr>
      <vt:lpstr>E21_3</vt:lpstr>
      <vt:lpstr>E21_30</vt:lpstr>
      <vt:lpstr>E21_31</vt:lpstr>
      <vt:lpstr>E21_4</vt:lpstr>
      <vt:lpstr>E21_5</vt:lpstr>
      <vt:lpstr>E21_6</vt:lpstr>
      <vt:lpstr>E21_7</vt:lpstr>
      <vt:lpstr>E21_8</vt:lpstr>
      <vt:lpstr>E21_9</vt:lpstr>
      <vt:lpstr>E22_0</vt:lpstr>
      <vt:lpstr>E22_1</vt:lpstr>
      <vt:lpstr>E22_10</vt:lpstr>
      <vt:lpstr>E22_11</vt:lpstr>
      <vt:lpstr>E22_12</vt:lpstr>
      <vt:lpstr>E22_13</vt:lpstr>
      <vt:lpstr>E22_14</vt:lpstr>
      <vt:lpstr>E22_15</vt:lpstr>
      <vt:lpstr>E22_16</vt:lpstr>
      <vt:lpstr>E22_17</vt:lpstr>
      <vt:lpstr>E22_18</vt:lpstr>
      <vt:lpstr>E22_19</vt:lpstr>
      <vt:lpstr>E22_2</vt:lpstr>
      <vt:lpstr>E22_20</vt:lpstr>
      <vt:lpstr>E22_21</vt:lpstr>
      <vt:lpstr>E22_22</vt:lpstr>
      <vt:lpstr>E22_23</vt:lpstr>
      <vt:lpstr>E22_24</vt:lpstr>
      <vt:lpstr>E22_25</vt:lpstr>
      <vt:lpstr>E22_26</vt:lpstr>
      <vt:lpstr>E22_27</vt:lpstr>
      <vt:lpstr>E22_28</vt:lpstr>
      <vt:lpstr>E22_29</vt:lpstr>
      <vt:lpstr>E22_3</vt:lpstr>
      <vt:lpstr>E22_30</vt:lpstr>
      <vt:lpstr>E22_31</vt:lpstr>
      <vt:lpstr>E22_4</vt:lpstr>
      <vt:lpstr>E22_5</vt:lpstr>
      <vt:lpstr>E22_6</vt:lpstr>
      <vt:lpstr>E22_7</vt:lpstr>
      <vt:lpstr>E22_8</vt:lpstr>
      <vt:lpstr>E22_9</vt:lpstr>
      <vt:lpstr>E23_0</vt:lpstr>
      <vt:lpstr>E23_1</vt:lpstr>
      <vt:lpstr>E23_10</vt:lpstr>
      <vt:lpstr>E23_11</vt:lpstr>
      <vt:lpstr>E23_12</vt:lpstr>
      <vt:lpstr>E23_13</vt:lpstr>
      <vt:lpstr>E23_14</vt:lpstr>
      <vt:lpstr>E23_15</vt:lpstr>
      <vt:lpstr>E23_16</vt:lpstr>
      <vt:lpstr>E23_17</vt:lpstr>
      <vt:lpstr>E23_18</vt:lpstr>
      <vt:lpstr>E23_19</vt:lpstr>
      <vt:lpstr>E23_2</vt:lpstr>
      <vt:lpstr>E23_20</vt:lpstr>
      <vt:lpstr>E23_21</vt:lpstr>
      <vt:lpstr>E23_22</vt:lpstr>
      <vt:lpstr>E23_23</vt:lpstr>
      <vt:lpstr>E23_24</vt:lpstr>
      <vt:lpstr>E23_25</vt:lpstr>
      <vt:lpstr>E23_26</vt:lpstr>
      <vt:lpstr>E23_27</vt:lpstr>
      <vt:lpstr>E23_28</vt:lpstr>
      <vt:lpstr>E23_29</vt:lpstr>
      <vt:lpstr>E23_3</vt:lpstr>
      <vt:lpstr>E23_30</vt:lpstr>
      <vt:lpstr>E23_31</vt:lpstr>
      <vt:lpstr>E23_4</vt:lpstr>
      <vt:lpstr>E23_5</vt:lpstr>
      <vt:lpstr>E23_6</vt:lpstr>
      <vt:lpstr>E23_7</vt:lpstr>
      <vt:lpstr>E23_8</vt:lpstr>
      <vt:lpstr>E23_9</vt:lpstr>
      <vt:lpstr>E24_0</vt:lpstr>
      <vt:lpstr>E24_1</vt:lpstr>
      <vt:lpstr>E24_10</vt:lpstr>
      <vt:lpstr>E24_11</vt:lpstr>
      <vt:lpstr>E24_12</vt:lpstr>
      <vt:lpstr>E24_13</vt:lpstr>
      <vt:lpstr>E24_14</vt:lpstr>
      <vt:lpstr>E24_15</vt:lpstr>
      <vt:lpstr>E24_16</vt:lpstr>
      <vt:lpstr>E24_17</vt:lpstr>
      <vt:lpstr>E24_18</vt:lpstr>
      <vt:lpstr>E24_19</vt:lpstr>
      <vt:lpstr>E24_2</vt:lpstr>
      <vt:lpstr>E24_20</vt:lpstr>
      <vt:lpstr>E24_21</vt:lpstr>
      <vt:lpstr>E24_22</vt:lpstr>
      <vt:lpstr>E24_23</vt:lpstr>
      <vt:lpstr>E24_24</vt:lpstr>
      <vt:lpstr>E24_25</vt:lpstr>
      <vt:lpstr>E24_26</vt:lpstr>
      <vt:lpstr>E24_27</vt:lpstr>
      <vt:lpstr>E24_28</vt:lpstr>
      <vt:lpstr>E24_29</vt:lpstr>
      <vt:lpstr>E24_3</vt:lpstr>
      <vt:lpstr>E24_30</vt:lpstr>
      <vt:lpstr>E24_31</vt:lpstr>
      <vt:lpstr>E24_4</vt:lpstr>
      <vt:lpstr>E24_5</vt:lpstr>
      <vt:lpstr>E24_6</vt:lpstr>
      <vt:lpstr>E24_7</vt:lpstr>
      <vt:lpstr>E24_8</vt:lpstr>
      <vt:lpstr>E24_9</vt:lpstr>
      <vt:lpstr>E25_0</vt:lpstr>
      <vt:lpstr>E25_1</vt:lpstr>
      <vt:lpstr>E25_10</vt:lpstr>
      <vt:lpstr>E25_11</vt:lpstr>
      <vt:lpstr>E25_12</vt:lpstr>
      <vt:lpstr>E25_13</vt:lpstr>
      <vt:lpstr>E25_14</vt:lpstr>
      <vt:lpstr>E25_15</vt:lpstr>
      <vt:lpstr>E25_16</vt:lpstr>
      <vt:lpstr>E25_17</vt:lpstr>
      <vt:lpstr>E25_18</vt:lpstr>
      <vt:lpstr>E25_19</vt:lpstr>
      <vt:lpstr>E25_2</vt:lpstr>
      <vt:lpstr>E25_20</vt:lpstr>
      <vt:lpstr>E25_21</vt:lpstr>
      <vt:lpstr>E25_22</vt:lpstr>
      <vt:lpstr>E25_23</vt:lpstr>
      <vt:lpstr>E25_24</vt:lpstr>
      <vt:lpstr>E25_25</vt:lpstr>
      <vt:lpstr>E25_26</vt:lpstr>
      <vt:lpstr>E25_27</vt:lpstr>
      <vt:lpstr>E25_28</vt:lpstr>
      <vt:lpstr>E25_29</vt:lpstr>
      <vt:lpstr>E25_3</vt:lpstr>
      <vt:lpstr>E25_30</vt:lpstr>
      <vt:lpstr>E25_31</vt:lpstr>
      <vt:lpstr>E25_4</vt:lpstr>
      <vt:lpstr>E25_5</vt:lpstr>
      <vt:lpstr>E25_6</vt:lpstr>
      <vt:lpstr>E25_7</vt:lpstr>
      <vt:lpstr>E25_8</vt:lpstr>
      <vt:lpstr>E25_9</vt:lpstr>
      <vt:lpstr>E26_0</vt:lpstr>
      <vt:lpstr>E26_1</vt:lpstr>
      <vt:lpstr>E26_10</vt:lpstr>
      <vt:lpstr>E26_11</vt:lpstr>
      <vt:lpstr>E26_12</vt:lpstr>
      <vt:lpstr>E26_13</vt:lpstr>
      <vt:lpstr>E26_14</vt:lpstr>
      <vt:lpstr>E26_15</vt:lpstr>
      <vt:lpstr>E26_16</vt:lpstr>
      <vt:lpstr>E26_17</vt:lpstr>
      <vt:lpstr>E26_18</vt:lpstr>
      <vt:lpstr>E26_19</vt:lpstr>
      <vt:lpstr>E26_2</vt:lpstr>
      <vt:lpstr>E26_20</vt:lpstr>
      <vt:lpstr>E26_21</vt:lpstr>
      <vt:lpstr>E26_22</vt:lpstr>
      <vt:lpstr>E26_23</vt:lpstr>
      <vt:lpstr>E26_24</vt:lpstr>
      <vt:lpstr>E26_25</vt:lpstr>
      <vt:lpstr>E26_26</vt:lpstr>
      <vt:lpstr>E26_27</vt:lpstr>
      <vt:lpstr>E26_28</vt:lpstr>
      <vt:lpstr>E26_29</vt:lpstr>
      <vt:lpstr>E26_3</vt:lpstr>
      <vt:lpstr>E26_30</vt:lpstr>
      <vt:lpstr>E26_31</vt:lpstr>
      <vt:lpstr>E26_4</vt:lpstr>
      <vt:lpstr>E26_5</vt:lpstr>
      <vt:lpstr>E26_6</vt:lpstr>
      <vt:lpstr>E26_7</vt:lpstr>
      <vt:lpstr>E26_8</vt:lpstr>
      <vt:lpstr>E26_9</vt:lpstr>
      <vt:lpstr>E27_0</vt:lpstr>
      <vt:lpstr>E27_1</vt:lpstr>
      <vt:lpstr>E27_10</vt:lpstr>
      <vt:lpstr>E27_11</vt:lpstr>
      <vt:lpstr>E27_12</vt:lpstr>
      <vt:lpstr>E27_13</vt:lpstr>
      <vt:lpstr>E27_14</vt:lpstr>
      <vt:lpstr>E27_15</vt:lpstr>
      <vt:lpstr>E27_16</vt:lpstr>
      <vt:lpstr>E27_17</vt:lpstr>
      <vt:lpstr>E27_18</vt:lpstr>
      <vt:lpstr>E27_19</vt:lpstr>
      <vt:lpstr>E27_2</vt:lpstr>
      <vt:lpstr>E27_20</vt:lpstr>
      <vt:lpstr>E27_21</vt:lpstr>
      <vt:lpstr>E27_22</vt:lpstr>
      <vt:lpstr>E27_23</vt:lpstr>
      <vt:lpstr>E27_24</vt:lpstr>
      <vt:lpstr>E27_25</vt:lpstr>
      <vt:lpstr>E27_26</vt:lpstr>
      <vt:lpstr>E27_27</vt:lpstr>
      <vt:lpstr>E27_28</vt:lpstr>
      <vt:lpstr>E27_29</vt:lpstr>
      <vt:lpstr>E27_3</vt:lpstr>
      <vt:lpstr>E27_30</vt:lpstr>
      <vt:lpstr>E27_31</vt:lpstr>
      <vt:lpstr>E27_4</vt:lpstr>
      <vt:lpstr>E27_5</vt:lpstr>
      <vt:lpstr>E27_6</vt:lpstr>
      <vt:lpstr>E27_7</vt:lpstr>
      <vt:lpstr>E27_8</vt:lpstr>
      <vt:lpstr>E27_9</vt:lpstr>
      <vt:lpstr>E28_0</vt:lpstr>
      <vt:lpstr>E28_1</vt:lpstr>
      <vt:lpstr>E28_10</vt:lpstr>
      <vt:lpstr>E28_11</vt:lpstr>
      <vt:lpstr>E28_12</vt:lpstr>
      <vt:lpstr>E28_13</vt:lpstr>
      <vt:lpstr>E28_14</vt:lpstr>
      <vt:lpstr>E28_15</vt:lpstr>
      <vt:lpstr>E28_16</vt:lpstr>
      <vt:lpstr>E28_17</vt:lpstr>
      <vt:lpstr>E28_18</vt:lpstr>
      <vt:lpstr>E28_19</vt:lpstr>
      <vt:lpstr>E28_2</vt:lpstr>
      <vt:lpstr>E28_20</vt:lpstr>
      <vt:lpstr>E28_21</vt:lpstr>
      <vt:lpstr>E28_22</vt:lpstr>
      <vt:lpstr>E28_23</vt:lpstr>
      <vt:lpstr>E28_24</vt:lpstr>
      <vt:lpstr>E28_25</vt:lpstr>
      <vt:lpstr>E28_26</vt:lpstr>
      <vt:lpstr>E28_27</vt:lpstr>
      <vt:lpstr>E28_28</vt:lpstr>
      <vt:lpstr>E28_29</vt:lpstr>
      <vt:lpstr>E28_3</vt:lpstr>
      <vt:lpstr>E28_30</vt:lpstr>
      <vt:lpstr>E28_31</vt:lpstr>
      <vt:lpstr>E28_4</vt:lpstr>
      <vt:lpstr>E28_5</vt:lpstr>
      <vt:lpstr>E28_6</vt:lpstr>
      <vt:lpstr>E28_7</vt:lpstr>
      <vt:lpstr>E28_8</vt:lpstr>
      <vt:lpstr>E28_9</vt:lpstr>
      <vt:lpstr>E29_0</vt:lpstr>
      <vt:lpstr>E29_1</vt:lpstr>
      <vt:lpstr>E29_10</vt:lpstr>
      <vt:lpstr>E29_11</vt:lpstr>
      <vt:lpstr>E29_12</vt:lpstr>
      <vt:lpstr>E29_13</vt:lpstr>
      <vt:lpstr>E29_14</vt:lpstr>
      <vt:lpstr>E29_15</vt:lpstr>
      <vt:lpstr>E29_16</vt:lpstr>
      <vt:lpstr>E29_17</vt:lpstr>
      <vt:lpstr>E29_18</vt:lpstr>
      <vt:lpstr>E29_19</vt:lpstr>
      <vt:lpstr>E29_2</vt:lpstr>
      <vt:lpstr>E29_20</vt:lpstr>
      <vt:lpstr>E29_21</vt:lpstr>
      <vt:lpstr>E29_22</vt:lpstr>
      <vt:lpstr>E29_23</vt:lpstr>
      <vt:lpstr>E29_24</vt:lpstr>
      <vt:lpstr>E29_25</vt:lpstr>
      <vt:lpstr>E29_26</vt:lpstr>
      <vt:lpstr>E29_27</vt:lpstr>
      <vt:lpstr>E29_28</vt:lpstr>
      <vt:lpstr>E29_29</vt:lpstr>
      <vt:lpstr>E29_3</vt:lpstr>
      <vt:lpstr>E29_30</vt:lpstr>
      <vt:lpstr>E29_31</vt:lpstr>
      <vt:lpstr>E29_4</vt:lpstr>
      <vt:lpstr>E29_5</vt:lpstr>
      <vt:lpstr>E29_6</vt:lpstr>
      <vt:lpstr>E29_7</vt:lpstr>
      <vt:lpstr>E29_8</vt:lpstr>
      <vt:lpstr>E29_9</vt:lpstr>
      <vt:lpstr>E3_0</vt:lpstr>
      <vt:lpstr>E3_1</vt:lpstr>
      <vt:lpstr>E3_10</vt:lpstr>
      <vt:lpstr>E3_11</vt:lpstr>
      <vt:lpstr>E3_12</vt:lpstr>
      <vt:lpstr>E3_13</vt:lpstr>
      <vt:lpstr>E3_14</vt:lpstr>
      <vt:lpstr>E3_15</vt:lpstr>
      <vt:lpstr>E3_16</vt:lpstr>
      <vt:lpstr>E3_17</vt:lpstr>
      <vt:lpstr>E3_18</vt:lpstr>
      <vt:lpstr>E3_19</vt:lpstr>
      <vt:lpstr>E3_2</vt:lpstr>
      <vt:lpstr>E3_20</vt:lpstr>
      <vt:lpstr>E3_21</vt:lpstr>
      <vt:lpstr>E3_22</vt:lpstr>
      <vt:lpstr>E3_23</vt:lpstr>
      <vt:lpstr>E3_24</vt:lpstr>
      <vt:lpstr>E3_25</vt:lpstr>
      <vt:lpstr>E3_26</vt:lpstr>
      <vt:lpstr>E3_27</vt:lpstr>
      <vt:lpstr>E3_28</vt:lpstr>
      <vt:lpstr>E3_29</vt:lpstr>
      <vt:lpstr>E3_3</vt:lpstr>
      <vt:lpstr>E3_30</vt:lpstr>
      <vt:lpstr>E3_31</vt:lpstr>
      <vt:lpstr>E3_4</vt:lpstr>
      <vt:lpstr>E3_5</vt:lpstr>
      <vt:lpstr>E3_6</vt:lpstr>
      <vt:lpstr>E3_7</vt:lpstr>
      <vt:lpstr>E3_8</vt:lpstr>
      <vt:lpstr>E3_9</vt:lpstr>
      <vt:lpstr>E30_0</vt:lpstr>
      <vt:lpstr>E30_1</vt:lpstr>
      <vt:lpstr>E30_10</vt:lpstr>
      <vt:lpstr>E30_11</vt:lpstr>
      <vt:lpstr>E30_12</vt:lpstr>
      <vt:lpstr>E30_13</vt:lpstr>
      <vt:lpstr>E30_14</vt:lpstr>
      <vt:lpstr>E30_15</vt:lpstr>
      <vt:lpstr>E30_16</vt:lpstr>
      <vt:lpstr>E30_17</vt:lpstr>
      <vt:lpstr>E30_18</vt:lpstr>
      <vt:lpstr>E30_19</vt:lpstr>
      <vt:lpstr>E30_2</vt:lpstr>
      <vt:lpstr>E30_20</vt:lpstr>
      <vt:lpstr>E30_21</vt:lpstr>
      <vt:lpstr>E30_22</vt:lpstr>
      <vt:lpstr>E30_23</vt:lpstr>
      <vt:lpstr>E30_24</vt:lpstr>
      <vt:lpstr>E30_25</vt:lpstr>
      <vt:lpstr>E30_26</vt:lpstr>
      <vt:lpstr>E30_27</vt:lpstr>
      <vt:lpstr>E30_28</vt:lpstr>
      <vt:lpstr>E30_29</vt:lpstr>
      <vt:lpstr>E30_3</vt:lpstr>
      <vt:lpstr>E30_30</vt:lpstr>
      <vt:lpstr>E30_31</vt:lpstr>
      <vt:lpstr>E30_4</vt:lpstr>
      <vt:lpstr>E30_5</vt:lpstr>
      <vt:lpstr>E30_6</vt:lpstr>
      <vt:lpstr>E30_7</vt:lpstr>
      <vt:lpstr>E30_8</vt:lpstr>
      <vt:lpstr>E30_9</vt:lpstr>
      <vt:lpstr>E31_0</vt:lpstr>
      <vt:lpstr>E31_1</vt:lpstr>
      <vt:lpstr>E31_10</vt:lpstr>
      <vt:lpstr>E31_11</vt:lpstr>
      <vt:lpstr>E31_12</vt:lpstr>
      <vt:lpstr>E31_13</vt:lpstr>
      <vt:lpstr>E31_14</vt:lpstr>
      <vt:lpstr>E31_15</vt:lpstr>
      <vt:lpstr>E31_16</vt:lpstr>
      <vt:lpstr>E31_17</vt:lpstr>
      <vt:lpstr>E31_18</vt:lpstr>
      <vt:lpstr>E31_19</vt:lpstr>
      <vt:lpstr>E31_2</vt:lpstr>
      <vt:lpstr>E31_20</vt:lpstr>
      <vt:lpstr>E31_21</vt:lpstr>
      <vt:lpstr>E31_22</vt:lpstr>
      <vt:lpstr>E31_23</vt:lpstr>
      <vt:lpstr>E31_24</vt:lpstr>
      <vt:lpstr>E31_25</vt:lpstr>
      <vt:lpstr>E31_26</vt:lpstr>
      <vt:lpstr>E31_27</vt:lpstr>
      <vt:lpstr>E31_28</vt:lpstr>
      <vt:lpstr>E31_29</vt:lpstr>
      <vt:lpstr>E31_3</vt:lpstr>
      <vt:lpstr>E31_30</vt:lpstr>
      <vt:lpstr>E31_31</vt:lpstr>
      <vt:lpstr>E31_4</vt:lpstr>
      <vt:lpstr>E31_5</vt:lpstr>
      <vt:lpstr>E31_6</vt:lpstr>
      <vt:lpstr>E31_7</vt:lpstr>
      <vt:lpstr>E31_8</vt:lpstr>
      <vt:lpstr>E31_9</vt:lpstr>
      <vt:lpstr>E4_0</vt:lpstr>
      <vt:lpstr>E4_1</vt:lpstr>
      <vt:lpstr>E4_10</vt:lpstr>
      <vt:lpstr>E4_11</vt:lpstr>
      <vt:lpstr>E4_12</vt:lpstr>
      <vt:lpstr>E4_13</vt:lpstr>
      <vt:lpstr>E4_14</vt:lpstr>
      <vt:lpstr>E4_15</vt:lpstr>
      <vt:lpstr>E4_16</vt:lpstr>
      <vt:lpstr>E4_17</vt:lpstr>
      <vt:lpstr>E4_18</vt:lpstr>
      <vt:lpstr>E4_19</vt:lpstr>
      <vt:lpstr>E4_2</vt:lpstr>
      <vt:lpstr>E4_20</vt:lpstr>
      <vt:lpstr>E4_21</vt:lpstr>
      <vt:lpstr>E4_22</vt:lpstr>
      <vt:lpstr>E4_23</vt:lpstr>
      <vt:lpstr>E4_24</vt:lpstr>
      <vt:lpstr>E4_25</vt:lpstr>
      <vt:lpstr>E4_26</vt:lpstr>
      <vt:lpstr>E4_27</vt:lpstr>
      <vt:lpstr>E4_28</vt:lpstr>
      <vt:lpstr>E4_29</vt:lpstr>
      <vt:lpstr>E4_3</vt:lpstr>
      <vt:lpstr>E4_30</vt:lpstr>
      <vt:lpstr>E4_31</vt:lpstr>
      <vt:lpstr>E4_4</vt:lpstr>
      <vt:lpstr>E4_5</vt:lpstr>
      <vt:lpstr>E4_6</vt:lpstr>
      <vt:lpstr>E4_7</vt:lpstr>
      <vt:lpstr>E4_8</vt:lpstr>
      <vt:lpstr>E4_9</vt:lpstr>
      <vt:lpstr>E5_0</vt:lpstr>
      <vt:lpstr>E5_1</vt:lpstr>
      <vt:lpstr>E5_10</vt:lpstr>
      <vt:lpstr>E5_11</vt:lpstr>
      <vt:lpstr>E5_12</vt:lpstr>
      <vt:lpstr>E5_13</vt:lpstr>
      <vt:lpstr>E5_14</vt:lpstr>
      <vt:lpstr>E5_15</vt:lpstr>
      <vt:lpstr>E5_16</vt:lpstr>
      <vt:lpstr>E5_17</vt:lpstr>
      <vt:lpstr>E5_18</vt:lpstr>
      <vt:lpstr>E5_19</vt:lpstr>
      <vt:lpstr>E5_2</vt:lpstr>
      <vt:lpstr>E5_20</vt:lpstr>
      <vt:lpstr>E5_21</vt:lpstr>
      <vt:lpstr>E5_22</vt:lpstr>
      <vt:lpstr>E5_23</vt:lpstr>
      <vt:lpstr>E5_24</vt:lpstr>
      <vt:lpstr>E5_25</vt:lpstr>
      <vt:lpstr>E5_26</vt:lpstr>
      <vt:lpstr>E5_27</vt:lpstr>
      <vt:lpstr>E5_28</vt:lpstr>
      <vt:lpstr>E5_29</vt:lpstr>
      <vt:lpstr>E5_3</vt:lpstr>
      <vt:lpstr>E5_30</vt:lpstr>
      <vt:lpstr>E5_31</vt:lpstr>
      <vt:lpstr>E5_4</vt:lpstr>
      <vt:lpstr>E5_5</vt:lpstr>
      <vt:lpstr>E5_6</vt:lpstr>
      <vt:lpstr>E5_7</vt:lpstr>
      <vt:lpstr>E5_8</vt:lpstr>
      <vt:lpstr>E5_9</vt:lpstr>
      <vt:lpstr>E6_0</vt:lpstr>
      <vt:lpstr>E6_1</vt:lpstr>
      <vt:lpstr>E6_10</vt:lpstr>
      <vt:lpstr>E6_11</vt:lpstr>
      <vt:lpstr>E6_12</vt:lpstr>
      <vt:lpstr>E6_13</vt:lpstr>
      <vt:lpstr>E6_14</vt:lpstr>
      <vt:lpstr>E6_15</vt:lpstr>
      <vt:lpstr>E6_16</vt:lpstr>
      <vt:lpstr>E6_17</vt:lpstr>
      <vt:lpstr>E6_18</vt:lpstr>
      <vt:lpstr>E6_19</vt:lpstr>
      <vt:lpstr>E6_2</vt:lpstr>
      <vt:lpstr>E6_20</vt:lpstr>
      <vt:lpstr>E6_21</vt:lpstr>
      <vt:lpstr>E6_22</vt:lpstr>
      <vt:lpstr>E6_23</vt:lpstr>
      <vt:lpstr>E6_24</vt:lpstr>
      <vt:lpstr>E6_25</vt:lpstr>
      <vt:lpstr>E6_26</vt:lpstr>
      <vt:lpstr>E6_27</vt:lpstr>
      <vt:lpstr>E6_28</vt:lpstr>
      <vt:lpstr>E6_29</vt:lpstr>
      <vt:lpstr>E6_3</vt:lpstr>
      <vt:lpstr>E6_30</vt:lpstr>
      <vt:lpstr>E6_31</vt:lpstr>
      <vt:lpstr>E6_4</vt:lpstr>
      <vt:lpstr>E6_5</vt:lpstr>
      <vt:lpstr>E6_6</vt:lpstr>
      <vt:lpstr>E6_7</vt:lpstr>
      <vt:lpstr>E6_8</vt:lpstr>
      <vt:lpstr>E6_9</vt:lpstr>
      <vt:lpstr>E7_0</vt:lpstr>
      <vt:lpstr>E7_1</vt:lpstr>
      <vt:lpstr>E7_10</vt:lpstr>
      <vt:lpstr>E7_11</vt:lpstr>
      <vt:lpstr>E7_12</vt:lpstr>
      <vt:lpstr>E7_13</vt:lpstr>
      <vt:lpstr>E7_14</vt:lpstr>
      <vt:lpstr>E7_15</vt:lpstr>
      <vt:lpstr>E7_16</vt:lpstr>
      <vt:lpstr>E7_17</vt:lpstr>
      <vt:lpstr>E7_18</vt:lpstr>
      <vt:lpstr>E7_19</vt:lpstr>
      <vt:lpstr>E7_2</vt:lpstr>
      <vt:lpstr>E7_20</vt:lpstr>
      <vt:lpstr>E7_21</vt:lpstr>
      <vt:lpstr>E7_22</vt:lpstr>
      <vt:lpstr>E7_23</vt:lpstr>
      <vt:lpstr>E7_24</vt:lpstr>
      <vt:lpstr>E7_25</vt:lpstr>
      <vt:lpstr>E7_26</vt:lpstr>
      <vt:lpstr>E7_27</vt:lpstr>
      <vt:lpstr>E7_28</vt:lpstr>
      <vt:lpstr>E7_29</vt:lpstr>
      <vt:lpstr>E7_3</vt:lpstr>
      <vt:lpstr>E7_30</vt:lpstr>
      <vt:lpstr>E7_31</vt:lpstr>
      <vt:lpstr>E7_4</vt:lpstr>
      <vt:lpstr>E7_5</vt:lpstr>
      <vt:lpstr>E7_6</vt:lpstr>
      <vt:lpstr>E7_7</vt:lpstr>
      <vt:lpstr>E7_8</vt:lpstr>
      <vt:lpstr>E7_9</vt:lpstr>
      <vt:lpstr>E8_0</vt:lpstr>
      <vt:lpstr>E8_1</vt:lpstr>
      <vt:lpstr>E8_10</vt:lpstr>
      <vt:lpstr>E8_11</vt:lpstr>
      <vt:lpstr>E8_12</vt:lpstr>
      <vt:lpstr>E8_13</vt:lpstr>
      <vt:lpstr>E8_14</vt:lpstr>
      <vt:lpstr>E8_15</vt:lpstr>
      <vt:lpstr>E8_16</vt:lpstr>
      <vt:lpstr>E8_17</vt:lpstr>
      <vt:lpstr>E8_18</vt:lpstr>
      <vt:lpstr>E8_19</vt:lpstr>
      <vt:lpstr>E8_2</vt:lpstr>
      <vt:lpstr>E8_20</vt:lpstr>
      <vt:lpstr>E8_21</vt:lpstr>
      <vt:lpstr>E8_22</vt:lpstr>
      <vt:lpstr>E8_23</vt:lpstr>
      <vt:lpstr>E8_24</vt:lpstr>
      <vt:lpstr>E8_25</vt:lpstr>
      <vt:lpstr>E8_26</vt:lpstr>
      <vt:lpstr>E8_27</vt:lpstr>
      <vt:lpstr>E8_28</vt:lpstr>
      <vt:lpstr>E8_29</vt:lpstr>
      <vt:lpstr>E8_3</vt:lpstr>
      <vt:lpstr>E8_30</vt:lpstr>
      <vt:lpstr>E8_31</vt:lpstr>
      <vt:lpstr>E8_4</vt:lpstr>
      <vt:lpstr>E8_5</vt:lpstr>
      <vt:lpstr>E8_6</vt:lpstr>
      <vt:lpstr>E8_7</vt:lpstr>
      <vt:lpstr>E8_8</vt:lpstr>
      <vt:lpstr>E8_9</vt:lpstr>
      <vt:lpstr>E9_0</vt:lpstr>
      <vt:lpstr>E9_1</vt:lpstr>
      <vt:lpstr>E9_10</vt:lpstr>
      <vt:lpstr>E9_11</vt:lpstr>
      <vt:lpstr>E9_12</vt:lpstr>
      <vt:lpstr>E9_13</vt:lpstr>
      <vt:lpstr>E9_14</vt:lpstr>
      <vt:lpstr>E9_15</vt:lpstr>
      <vt:lpstr>E9_16</vt:lpstr>
      <vt:lpstr>E9_17</vt:lpstr>
      <vt:lpstr>E9_18</vt:lpstr>
      <vt:lpstr>E9_19</vt:lpstr>
      <vt:lpstr>E9_2</vt:lpstr>
      <vt:lpstr>E9_20</vt:lpstr>
      <vt:lpstr>E9_21</vt:lpstr>
      <vt:lpstr>E9_22</vt:lpstr>
      <vt:lpstr>E9_23</vt:lpstr>
      <vt:lpstr>E9_24</vt:lpstr>
      <vt:lpstr>E9_25</vt:lpstr>
      <vt:lpstr>E9_26</vt:lpstr>
      <vt:lpstr>E9_27</vt:lpstr>
      <vt:lpstr>E9_28</vt:lpstr>
      <vt:lpstr>E9_29</vt:lpstr>
      <vt:lpstr>E9_3</vt:lpstr>
      <vt:lpstr>E9_30</vt:lpstr>
      <vt:lpstr>E9_31</vt:lpstr>
      <vt:lpstr>E9_4</vt:lpstr>
      <vt:lpstr>E9_5</vt:lpstr>
      <vt:lpstr>E9_6</vt:lpstr>
      <vt:lpstr>E9_7</vt:lpstr>
      <vt:lpstr>E9_8</vt:lpstr>
      <vt:lpstr>E9_9</vt:lpstr>
      <vt:lpstr>EP0_31</vt:lpstr>
      <vt:lpstr>EP1_30</vt:lpstr>
      <vt:lpstr>EP1_31</vt:lpstr>
      <vt:lpstr>EP10_21</vt:lpstr>
      <vt:lpstr>EP10_22</vt:lpstr>
      <vt:lpstr>EP10_23</vt:lpstr>
      <vt:lpstr>EP10_24</vt:lpstr>
      <vt:lpstr>EP10_25</vt:lpstr>
      <vt:lpstr>EP10_26</vt:lpstr>
      <vt:lpstr>EP10_27</vt:lpstr>
      <vt:lpstr>EP10_28</vt:lpstr>
      <vt:lpstr>EP10_29</vt:lpstr>
      <vt:lpstr>EP10_30</vt:lpstr>
      <vt:lpstr>EP10_31</vt:lpstr>
      <vt:lpstr>EP11_20</vt:lpstr>
      <vt:lpstr>EP11_21</vt:lpstr>
      <vt:lpstr>EP11_22</vt:lpstr>
      <vt:lpstr>EP11_23</vt:lpstr>
      <vt:lpstr>EP11_24</vt:lpstr>
      <vt:lpstr>EP11_25</vt:lpstr>
      <vt:lpstr>EP11_26</vt:lpstr>
      <vt:lpstr>EP11_27</vt:lpstr>
      <vt:lpstr>EP11_28</vt:lpstr>
      <vt:lpstr>EP11_29</vt:lpstr>
      <vt:lpstr>EP11_30</vt:lpstr>
      <vt:lpstr>EP11_31</vt:lpstr>
      <vt:lpstr>EP12_19</vt:lpstr>
      <vt:lpstr>EP12_20</vt:lpstr>
      <vt:lpstr>EP12_21</vt:lpstr>
      <vt:lpstr>EP12_22</vt:lpstr>
      <vt:lpstr>EP12_23</vt:lpstr>
      <vt:lpstr>EP12_24</vt:lpstr>
      <vt:lpstr>EP12_25</vt:lpstr>
      <vt:lpstr>EP12_26</vt:lpstr>
      <vt:lpstr>EP12_27</vt:lpstr>
      <vt:lpstr>EP12_28</vt:lpstr>
      <vt:lpstr>EP12_29</vt:lpstr>
      <vt:lpstr>EP12_30</vt:lpstr>
      <vt:lpstr>EP12_31</vt:lpstr>
      <vt:lpstr>EP13_18</vt:lpstr>
      <vt:lpstr>EP13_19</vt:lpstr>
      <vt:lpstr>EP13_20</vt:lpstr>
      <vt:lpstr>EP13_21</vt:lpstr>
      <vt:lpstr>EP13_22</vt:lpstr>
      <vt:lpstr>EP13_23</vt:lpstr>
      <vt:lpstr>EP13_24</vt:lpstr>
      <vt:lpstr>EP13_25</vt:lpstr>
      <vt:lpstr>EP13_26</vt:lpstr>
      <vt:lpstr>EP13_27</vt:lpstr>
      <vt:lpstr>EP13_28</vt:lpstr>
      <vt:lpstr>EP13_29</vt:lpstr>
      <vt:lpstr>EP13_30</vt:lpstr>
      <vt:lpstr>EP13_31</vt:lpstr>
      <vt:lpstr>EP14_17</vt:lpstr>
      <vt:lpstr>EP14_18</vt:lpstr>
      <vt:lpstr>EP14_19</vt:lpstr>
      <vt:lpstr>EP14_20</vt:lpstr>
      <vt:lpstr>EP14_21</vt:lpstr>
      <vt:lpstr>EP14_22</vt:lpstr>
      <vt:lpstr>EP14_23</vt:lpstr>
      <vt:lpstr>EP14_24</vt:lpstr>
      <vt:lpstr>EP14_25</vt:lpstr>
      <vt:lpstr>EP14_26</vt:lpstr>
      <vt:lpstr>EP14_27</vt:lpstr>
      <vt:lpstr>EP14_28</vt:lpstr>
      <vt:lpstr>EP14_29</vt:lpstr>
      <vt:lpstr>EP14_30</vt:lpstr>
      <vt:lpstr>EP14_31</vt:lpstr>
      <vt:lpstr>EP15_16</vt:lpstr>
      <vt:lpstr>EP15_17</vt:lpstr>
      <vt:lpstr>EP15_18</vt:lpstr>
      <vt:lpstr>EP15_19</vt:lpstr>
      <vt:lpstr>EP15_20</vt:lpstr>
      <vt:lpstr>EP15_21</vt:lpstr>
      <vt:lpstr>EP15_22</vt:lpstr>
      <vt:lpstr>EP15_23</vt:lpstr>
      <vt:lpstr>EP15_24</vt:lpstr>
      <vt:lpstr>EP15_25</vt:lpstr>
      <vt:lpstr>EP15_26</vt:lpstr>
      <vt:lpstr>EP15_27</vt:lpstr>
      <vt:lpstr>EP15_28</vt:lpstr>
      <vt:lpstr>EP15_29</vt:lpstr>
      <vt:lpstr>EP15_30</vt:lpstr>
      <vt:lpstr>EP15_31</vt:lpstr>
      <vt:lpstr>EP16_15</vt:lpstr>
      <vt:lpstr>EP16_16</vt:lpstr>
      <vt:lpstr>EP16_17</vt:lpstr>
      <vt:lpstr>EP16_18</vt:lpstr>
      <vt:lpstr>EP16_19</vt:lpstr>
      <vt:lpstr>EP16_20</vt:lpstr>
      <vt:lpstr>EP16_21</vt:lpstr>
      <vt:lpstr>EP16_22</vt:lpstr>
      <vt:lpstr>EP16_23</vt:lpstr>
      <vt:lpstr>EP16_24</vt:lpstr>
      <vt:lpstr>EP16_25</vt:lpstr>
      <vt:lpstr>EP16_26</vt:lpstr>
      <vt:lpstr>EP16_27</vt:lpstr>
      <vt:lpstr>EP16_28</vt:lpstr>
      <vt:lpstr>EP16_29</vt:lpstr>
      <vt:lpstr>EP16_30</vt:lpstr>
      <vt:lpstr>EP16_31</vt:lpstr>
      <vt:lpstr>EP17_14</vt:lpstr>
      <vt:lpstr>EP17_15</vt:lpstr>
      <vt:lpstr>EP17_16</vt:lpstr>
      <vt:lpstr>EP17_17</vt:lpstr>
      <vt:lpstr>EP17_18</vt:lpstr>
      <vt:lpstr>EP17_19</vt:lpstr>
      <vt:lpstr>EP17_20</vt:lpstr>
      <vt:lpstr>EP17_21</vt:lpstr>
      <vt:lpstr>EP17_22</vt:lpstr>
      <vt:lpstr>EP17_23</vt:lpstr>
      <vt:lpstr>EP17_24</vt:lpstr>
      <vt:lpstr>EP17_25</vt:lpstr>
      <vt:lpstr>EP17_26</vt:lpstr>
      <vt:lpstr>EP17_27</vt:lpstr>
      <vt:lpstr>EP17_28</vt:lpstr>
      <vt:lpstr>EP17_29</vt:lpstr>
      <vt:lpstr>EP17_30</vt:lpstr>
      <vt:lpstr>EP17_31</vt:lpstr>
      <vt:lpstr>EP18_13</vt:lpstr>
      <vt:lpstr>EP18_14</vt:lpstr>
      <vt:lpstr>EP18_15</vt:lpstr>
      <vt:lpstr>EP18_16</vt:lpstr>
      <vt:lpstr>EP18_17</vt:lpstr>
      <vt:lpstr>EP18_18</vt:lpstr>
      <vt:lpstr>EP18_19</vt:lpstr>
      <vt:lpstr>EP18_20</vt:lpstr>
      <vt:lpstr>EP18_21</vt:lpstr>
      <vt:lpstr>EP18_22</vt:lpstr>
      <vt:lpstr>EP18_23</vt:lpstr>
      <vt:lpstr>EP18_24</vt:lpstr>
      <vt:lpstr>EP18_25</vt:lpstr>
      <vt:lpstr>EP18_26</vt:lpstr>
      <vt:lpstr>EP18_27</vt:lpstr>
      <vt:lpstr>EP18_28</vt:lpstr>
      <vt:lpstr>EP18_29</vt:lpstr>
      <vt:lpstr>EP18_30</vt:lpstr>
      <vt:lpstr>EP18_31</vt:lpstr>
      <vt:lpstr>EP19_12</vt:lpstr>
      <vt:lpstr>EP19_13</vt:lpstr>
      <vt:lpstr>EP19_14</vt:lpstr>
      <vt:lpstr>EP19_15</vt:lpstr>
      <vt:lpstr>EP19_16</vt:lpstr>
      <vt:lpstr>EP19_17</vt:lpstr>
      <vt:lpstr>EP19_18</vt:lpstr>
      <vt:lpstr>EP19_19</vt:lpstr>
      <vt:lpstr>EP19_20</vt:lpstr>
      <vt:lpstr>EP19_21</vt:lpstr>
      <vt:lpstr>EP19_22</vt:lpstr>
      <vt:lpstr>EP19_23</vt:lpstr>
      <vt:lpstr>EP19_24</vt:lpstr>
      <vt:lpstr>EP19_25</vt:lpstr>
      <vt:lpstr>EP19_26</vt:lpstr>
      <vt:lpstr>EP19_27</vt:lpstr>
      <vt:lpstr>EP19_28</vt:lpstr>
      <vt:lpstr>EP19_29</vt:lpstr>
      <vt:lpstr>EP19_30</vt:lpstr>
      <vt:lpstr>EP19_31</vt:lpstr>
      <vt:lpstr>EP2_29</vt:lpstr>
      <vt:lpstr>EP2_30</vt:lpstr>
      <vt:lpstr>EP2_31</vt:lpstr>
      <vt:lpstr>EP20_11</vt:lpstr>
      <vt:lpstr>EP20_12</vt:lpstr>
      <vt:lpstr>EP20_13</vt:lpstr>
      <vt:lpstr>EP20_14</vt:lpstr>
      <vt:lpstr>EP20_15</vt:lpstr>
      <vt:lpstr>EP20_16</vt:lpstr>
      <vt:lpstr>EP20_17</vt:lpstr>
      <vt:lpstr>EP20_18</vt:lpstr>
      <vt:lpstr>EP20_19</vt:lpstr>
      <vt:lpstr>EP20_20</vt:lpstr>
      <vt:lpstr>EP20_21</vt:lpstr>
      <vt:lpstr>EP20_22</vt:lpstr>
      <vt:lpstr>EP20_23</vt:lpstr>
      <vt:lpstr>EP20_24</vt:lpstr>
      <vt:lpstr>EP20_25</vt:lpstr>
      <vt:lpstr>EP20_26</vt:lpstr>
      <vt:lpstr>EP20_27</vt:lpstr>
      <vt:lpstr>EP20_28</vt:lpstr>
      <vt:lpstr>EP20_29</vt:lpstr>
      <vt:lpstr>EP20_30</vt:lpstr>
      <vt:lpstr>EP20_31</vt:lpstr>
      <vt:lpstr>EP21_10</vt:lpstr>
      <vt:lpstr>EP21_11</vt:lpstr>
      <vt:lpstr>EP21_12</vt:lpstr>
      <vt:lpstr>EP21_13</vt:lpstr>
      <vt:lpstr>EP21_14</vt:lpstr>
      <vt:lpstr>EP21_15</vt:lpstr>
      <vt:lpstr>EP21_16</vt:lpstr>
      <vt:lpstr>EP21_17</vt:lpstr>
      <vt:lpstr>EP21_18</vt:lpstr>
      <vt:lpstr>EP21_19</vt:lpstr>
      <vt:lpstr>EP21_20</vt:lpstr>
      <vt:lpstr>EP21_21</vt:lpstr>
      <vt:lpstr>EP21_22</vt:lpstr>
      <vt:lpstr>EP21_23</vt:lpstr>
      <vt:lpstr>EP21_24</vt:lpstr>
      <vt:lpstr>EP21_25</vt:lpstr>
      <vt:lpstr>EP21_26</vt:lpstr>
      <vt:lpstr>EP21_27</vt:lpstr>
      <vt:lpstr>EP21_28</vt:lpstr>
      <vt:lpstr>EP21_29</vt:lpstr>
      <vt:lpstr>EP21_30</vt:lpstr>
      <vt:lpstr>EP21_31</vt:lpstr>
      <vt:lpstr>EP22_10</vt:lpstr>
      <vt:lpstr>EP22_11</vt:lpstr>
      <vt:lpstr>EP22_12</vt:lpstr>
      <vt:lpstr>EP22_13</vt:lpstr>
      <vt:lpstr>EP22_14</vt:lpstr>
      <vt:lpstr>EP22_15</vt:lpstr>
      <vt:lpstr>EP22_16</vt:lpstr>
      <vt:lpstr>EP22_17</vt:lpstr>
      <vt:lpstr>EP22_18</vt:lpstr>
      <vt:lpstr>EP22_19</vt:lpstr>
      <vt:lpstr>EP22_20</vt:lpstr>
      <vt:lpstr>EP22_21</vt:lpstr>
      <vt:lpstr>EP22_22</vt:lpstr>
      <vt:lpstr>EP22_23</vt:lpstr>
      <vt:lpstr>EP22_24</vt:lpstr>
      <vt:lpstr>EP22_25</vt:lpstr>
      <vt:lpstr>EP22_26</vt:lpstr>
      <vt:lpstr>EP22_27</vt:lpstr>
      <vt:lpstr>EP22_28</vt:lpstr>
      <vt:lpstr>EP22_29</vt:lpstr>
      <vt:lpstr>EP22_30</vt:lpstr>
      <vt:lpstr>EP22_31</vt:lpstr>
      <vt:lpstr>EP22_9</vt:lpstr>
      <vt:lpstr>EP23_10</vt:lpstr>
      <vt:lpstr>EP23_11</vt:lpstr>
      <vt:lpstr>EP23_12</vt:lpstr>
      <vt:lpstr>EP23_13</vt:lpstr>
      <vt:lpstr>EP23_14</vt:lpstr>
      <vt:lpstr>EP23_15</vt:lpstr>
      <vt:lpstr>EP23_16</vt:lpstr>
      <vt:lpstr>EP23_17</vt:lpstr>
      <vt:lpstr>EP23_18</vt:lpstr>
      <vt:lpstr>EP23_19</vt:lpstr>
      <vt:lpstr>EP23_20</vt:lpstr>
      <vt:lpstr>EP23_21</vt:lpstr>
      <vt:lpstr>EP23_22</vt:lpstr>
      <vt:lpstr>EP23_23</vt:lpstr>
      <vt:lpstr>EP23_24</vt:lpstr>
      <vt:lpstr>EP23_25</vt:lpstr>
      <vt:lpstr>EP23_26</vt:lpstr>
      <vt:lpstr>EP23_27</vt:lpstr>
      <vt:lpstr>EP23_28</vt:lpstr>
      <vt:lpstr>EP23_29</vt:lpstr>
      <vt:lpstr>EP23_30</vt:lpstr>
      <vt:lpstr>EP23_31</vt:lpstr>
      <vt:lpstr>EP23_8</vt:lpstr>
      <vt:lpstr>EP23_9</vt:lpstr>
      <vt:lpstr>EP24_10</vt:lpstr>
      <vt:lpstr>EP24_11</vt:lpstr>
      <vt:lpstr>EP24_12</vt:lpstr>
      <vt:lpstr>EP24_13</vt:lpstr>
      <vt:lpstr>EP24_14</vt:lpstr>
      <vt:lpstr>EP24_15</vt:lpstr>
      <vt:lpstr>EP24_16</vt:lpstr>
      <vt:lpstr>EP24_17</vt:lpstr>
      <vt:lpstr>EP24_18</vt:lpstr>
      <vt:lpstr>EP24_19</vt:lpstr>
      <vt:lpstr>EP24_20</vt:lpstr>
      <vt:lpstr>EP24_21</vt:lpstr>
      <vt:lpstr>EP24_22</vt:lpstr>
      <vt:lpstr>EP24_23</vt:lpstr>
      <vt:lpstr>EP24_24</vt:lpstr>
      <vt:lpstr>EP24_25</vt:lpstr>
      <vt:lpstr>EP24_26</vt:lpstr>
      <vt:lpstr>EP24_27</vt:lpstr>
      <vt:lpstr>EP24_28</vt:lpstr>
      <vt:lpstr>EP24_29</vt:lpstr>
      <vt:lpstr>EP24_30</vt:lpstr>
      <vt:lpstr>EP24_31</vt:lpstr>
      <vt:lpstr>EP24_7</vt:lpstr>
      <vt:lpstr>EP24_8</vt:lpstr>
      <vt:lpstr>EP24_9</vt:lpstr>
      <vt:lpstr>EP25_10</vt:lpstr>
      <vt:lpstr>EP25_11</vt:lpstr>
      <vt:lpstr>EP25_12</vt:lpstr>
      <vt:lpstr>EP25_13</vt:lpstr>
      <vt:lpstr>EP25_14</vt:lpstr>
      <vt:lpstr>EP25_15</vt:lpstr>
      <vt:lpstr>EP25_16</vt:lpstr>
      <vt:lpstr>EP25_17</vt:lpstr>
      <vt:lpstr>EP25_18</vt:lpstr>
      <vt:lpstr>EP25_19</vt:lpstr>
      <vt:lpstr>EP25_20</vt:lpstr>
      <vt:lpstr>EP25_21</vt:lpstr>
      <vt:lpstr>EP25_22</vt:lpstr>
      <vt:lpstr>EP25_23</vt:lpstr>
      <vt:lpstr>EP25_24</vt:lpstr>
      <vt:lpstr>EP25_25</vt:lpstr>
      <vt:lpstr>EP25_26</vt:lpstr>
      <vt:lpstr>EP25_27</vt:lpstr>
      <vt:lpstr>EP25_28</vt:lpstr>
      <vt:lpstr>EP25_29</vt:lpstr>
      <vt:lpstr>EP25_30</vt:lpstr>
      <vt:lpstr>EP25_31</vt:lpstr>
      <vt:lpstr>EP25_6</vt:lpstr>
      <vt:lpstr>EP25_7</vt:lpstr>
      <vt:lpstr>EP25_8</vt:lpstr>
      <vt:lpstr>EP25_9</vt:lpstr>
      <vt:lpstr>EP26_10</vt:lpstr>
      <vt:lpstr>EP26_11</vt:lpstr>
      <vt:lpstr>EP26_12</vt:lpstr>
      <vt:lpstr>EP26_13</vt:lpstr>
      <vt:lpstr>EP26_14</vt:lpstr>
      <vt:lpstr>EP26_15</vt:lpstr>
      <vt:lpstr>EP26_16</vt:lpstr>
      <vt:lpstr>EP26_17</vt:lpstr>
      <vt:lpstr>EP26_18</vt:lpstr>
      <vt:lpstr>EP26_19</vt:lpstr>
      <vt:lpstr>EP26_20</vt:lpstr>
      <vt:lpstr>EP26_21</vt:lpstr>
      <vt:lpstr>EP26_22</vt:lpstr>
      <vt:lpstr>EP26_23</vt:lpstr>
      <vt:lpstr>EP26_24</vt:lpstr>
      <vt:lpstr>EP26_25</vt:lpstr>
      <vt:lpstr>EP26_26</vt:lpstr>
      <vt:lpstr>EP26_27</vt:lpstr>
      <vt:lpstr>EP26_28</vt:lpstr>
      <vt:lpstr>EP26_29</vt:lpstr>
      <vt:lpstr>EP26_30</vt:lpstr>
      <vt:lpstr>EP26_31</vt:lpstr>
      <vt:lpstr>EP26_5</vt:lpstr>
      <vt:lpstr>EP26_6</vt:lpstr>
      <vt:lpstr>EP26_7</vt:lpstr>
      <vt:lpstr>EP26_8</vt:lpstr>
      <vt:lpstr>EP26_9</vt:lpstr>
      <vt:lpstr>EP27_10</vt:lpstr>
      <vt:lpstr>EP27_11</vt:lpstr>
      <vt:lpstr>EP27_12</vt:lpstr>
      <vt:lpstr>EP27_13</vt:lpstr>
      <vt:lpstr>EP27_14</vt:lpstr>
      <vt:lpstr>EP27_15</vt:lpstr>
      <vt:lpstr>EP27_16</vt:lpstr>
      <vt:lpstr>EP27_17</vt:lpstr>
      <vt:lpstr>EP27_18</vt:lpstr>
      <vt:lpstr>EP27_19</vt:lpstr>
      <vt:lpstr>EP27_20</vt:lpstr>
      <vt:lpstr>EP27_21</vt:lpstr>
      <vt:lpstr>EP27_22</vt:lpstr>
      <vt:lpstr>EP27_23</vt:lpstr>
      <vt:lpstr>EP27_24</vt:lpstr>
      <vt:lpstr>EP27_25</vt:lpstr>
      <vt:lpstr>EP27_26</vt:lpstr>
      <vt:lpstr>EP27_27</vt:lpstr>
      <vt:lpstr>EP27_28</vt:lpstr>
      <vt:lpstr>EP27_29</vt:lpstr>
      <vt:lpstr>EP27_30</vt:lpstr>
      <vt:lpstr>EP27_31</vt:lpstr>
      <vt:lpstr>EP27_4</vt:lpstr>
      <vt:lpstr>EP27_5</vt:lpstr>
      <vt:lpstr>EP27_6</vt:lpstr>
      <vt:lpstr>EP27_7</vt:lpstr>
      <vt:lpstr>EP27_8</vt:lpstr>
      <vt:lpstr>EP27_9</vt:lpstr>
      <vt:lpstr>EP28_10</vt:lpstr>
      <vt:lpstr>EP28_11</vt:lpstr>
      <vt:lpstr>EP28_12</vt:lpstr>
      <vt:lpstr>EP28_13</vt:lpstr>
      <vt:lpstr>EP28_14</vt:lpstr>
      <vt:lpstr>EP28_15</vt:lpstr>
      <vt:lpstr>EP28_16</vt:lpstr>
      <vt:lpstr>EP28_17</vt:lpstr>
      <vt:lpstr>EP28_18</vt:lpstr>
      <vt:lpstr>EP28_19</vt:lpstr>
      <vt:lpstr>EP28_20</vt:lpstr>
      <vt:lpstr>EP28_21</vt:lpstr>
      <vt:lpstr>EP28_22</vt:lpstr>
      <vt:lpstr>EP28_23</vt:lpstr>
      <vt:lpstr>EP28_24</vt:lpstr>
      <vt:lpstr>EP28_25</vt:lpstr>
      <vt:lpstr>EP28_26</vt:lpstr>
      <vt:lpstr>EP28_27</vt:lpstr>
      <vt:lpstr>EP28_28</vt:lpstr>
      <vt:lpstr>EP28_29</vt:lpstr>
      <vt:lpstr>EP28_3</vt:lpstr>
      <vt:lpstr>EP28_30</vt:lpstr>
      <vt:lpstr>EP28_31</vt:lpstr>
      <vt:lpstr>EP28_4</vt:lpstr>
      <vt:lpstr>EP28_5</vt:lpstr>
      <vt:lpstr>EP28_6</vt:lpstr>
      <vt:lpstr>EP28_7</vt:lpstr>
      <vt:lpstr>EP28_8</vt:lpstr>
      <vt:lpstr>EP28_9</vt:lpstr>
      <vt:lpstr>EP29_10</vt:lpstr>
      <vt:lpstr>EP29_11</vt:lpstr>
      <vt:lpstr>EP29_12</vt:lpstr>
      <vt:lpstr>EP29_13</vt:lpstr>
      <vt:lpstr>EP29_14</vt:lpstr>
      <vt:lpstr>EP29_15</vt:lpstr>
      <vt:lpstr>EP29_16</vt:lpstr>
      <vt:lpstr>EP29_17</vt:lpstr>
      <vt:lpstr>EP29_18</vt:lpstr>
      <vt:lpstr>EP29_19</vt:lpstr>
      <vt:lpstr>EP29_2</vt:lpstr>
      <vt:lpstr>EP29_20</vt:lpstr>
      <vt:lpstr>EP29_21</vt:lpstr>
      <vt:lpstr>EP29_22</vt:lpstr>
      <vt:lpstr>EP29_23</vt:lpstr>
      <vt:lpstr>EP29_24</vt:lpstr>
      <vt:lpstr>EP29_25</vt:lpstr>
      <vt:lpstr>EP29_26</vt:lpstr>
      <vt:lpstr>EP29_27</vt:lpstr>
      <vt:lpstr>EP29_28</vt:lpstr>
      <vt:lpstr>EP29_29</vt:lpstr>
      <vt:lpstr>EP29_3</vt:lpstr>
      <vt:lpstr>EP29_30</vt:lpstr>
      <vt:lpstr>EP29_31</vt:lpstr>
      <vt:lpstr>EP29_4</vt:lpstr>
      <vt:lpstr>EP29_5</vt:lpstr>
      <vt:lpstr>EP29_6</vt:lpstr>
      <vt:lpstr>EP29_7</vt:lpstr>
      <vt:lpstr>EP29_8</vt:lpstr>
      <vt:lpstr>EP29_9</vt:lpstr>
      <vt:lpstr>EP3_28</vt:lpstr>
      <vt:lpstr>EP3_29</vt:lpstr>
      <vt:lpstr>EP3_30</vt:lpstr>
      <vt:lpstr>EP3_31</vt:lpstr>
      <vt:lpstr>EP30_1</vt:lpstr>
      <vt:lpstr>EP30_10</vt:lpstr>
      <vt:lpstr>EP30_11</vt:lpstr>
      <vt:lpstr>EP30_12</vt:lpstr>
      <vt:lpstr>EP30_13</vt:lpstr>
      <vt:lpstr>EP30_14</vt:lpstr>
      <vt:lpstr>EP30_15</vt:lpstr>
      <vt:lpstr>EP30_16</vt:lpstr>
      <vt:lpstr>EP30_17</vt:lpstr>
      <vt:lpstr>EP30_18</vt:lpstr>
      <vt:lpstr>EP30_19</vt:lpstr>
      <vt:lpstr>EP30_2</vt:lpstr>
      <vt:lpstr>EP30_20</vt:lpstr>
      <vt:lpstr>EP30_21</vt:lpstr>
      <vt:lpstr>EP30_22</vt:lpstr>
      <vt:lpstr>EP30_23</vt:lpstr>
      <vt:lpstr>EP30_24</vt:lpstr>
      <vt:lpstr>EP30_25</vt:lpstr>
      <vt:lpstr>EP30_26</vt:lpstr>
      <vt:lpstr>EP30_27</vt:lpstr>
      <vt:lpstr>EP30_28</vt:lpstr>
      <vt:lpstr>EP30_29</vt:lpstr>
      <vt:lpstr>EP30_3</vt:lpstr>
      <vt:lpstr>EP30_30</vt:lpstr>
      <vt:lpstr>EP30_31</vt:lpstr>
      <vt:lpstr>EP30_4</vt:lpstr>
      <vt:lpstr>EP30_5</vt:lpstr>
      <vt:lpstr>EP30_6</vt:lpstr>
      <vt:lpstr>EP30_7</vt:lpstr>
      <vt:lpstr>EP30_8</vt:lpstr>
      <vt:lpstr>EP30_9</vt:lpstr>
      <vt:lpstr>EP31_0</vt:lpstr>
      <vt:lpstr>EP31_1</vt:lpstr>
      <vt:lpstr>EP31_10</vt:lpstr>
      <vt:lpstr>EP31_11</vt:lpstr>
      <vt:lpstr>EP31_12</vt:lpstr>
      <vt:lpstr>EP31_13</vt:lpstr>
      <vt:lpstr>EP31_14</vt:lpstr>
      <vt:lpstr>EP31_15</vt:lpstr>
      <vt:lpstr>EP31_16</vt:lpstr>
      <vt:lpstr>EP31_17</vt:lpstr>
      <vt:lpstr>EP31_18</vt:lpstr>
      <vt:lpstr>EP31_19</vt:lpstr>
      <vt:lpstr>EP31_2</vt:lpstr>
      <vt:lpstr>EP31_20</vt:lpstr>
      <vt:lpstr>EP31_21</vt:lpstr>
      <vt:lpstr>EP31_22</vt:lpstr>
      <vt:lpstr>EP31_23</vt:lpstr>
      <vt:lpstr>EP31_24</vt:lpstr>
      <vt:lpstr>EP31_25</vt:lpstr>
      <vt:lpstr>EP31_26</vt:lpstr>
      <vt:lpstr>EP31_27</vt:lpstr>
      <vt:lpstr>EP31_28</vt:lpstr>
      <vt:lpstr>EP31_29</vt:lpstr>
      <vt:lpstr>EP31_3</vt:lpstr>
      <vt:lpstr>EP31_30</vt:lpstr>
      <vt:lpstr>EP31_31</vt:lpstr>
      <vt:lpstr>EP31_4</vt:lpstr>
      <vt:lpstr>EP31_5</vt:lpstr>
      <vt:lpstr>EP31_6</vt:lpstr>
      <vt:lpstr>EP31_7</vt:lpstr>
      <vt:lpstr>EP31_8</vt:lpstr>
      <vt:lpstr>EP31_9</vt:lpstr>
      <vt:lpstr>EP32_0</vt:lpstr>
      <vt:lpstr>EP32_1</vt:lpstr>
      <vt:lpstr>EP32_10</vt:lpstr>
      <vt:lpstr>EP32_11</vt:lpstr>
      <vt:lpstr>EP32_12</vt:lpstr>
      <vt:lpstr>EP32_13</vt:lpstr>
      <vt:lpstr>EP32_14</vt:lpstr>
      <vt:lpstr>EP32_15</vt:lpstr>
      <vt:lpstr>EP32_16</vt:lpstr>
      <vt:lpstr>EP32_17</vt:lpstr>
      <vt:lpstr>EP32_18</vt:lpstr>
      <vt:lpstr>EP32_19</vt:lpstr>
      <vt:lpstr>EP32_2</vt:lpstr>
      <vt:lpstr>EP32_20</vt:lpstr>
      <vt:lpstr>EP32_21</vt:lpstr>
      <vt:lpstr>EP32_22</vt:lpstr>
      <vt:lpstr>EP32_23</vt:lpstr>
      <vt:lpstr>EP32_24</vt:lpstr>
      <vt:lpstr>EP32_25</vt:lpstr>
      <vt:lpstr>EP32_26</vt:lpstr>
      <vt:lpstr>EP32_27</vt:lpstr>
      <vt:lpstr>EP32_28</vt:lpstr>
      <vt:lpstr>EP32_29</vt:lpstr>
      <vt:lpstr>EP32_3</vt:lpstr>
      <vt:lpstr>EP32_30</vt:lpstr>
      <vt:lpstr>EP32_31</vt:lpstr>
      <vt:lpstr>EP32_4</vt:lpstr>
      <vt:lpstr>EP32_5</vt:lpstr>
      <vt:lpstr>EP32_6</vt:lpstr>
      <vt:lpstr>EP32_7</vt:lpstr>
      <vt:lpstr>EP32_8</vt:lpstr>
      <vt:lpstr>EP32_9</vt:lpstr>
      <vt:lpstr>EP33_0</vt:lpstr>
      <vt:lpstr>EP33_1</vt:lpstr>
      <vt:lpstr>EP33_10</vt:lpstr>
      <vt:lpstr>EP33_11</vt:lpstr>
      <vt:lpstr>EP33_12</vt:lpstr>
      <vt:lpstr>EP33_13</vt:lpstr>
      <vt:lpstr>EP33_14</vt:lpstr>
      <vt:lpstr>EP33_15</vt:lpstr>
      <vt:lpstr>EP33_16</vt:lpstr>
      <vt:lpstr>EP33_17</vt:lpstr>
      <vt:lpstr>EP33_18</vt:lpstr>
      <vt:lpstr>EP33_19</vt:lpstr>
      <vt:lpstr>EP33_2</vt:lpstr>
      <vt:lpstr>EP33_20</vt:lpstr>
      <vt:lpstr>EP33_21</vt:lpstr>
      <vt:lpstr>EP33_22</vt:lpstr>
      <vt:lpstr>EP33_23</vt:lpstr>
      <vt:lpstr>EP33_24</vt:lpstr>
      <vt:lpstr>EP33_25</vt:lpstr>
      <vt:lpstr>EP33_26</vt:lpstr>
      <vt:lpstr>EP33_27</vt:lpstr>
      <vt:lpstr>EP33_28</vt:lpstr>
      <vt:lpstr>EP33_29</vt:lpstr>
      <vt:lpstr>EP33_3</vt:lpstr>
      <vt:lpstr>EP33_30</vt:lpstr>
      <vt:lpstr>EP33_31</vt:lpstr>
      <vt:lpstr>EP33_4</vt:lpstr>
      <vt:lpstr>EP33_5</vt:lpstr>
      <vt:lpstr>EP33_6</vt:lpstr>
      <vt:lpstr>EP33_7</vt:lpstr>
      <vt:lpstr>EP33_8</vt:lpstr>
      <vt:lpstr>EP33_9</vt:lpstr>
      <vt:lpstr>EP34_0</vt:lpstr>
      <vt:lpstr>EP34_1</vt:lpstr>
      <vt:lpstr>EP34_10</vt:lpstr>
      <vt:lpstr>EP34_11</vt:lpstr>
      <vt:lpstr>EP34_12</vt:lpstr>
      <vt:lpstr>EP34_13</vt:lpstr>
      <vt:lpstr>EP34_14</vt:lpstr>
      <vt:lpstr>EP34_15</vt:lpstr>
      <vt:lpstr>EP34_16</vt:lpstr>
      <vt:lpstr>EP34_17</vt:lpstr>
      <vt:lpstr>EP34_18</vt:lpstr>
      <vt:lpstr>EP34_19</vt:lpstr>
      <vt:lpstr>EP34_2</vt:lpstr>
      <vt:lpstr>EP34_20</vt:lpstr>
      <vt:lpstr>EP34_21</vt:lpstr>
      <vt:lpstr>EP34_22</vt:lpstr>
      <vt:lpstr>EP34_23</vt:lpstr>
      <vt:lpstr>EP34_24</vt:lpstr>
      <vt:lpstr>EP34_25</vt:lpstr>
      <vt:lpstr>EP34_26</vt:lpstr>
      <vt:lpstr>EP34_27</vt:lpstr>
      <vt:lpstr>EP34_28</vt:lpstr>
      <vt:lpstr>EP34_29</vt:lpstr>
      <vt:lpstr>EP34_3</vt:lpstr>
      <vt:lpstr>EP34_30</vt:lpstr>
      <vt:lpstr>EP34_31</vt:lpstr>
      <vt:lpstr>EP34_4</vt:lpstr>
      <vt:lpstr>EP34_5</vt:lpstr>
      <vt:lpstr>EP34_6</vt:lpstr>
      <vt:lpstr>EP34_7</vt:lpstr>
      <vt:lpstr>EP34_8</vt:lpstr>
      <vt:lpstr>EP34_9</vt:lpstr>
      <vt:lpstr>EP35_0</vt:lpstr>
      <vt:lpstr>EP35_1</vt:lpstr>
      <vt:lpstr>EP35_10</vt:lpstr>
      <vt:lpstr>EP35_11</vt:lpstr>
      <vt:lpstr>EP35_12</vt:lpstr>
      <vt:lpstr>EP35_13</vt:lpstr>
      <vt:lpstr>EP35_14</vt:lpstr>
      <vt:lpstr>EP35_15</vt:lpstr>
      <vt:lpstr>EP35_16</vt:lpstr>
      <vt:lpstr>EP35_17</vt:lpstr>
      <vt:lpstr>EP35_18</vt:lpstr>
      <vt:lpstr>EP35_19</vt:lpstr>
      <vt:lpstr>EP35_2</vt:lpstr>
      <vt:lpstr>EP35_20</vt:lpstr>
      <vt:lpstr>EP35_21</vt:lpstr>
      <vt:lpstr>EP35_22</vt:lpstr>
      <vt:lpstr>EP35_23</vt:lpstr>
      <vt:lpstr>EP35_24</vt:lpstr>
      <vt:lpstr>EP35_25</vt:lpstr>
      <vt:lpstr>EP35_26</vt:lpstr>
      <vt:lpstr>EP35_27</vt:lpstr>
      <vt:lpstr>EP35_28</vt:lpstr>
      <vt:lpstr>EP35_29</vt:lpstr>
      <vt:lpstr>EP35_3</vt:lpstr>
      <vt:lpstr>EP35_30</vt:lpstr>
      <vt:lpstr>EP35_31</vt:lpstr>
      <vt:lpstr>EP35_4</vt:lpstr>
      <vt:lpstr>EP35_5</vt:lpstr>
      <vt:lpstr>EP35_6</vt:lpstr>
      <vt:lpstr>EP35_7</vt:lpstr>
      <vt:lpstr>EP35_8</vt:lpstr>
      <vt:lpstr>EP35_9</vt:lpstr>
      <vt:lpstr>EP36_0</vt:lpstr>
      <vt:lpstr>EP36_1</vt:lpstr>
      <vt:lpstr>EP36_10</vt:lpstr>
      <vt:lpstr>EP36_11</vt:lpstr>
      <vt:lpstr>EP36_12</vt:lpstr>
      <vt:lpstr>EP36_13</vt:lpstr>
      <vt:lpstr>EP36_14</vt:lpstr>
      <vt:lpstr>EP36_15</vt:lpstr>
      <vt:lpstr>EP36_16</vt:lpstr>
      <vt:lpstr>EP36_17</vt:lpstr>
      <vt:lpstr>EP36_18</vt:lpstr>
      <vt:lpstr>EP36_19</vt:lpstr>
      <vt:lpstr>EP36_2</vt:lpstr>
      <vt:lpstr>EP36_20</vt:lpstr>
      <vt:lpstr>EP36_21</vt:lpstr>
      <vt:lpstr>EP36_22</vt:lpstr>
      <vt:lpstr>EP36_23</vt:lpstr>
      <vt:lpstr>EP36_24</vt:lpstr>
      <vt:lpstr>EP36_25</vt:lpstr>
      <vt:lpstr>EP36_26</vt:lpstr>
      <vt:lpstr>EP36_27</vt:lpstr>
      <vt:lpstr>EP36_28</vt:lpstr>
      <vt:lpstr>EP36_29</vt:lpstr>
      <vt:lpstr>EP36_3</vt:lpstr>
      <vt:lpstr>EP36_30</vt:lpstr>
      <vt:lpstr>EP36_31</vt:lpstr>
      <vt:lpstr>EP36_4</vt:lpstr>
      <vt:lpstr>EP36_5</vt:lpstr>
      <vt:lpstr>EP36_6</vt:lpstr>
      <vt:lpstr>EP36_7</vt:lpstr>
      <vt:lpstr>EP36_8</vt:lpstr>
      <vt:lpstr>EP36_9</vt:lpstr>
      <vt:lpstr>EP37_0</vt:lpstr>
      <vt:lpstr>EP37_1</vt:lpstr>
      <vt:lpstr>EP37_10</vt:lpstr>
      <vt:lpstr>EP37_11</vt:lpstr>
      <vt:lpstr>EP37_12</vt:lpstr>
      <vt:lpstr>EP37_13</vt:lpstr>
      <vt:lpstr>EP37_14</vt:lpstr>
      <vt:lpstr>EP37_15</vt:lpstr>
      <vt:lpstr>EP37_16</vt:lpstr>
      <vt:lpstr>EP37_17</vt:lpstr>
      <vt:lpstr>EP37_18</vt:lpstr>
      <vt:lpstr>EP37_19</vt:lpstr>
      <vt:lpstr>EP37_2</vt:lpstr>
      <vt:lpstr>EP37_20</vt:lpstr>
      <vt:lpstr>EP37_21</vt:lpstr>
      <vt:lpstr>EP37_22</vt:lpstr>
      <vt:lpstr>EP37_23</vt:lpstr>
      <vt:lpstr>EP37_24</vt:lpstr>
      <vt:lpstr>EP37_25</vt:lpstr>
      <vt:lpstr>EP37_26</vt:lpstr>
      <vt:lpstr>EP37_27</vt:lpstr>
      <vt:lpstr>EP37_28</vt:lpstr>
      <vt:lpstr>EP37_29</vt:lpstr>
      <vt:lpstr>EP37_3</vt:lpstr>
      <vt:lpstr>EP37_30</vt:lpstr>
      <vt:lpstr>EP37_31</vt:lpstr>
      <vt:lpstr>EP37_4</vt:lpstr>
      <vt:lpstr>EP37_5</vt:lpstr>
      <vt:lpstr>EP37_6</vt:lpstr>
      <vt:lpstr>EP37_7</vt:lpstr>
      <vt:lpstr>EP37_8</vt:lpstr>
      <vt:lpstr>EP37_9</vt:lpstr>
      <vt:lpstr>EP38_0</vt:lpstr>
      <vt:lpstr>EP38_1</vt:lpstr>
      <vt:lpstr>EP38_10</vt:lpstr>
      <vt:lpstr>EP38_11</vt:lpstr>
      <vt:lpstr>EP38_12</vt:lpstr>
      <vt:lpstr>EP38_13</vt:lpstr>
      <vt:lpstr>EP38_14</vt:lpstr>
      <vt:lpstr>EP38_15</vt:lpstr>
      <vt:lpstr>EP38_16</vt:lpstr>
      <vt:lpstr>EP38_17</vt:lpstr>
      <vt:lpstr>EP38_18</vt:lpstr>
      <vt:lpstr>EP38_19</vt:lpstr>
      <vt:lpstr>EP38_2</vt:lpstr>
      <vt:lpstr>EP38_20</vt:lpstr>
      <vt:lpstr>EP38_21</vt:lpstr>
      <vt:lpstr>EP38_22</vt:lpstr>
      <vt:lpstr>EP38_23</vt:lpstr>
      <vt:lpstr>EP38_24</vt:lpstr>
      <vt:lpstr>EP38_25</vt:lpstr>
      <vt:lpstr>EP38_26</vt:lpstr>
      <vt:lpstr>EP38_27</vt:lpstr>
      <vt:lpstr>EP38_28</vt:lpstr>
      <vt:lpstr>EP38_29</vt:lpstr>
      <vt:lpstr>EP38_3</vt:lpstr>
      <vt:lpstr>EP38_30</vt:lpstr>
      <vt:lpstr>EP38_31</vt:lpstr>
      <vt:lpstr>EP38_4</vt:lpstr>
      <vt:lpstr>EP38_5</vt:lpstr>
      <vt:lpstr>EP38_6</vt:lpstr>
      <vt:lpstr>EP38_7</vt:lpstr>
      <vt:lpstr>EP38_8</vt:lpstr>
      <vt:lpstr>EP38_9</vt:lpstr>
      <vt:lpstr>EP39_0</vt:lpstr>
      <vt:lpstr>EP39_1</vt:lpstr>
      <vt:lpstr>EP39_10</vt:lpstr>
      <vt:lpstr>EP39_11</vt:lpstr>
      <vt:lpstr>EP39_12</vt:lpstr>
      <vt:lpstr>EP39_13</vt:lpstr>
      <vt:lpstr>EP39_14</vt:lpstr>
      <vt:lpstr>EP39_15</vt:lpstr>
      <vt:lpstr>EP39_16</vt:lpstr>
      <vt:lpstr>EP39_17</vt:lpstr>
      <vt:lpstr>EP39_18</vt:lpstr>
      <vt:lpstr>EP39_19</vt:lpstr>
      <vt:lpstr>EP39_2</vt:lpstr>
      <vt:lpstr>EP39_20</vt:lpstr>
      <vt:lpstr>EP39_21</vt:lpstr>
      <vt:lpstr>EP39_22</vt:lpstr>
      <vt:lpstr>EP39_23</vt:lpstr>
      <vt:lpstr>EP39_24</vt:lpstr>
      <vt:lpstr>EP39_25</vt:lpstr>
      <vt:lpstr>EP39_26</vt:lpstr>
      <vt:lpstr>EP39_27</vt:lpstr>
      <vt:lpstr>EP39_28</vt:lpstr>
      <vt:lpstr>EP39_29</vt:lpstr>
      <vt:lpstr>EP39_3</vt:lpstr>
      <vt:lpstr>EP39_30</vt:lpstr>
      <vt:lpstr>EP39_31</vt:lpstr>
      <vt:lpstr>EP39_4</vt:lpstr>
      <vt:lpstr>EP39_5</vt:lpstr>
      <vt:lpstr>EP39_6</vt:lpstr>
      <vt:lpstr>EP39_7</vt:lpstr>
      <vt:lpstr>EP39_8</vt:lpstr>
      <vt:lpstr>EP39_9</vt:lpstr>
      <vt:lpstr>EP4_27</vt:lpstr>
      <vt:lpstr>EP4_28</vt:lpstr>
      <vt:lpstr>EP4_29</vt:lpstr>
      <vt:lpstr>EP4_30</vt:lpstr>
      <vt:lpstr>EP4_31</vt:lpstr>
      <vt:lpstr>EP40_0</vt:lpstr>
      <vt:lpstr>EP40_1</vt:lpstr>
      <vt:lpstr>EP40_10</vt:lpstr>
      <vt:lpstr>EP40_11</vt:lpstr>
      <vt:lpstr>EP40_12</vt:lpstr>
      <vt:lpstr>EP40_13</vt:lpstr>
      <vt:lpstr>EP40_14</vt:lpstr>
      <vt:lpstr>EP40_15</vt:lpstr>
      <vt:lpstr>EP40_16</vt:lpstr>
      <vt:lpstr>EP40_17</vt:lpstr>
      <vt:lpstr>EP40_18</vt:lpstr>
      <vt:lpstr>EP40_19</vt:lpstr>
      <vt:lpstr>EP40_2</vt:lpstr>
      <vt:lpstr>EP40_20</vt:lpstr>
      <vt:lpstr>EP40_21</vt:lpstr>
      <vt:lpstr>EP40_22</vt:lpstr>
      <vt:lpstr>EP40_23</vt:lpstr>
      <vt:lpstr>EP40_24</vt:lpstr>
      <vt:lpstr>EP40_25</vt:lpstr>
      <vt:lpstr>EP40_26</vt:lpstr>
      <vt:lpstr>EP40_27</vt:lpstr>
      <vt:lpstr>EP40_28</vt:lpstr>
      <vt:lpstr>EP40_29</vt:lpstr>
      <vt:lpstr>EP40_3</vt:lpstr>
      <vt:lpstr>EP40_30</vt:lpstr>
      <vt:lpstr>EP40_31</vt:lpstr>
      <vt:lpstr>EP40_4</vt:lpstr>
      <vt:lpstr>EP40_5</vt:lpstr>
      <vt:lpstr>EP40_6</vt:lpstr>
      <vt:lpstr>EP40_7</vt:lpstr>
      <vt:lpstr>EP40_8</vt:lpstr>
      <vt:lpstr>EP40_9</vt:lpstr>
      <vt:lpstr>EP41_0</vt:lpstr>
      <vt:lpstr>EP41_1</vt:lpstr>
      <vt:lpstr>EP41_10</vt:lpstr>
      <vt:lpstr>EP41_11</vt:lpstr>
      <vt:lpstr>EP41_12</vt:lpstr>
      <vt:lpstr>EP41_13</vt:lpstr>
      <vt:lpstr>EP41_14</vt:lpstr>
      <vt:lpstr>EP41_15</vt:lpstr>
      <vt:lpstr>EP41_16</vt:lpstr>
      <vt:lpstr>EP41_17</vt:lpstr>
      <vt:lpstr>EP41_18</vt:lpstr>
      <vt:lpstr>EP41_19</vt:lpstr>
      <vt:lpstr>EP41_2</vt:lpstr>
      <vt:lpstr>EP41_20</vt:lpstr>
      <vt:lpstr>EP41_21</vt:lpstr>
      <vt:lpstr>EP41_22</vt:lpstr>
      <vt:lpstr>EP41_23</vt:lpstr>
      <vt:lpstr>EP41_24</vt:lpstr>
      <vt:lpstr>EP41_25</vt:lpstr>
      <vt:lpstr>EP41_26</vt:lpstr>
      <vt:lpstr>EP41_27</vt:lpstr>
      <vt:lpstr>EP41_28</vt:lpstr>
      <vt:lpstr>EP41_29</vt:lpstr>
      <vt:lpstr>EP41_3</vt:lpstr>
      <vt:lpstr>EP41_30</vt:lpstr>
      <vt:lpstr>EP41_31</vt:lpstr>
      <vt:lpstr>EP41_4</vt:lpstr>
      <vt:lpstr>EP41_5</vt:lpstr>
      <vt:lpstr>EP41_6</vt:lpstr>
      <vt:lpstr>EP41_7</vt:lpstr>
      <vt:lpstr>EP41_8</vt:lpstr>
      <vt:lpstr>EP41_9</vt:lpstr>
      <vt:lpstr>EP42_0</vt:lpstr>
      <vt:lpstr>EP42_1</vt:lpstr>
      <vt:lpstr>EP42_10</vt:lpstr>
      <vt:lpstr>EP42_11</vt:lpstr>
      <vt:lpstr>EP42_12</vt:lpstr>
      <vt:lpstr>EP42_13</vt:lpstr>
      <vt:lpstr>EP42_14</vt:lpstr>
      <vt:lpstr>EP42_15</vt:lpstr>
      <vt:lpstr>EP42_16</vt:lpstr>
      <vt:lpstr>EP42_17</vt:lpstr>
      <vt:lpstr>EP42_18</vt:lpstr>
      <vt:lpstr>EP42_19</vt:lpstr>
      <vt:lpstr>EP42_2</vt:lpstr>
      <vt:lpstr>EP42_20</vt:lpstr>
      <vt:lpstr>EP42_21</vt:lpstr>
      <vt:lpstr>EP42_22</vt:lpstr>
      <vt:lpstr>EP42_23</vt:lpstr>
      <vt:lpstr>EP42_24</vt:lpstr>
      <vt:lpstr>EP42_25</vt:lpstr>
      <vt:lpstr>EP42_26</vt:lpstr>
      <vt:lpstr>EP42_27</vt:lpstr>
      <vt:lpstr>EP42_28</vt:lpstr>
      <vt:lpstr>EP42_29</vt:lpstr>
      <vt:lpstr>EP42_3</vt:lpstr>
      <vt:lpstr>EP42_30</vt:lpstr>
      <vt:lpstr>EP42_31</vt:lpstr>
      <vt:lpstr>EP42_4</vt:lpstr>
      <vt:lpstr>EP42_5</vt:lpstr>
      <vt:lpstr>EP42_6</vt:lpstr>
      <vt:lpstr>EP42_7</vt:lpstr>
      <vt:lpstr>EP42_8</vt:lpstr>
      <vt:lpstr>EP42_9</vt:lpstr>
      <vt:lpstr>EP43_0</vt:lpstr>
      <vt:lpstr>EP43_1</vt:lpstr>
      <vt:lpstr>EP43_10</vt:lpstr>
      <vt:lpstr>EP43_11</vt:lpstr>
      <vt:lpstr>EP43_12</vt:lpstr>
      <vt:lpstr>EP43_13</vt:lpstr>
      <vt:lpstr>EP43_14</vt:lpstr>
      <vt:lpstr>EP43_15</vt:lpstr>
      <vt:lpstr>EP43_16</vt:lpstr>
      <vt:lpstr>EP43_17</vt:lpstr>
      <vt:lpstr>EP43_18</vt:lpstr>
      <vt:lpstr>EP43_19</vt:lpstr>
      <vt:lpstr>EP43_2</vt:lpstr>
      <vt:lpstr>EP43_20</vt:lpstr>
      <vt:lpstr>EP43_21</vt:lpstr>
      <vt:lpstr>EP43_22</vt:lpstr>
      <vt:lpstr>EP43_23</vt:lpstr>
      <vt:lpstr>EP43_24</vt:lpstr>
      <vt:lpstr>EP43_25</vt:lpstr>
      <vt:lpstr>EP43_26</vt:lpstr>
      <vt:lpstr>EP43_27</vt:lpstr>
      <vt:lpstr>EP43_28</vt:lpstr>
      <vt:lpstr>EP43_29</vt:lpstr>
      <vt:lpstr>EP43_3</vt:lpstr>
      <vt:lpstr>EP43_30</vt:lpstr>
      <vt:lpstr>EP43_31</vt:lpstr>
      <vt:lpstr>EP43_4</vt:lpstr>
      <vt:lpstr>EP43_5</vt:lpstr>
      <vt:lpstr>EP43_6</vt:lpstr>
      <vt:lpstr>EP43_7</vt:lpstr>
      <vt:lpstr>EP43_8</vt:lpstr>
      <vt:lpstr>EP43_9</vt:lpstr>
      <vt:lpstr>EP44_0</vt:lpstr>
      <vt:lpstr>EP44_1</vt:lpstr>
      <vt:lpstr>EP44_10</vt:lpstr>
      <vt:lpstr>EP44_11</vt:lpstr>
      <vt:lpstr>EP44_12</vt:lpstr>
      <vt:lpstr>EP44_13</vt:lpstr>
      <vt:lpstr>EP44_14</vt:lpstr>
      <vt:lpstr>EP44_15</vt:lpstr>
      <vt:lpstr>EP44_16</vt:lpstr>
      <vt:lpstr>EP44_17</vt:lpstr>
      <vt:lpstr>EP44_18</vt:lpstr>
      <vt:lpstr>EP44_19</vt:lpstr>
      <vt:lpstr>EP44_2</vt:lpstr>
      <vt:lpstr>EP44_20</vt:lpstr>
      <vt:lpstr>EP44_21</vt:lpstr>
      <vt:lpstr>EP44_22</vt:lpstr>
      <vt:lpstr>EP44_23</vt:lpstr>
      <vt:lpstr>EP44_24</vt:lpstr>
      <vt:lpstr>EP44_25</vt:lpstr>
      <vt:lpstr>EP44_26</vt:lpstr>
      <vt:lpstr>EP44_27</vt:lpstr>
      <vt:lpstr>EP44_28</vt:lpstr>
      <vt:lpstr>EP44_29</vt:lpstr>
      <vt:lpstr>EP44_3</vt:lpstr>
      <vt:lpstr>EP44_30</vt:lpstr>
      <vt:lpstr>EP44_31</vt:lpstr>
      <vt:lpstr>EP44_4</vt:lpstr>
      <vt:lpstr>EP44_5</vt:lpstr>
      <vt:lpstr>EP44_6</vt:lpstr>
      <vt:lpstr>EP44_7</vt:lpstr>
      <vt:lpstr>EP44_8</vt:lpstr>
      <vt:lpstr>EP44_9</vt:lpstr>
      <vt:lpstr>EP45_0</vt:lpstr>
      <vt:lpstr>EP45_1</vt:lpstr>
      <vt:lpstr>EP45_10</vt:lpstr>
      <vt:lpstr>EP45_11</vt:lpstr>
      <vt:lpstr>EP45_12</vt:lpstr>
      <vt:lpstr>EP45_13</vt:lpstr>
      <vt:lpstr>EP45_14</vt:lpstr>
      <vt:lpstr>EP45_15</vt:lpstr>
      <vt:lpstr>EP45_16</vt:lpstr>
      <vt:lpstr>EP45_17</vt:lpstr>
      <vt:lpstr>EP45_18</vt:lpstr>
      <vt:lpstr>EP45_19</vt:lpstr>
      <vt:lpstr>EP45_2</vt:lpstr>
      <vt:lpstr>EP45_20</vt:lpstr>
      <vt:lpstr>EP45_21</vt:lpstr>
      <vt:lpstr>EP45_22</vt:lpstr>
      <vt:lpstr>EP45_23</vt:lpstr>
      <vt:lpstr>EP45_24</vt:lpstr>
      <vt:lpstr>EP45_25</vt:lpstr>
      <vt:lpstr>EP45_26</vt:lpstr>
      <vt:lpstr>EP45_27</vt:lpstr>
      <vt:lpstr>EP45_28</vt:lpstr>
      <vt:lpstr>EP45_29</vt:lpstr>
      <vt:lpstr>EP45_3</vt:lpstr>
      <vt:lpstr>EP45_30</vt:lpstr>
      <vt:lpstr>EP45_31</vt:lpstr>
      <vt:lpstr>EP45_4</vt:lpstr>
      <vt:lpstr>EP45_5</vt:lpstr>
      <vt:lpstr>EP45_6</vt:lpstr>
      <vt:lpstr>EP45_7</vt:lpstr>
      <vt:lpstr>EP45_8</vt:lpstr>
      <vt:lpstr>EP45_9</vt:lpstr>
      <vt:lpstr>EP46_0</vt:lpstr>
      <vt:lpstr>EP46_1</vt:lpstr>
      <vt:lpstr>EP46_10</vt:lpstr>
      <vt:lpstr>EP46_11</vt:lpstr>
      <vt:lpstr>EP46_12</vt:lpstr>
      <vt:lpstr>EP46_13</vt:lpstr>
      <vt:lpstr>EP46_14</vt:lpstr>
      <vt:lpstr>EP46_15</vt:lpstr>
      <vt:lpstr>EP46_16</vt:lpstr>
      <vt:lpstr>EP46_17</vt:lpstr>
      <vt:lpstr>EP46_18</vt:lpstr>
      <vt:lpstr>EP46_19</vt:lpstr>
      <vt:lpstr>EP46_2</vt:lpstr>
      <vt:lpstr>EP46_20</vt:lpstr>
      <vt:lpstr>EP46_21</vt:lpstr>
      <vt:lpstr>EP46_22</vt:lpstr>
      <vt:lpstr>EP46_23</vt:lpstr>
      <vt:lpstr>EP46_24</vt:lpstr>
      <vt:lpstr>EP46_25</vt:lpstr>
      <vt:lpstr>EP46_26</vt:lpstr>
      <vt:lpstr>EP46_27</vt:lpstr>
      <vt:lpstr>Ep46_28</vt:lpstr>
      <vt:lpstr>EP46_29</vt:lpstr>
      <vt:lpstr>EP46_3</vt:lpstr>
      <vt:lpstr>EP46_30</vt:lpstr>
      <vt:lpstr>EP46_31</vt:lpstr>
      <vt:lpstr>EP46_4</vt:lpstr>
      <vt:lpstr>EP46_5</vt:lpstr>
      <vt:lpstr>EP46_6</vt:lpstr>
      <vt:lpstr>EP46_7</vt:lpstr>
      <vt:lpstr>EP46_8</vt:lpstr>
      <vt:lpstr>EP46_9</vt:lpstr>
      <vt:lpstr>EP47_0</vt:lpstr>
      <vt:lpstr>EP47_1</vt:lpstr>
      <vt:lpstr>EP47_10</vt:lpstr>
      <vt:lpstr>EP47_11</vt:lpstr>
      <vt:lpstr>EP47_12</vt:lpstr>
      <vt:lpstr>EP47_13</vt:lpstr>
      <vt:lpstr>EP47_14</vt:lpstr>
      <vt:lpstr>EP47_15</vt:lpstr>
      <vt:lpstr>EP47_16</vt:lpstr>
      <vt:lpstr>EP47_17</vt:lpstr>
      <vt:lpstr>EP47_18</vt:lpstr>
      <vt:lpstr>EP47_19</vt:lpstr>
      <vt:lpstr>EP47_2</vt:lpstr>
      <vt:lpstr>EP47_20</vt:lpstr>
      <vt:lpstr>EP47_21</vt:lpstr>
      <vt:lpstr>EP47_22</vt:lpstr>
      <vt:lpstr>EP47_23</vt:lpstr>
      <vt:lpstr>EP47_24</vt:lpstr>
      <vt:lpstr>EP47_25</vt:lpstr>
      <vt:lpstr>EP47_26</vt:lpstr>
      <vt:lpstr>EP47_27</vt:lpstr>
      <vt:lpstr>EP47_28</vt:lpstr>
      <vt:lpstr>EP47_29</vt:lpstr>
      <vt:lpstr>EP47_3</vt:lpstr>
      <vt:lpstr>EP47_30</vt:lpstr>
      <vt:lpstr>EP47_31</vt:lpstr>
      <vt:lpstr>EP47_4</vt:lpstr>
      <vt:lpstr>EP47_5</vt:lpstr>
      <vt:lpstr>EP47_6</vt:lpstr>
      <vt:lpstr>EP47_7</vt:lpstr>
      <vt:lpstr>EP47_8</vt:lpstr>
      <vt:lpstr>EP47_9</vt:lpstr>
      <vt:lpstr>EP48_0</vt:lpstr>
      <vt:lpstr>EP48_1</vt:lpstr>
      <vt:lpstr>EP48_10</vt:lpstr>
      <vt:lpstr>EP48_11</vt:lpstr>
      <vt:lpstr>EP48_12</vt:lpstr>
      <vt:lpstr>EP48_13</vt:lpstr>
      <vt:lpstr>EP48_14</vt:lpstr>
      <vt:lpstr>EP48_15</vt:lpstr>
      <vt:lpstr>EP48_16</vt:lpstr>
      <vt:lpstr>EP48_17</vt:lpstr>
      <vt:lpstr>EP48_18</vt:lpstr>
      <vt:lpstr>EP48_19</vt:lpstr>
      <vt:lpstr>EP48_2</vt:lpstr>
      <vt:lpstr>EP48_20</vt:lpstr>
      <vt:lpstr>EP48_21</vt:lpstr>
      <vt:lpstr>EP48_22</vt:lpstr>
      <vt:lpstr>EP48_23</vt:lpstr>
      <vt:lpstr>EP48_24</vt:lpstr>
      <vt:lpstr>EP48_25</vt:lpstr>
      <vt:lpstr>EP48_26</vt:lpstr>
      <vt:lpstr>EP48_27</vt:lpstr>
      <vt:lpstr>EP48_28</vt:lpstr>
      <vt:lpstr>EP48_29</vt:lpstr>
      <vt:lpstr>EP48_3</vt:lpstr>
      <vt:lpstr>EP48_30</vt:lpstr>
      <vt:lpstr>EP48_31</vt:lpstr>
      <vt:lpstr>EP48_4</vt:lpstr>
      <vt:lpstr>EP48_5</vt:lpstr>
      <vt:lpstr>EP48_6</vt:lpstr>
      <vt:lpstr>EP48_7</vt:lpstr>
      <vt:lpstr>EP48_8</vt:lpstr>
      <vt:lpstr>EP48_9</vt:lpstr>
      <vt:lpstr>EP49_0</vt:lpstr>
      <vt:lpstr>EP49_1</vt:lpstr>
      <vt:lpstr>EP49_10</vt:lpstr>
      <vt:lpstr>EP49_11</vt:lpstr>
      <vt:lpstr>EP49_12</vt:lpstr>
      <vt:lpstr>EP49_13</vt:lpstr>
      <vt:lpstr>EP49_14</vt:lpstr>
      <vt:lpstr>EP49_15</vt:lpstr>
      <vt:lpstr>EP49_16</vt:lpstr>
      <vt:lpstr>EP49_17</vt:lpstr>
      <vt:lpstr>EP49_18</vt:lpstr>
      <vt:lpstr>EP49_19</vt:lpstr>
      <vt:lpstr>EP49_2</vt:lpstr>
      <vt:lpstr>EP49_20</vt:lpstr>
      <vt:lpstr>EP49_21</vt:lpstr>
      <vt:lpstr>EP49_22</vt:lpstr>
      <vt:lpstr>EP49_23</vt:lpstr>
      <vt:lpstr>EP49_24</vt:lpstr>
      <vt:lpstr>EP49_25</vt:lpstr>
      <vt:lpstr>EP49_26</vt:lpstr>
      <vt:lpstr>EP49_27</vt:lpstr>
      <vt:lpstr>EP49_28</vt:lpstr>
      <vt:lpstr>EP49_29</vt:lpstr>
      <vt:lpstr>EP49_3</vt:lpstr>
      <vt:lpstr>EP49_30</vt:lpstr>
      <vt:lpstr>EP49_31</vt:lpstr>
      <vt:lpstr>EP49_4</vt:lpstr>
      <vt:lpstr>EP49_5</vt:lpstr>
      <vt:lpstr>EP49_6</vt:lpstr>
      <vt:lpstr>EP49_7</vt:lpstr>
      <vt:lpstr>EP49_8</vt:lpstr>
      <vt:lpstr>EP49_9</vt:lpstr>
      <vt:lpstr>EP5_26</vt:lpstr>
      <vt:lpstr>EP5_27</vt:lpstr>
      <vt:lpstr>EP5_28</vt:lpstr>
      <vt:lpstr>EP5_29</vt:lpstr>
      <vt:lpstr>EP5_30</vt:lpstr>
      <vt:lpstr>EP5_31</vt:lpstr>
      <vt:lpstr>EP50_0</vt:lpstr>
      <vt:lpstr>EP50_1</vt:lpstr>
      <vt:lpstr>EP50_10</vt:lpstr>
      <vt:lpstr>EP50_11</vt:lpstr>
      <vt:lpstr>EP50_12</vt:lpstr>
      <vt:lpstr>EP50_13</vt:lpstr>
      <vt:lpstr>EP50_14</vt:lpstr>
      <vt:lpstr>EP50_15</vt:lpstr>
      <vt:lpstr>EP50_16</vt:lpstr>
      <vt:lpstr>EP50_17</vt:lpstr>
      <vt:lpstr>EP50_18</vt:lpstr>
      <vt:lpstr>EP50_19</vt:lpstr>
      <vt:lpstr>EP50_2</vt:lpstr>
      <vt:lpstr>EP50_20</vt:lpstr>
      <vt:lpstr>EP50_21</vt:lpstr>
      <vt:lpstr>EP50_22</vt:lpstr>
      <vt:lpstr>EP50_23</vt:lpstr>
      <vt:lpstr>EP50_24</vt:lpstr>
      <vt:lpstr>EP50_25</vt:lpstr>
      <vt:lpstr>EP50_26</vt:lpstr>
      <vt:lpstr>EP50_27</vt:lpstr>
      <vt:lpstr>EP50_28</vt:lpstr>
      <vt:lpstr>EP50_29</vt:lpstr>
      <vt:lpstr>EP50_3</vt:lpstr>
      <vt:lpstr>EP50_30</vt:lpstr>
      <vt:lpstr>EP50_31</vt:lpstr>
      <vt:lpstr>EP50_4</vt:lpstr>
      <vt:lpstr>EP50_5</vt:lpstr>
      <vt:lpstr>EP50_6</vt:lpstr>
      <vt:lpstr>EP50_7</vt:lpstr>
      <vt:lpstr>EP50_8</vt:lpstr>
      <vt:lpstr>EP50_9</vt:lpstr>
      <vt:lpstr>EP51_0</vt:lpstr>
      <vt:lpstr>EP51_1</vt:lpstr>
      <vt:lpstr>EP51_10</vt:lpstr>
      <vt:lpstr>EP51_11</vt:lpstr>
      <vt:lpstr>EP51_12</vt:lpstr>
      <vt:lpstr>EP51_13</vt:lpstr>
      <vt:lpstr>EP51_14</vt:lpstr>
      <vt:lpstr>EP51_15</vt:lpstr>
      <vt:lpstr>EP51_16</vt:lpstr>
      <vt:lpstr>EP51_17</vt:lpstr>
      <vt:lpstr>EP51_18</vt:lpstr>
      <vt:lpstr>EP51_19</vt:lpstr>
      <vt:lpstr>EP51_2</vt:lpstr>
      <vt:lpstr>EP51_20</vt:lpstr>
      <vt:lpstr>EP51_21</vt:lpstr>
      <vt:lpstr>EP51_22</vt:lpstr>
      <vt:lpstr>EP51_23</vt:lpstr>
      <vt:lpstr>EP51_24</vt:lpstr>
      <vt:lpstr>EP51_25</vt:lpstr>
      <vt:lpstr>EP51_26</vt:lpstr>
      <vt:lpstr>EP51_27</vt:lpstr>
      <vt:lpstr>EP51_28</vt:lpstr>
      <vt:lpstr>EP51_29</vt:lpstr>
      <vt:lpstr>EP51_3</vt:lpstr>
      <vt:lpstr>EP51_30</vt:lpstr>
      <vt:lpstr>EP51_31</vt:lpstr>
      <vt:lpstr>EP51_4</vt:lpstr>
      <vt:lpstr>EP51_5</vt:lpstr>
      <vt:lpstr>EP51_6</vt:lpstr>
      <vt:lpstr>EP51_7</vt:lpstr>
      <vt:lpstr>EP51_8</vt:lpstr>
      <vt:lpstr>EP51_9</vt:lpstr>
      <vt:lpstr>EP52_0</vt:lpstr>
      <vt:lpstr>EP52_1</vt:lpstr>
      <vt:lpstr>EP52_10</vt:lpstr>
      <vt:lpstr>EP52_11</vt:lpstr>
      <vt:lpstr>EP52_12</vt:lpstr>
      <vt:lpstr>EP52_13</vt:lpstr>
      <vt:lpstr>EP52_14</vt:lpstr>
      <vt:lpstr>EP52_15</vt:lpstr>
      <vt:lpstr>EP52_16</vt:lpstr>
      <vt:lpstr>EP52_17</vt:lpstr>
      <vt:lpstr>EP52_18</vt:lpstr>
      <vt:lpstr>EP52_19</vt:lpstr>
      <vt:lpstr>EP52_2</vt:lpstr>
      <vt:lpstr>EP52_20</vt:lpstr>
      <vt:lpstr>EP52_21</vt:lpstr>
      <vt:lpstr>EP52_22</vt:lpstr>
      <vt:lpstr>EP52_23</vt:lpstr>
      <vt:lpstr>EP52_24</vt:lpstr>
      <vt:lpstr>EP52_25</vt:lpstr>
      <vt:lpstr>EP52_26</vt:lpstr>
      <vt:lpstr>EP52_27</vt:lpstr>
      <vt:lpstr>EP52_28</vt:lpstr>
      <vt:lpstr>EP52_29</vt:lpstr>
      <vt:lpstr>EP52_3</vt:lpstr>
      <vt:lpstr>EP52_30</vt:lpstr>
      <vt:lpstr>EP52_31</vt:lpstr>
      <vt:lpstr>EP52_4</vt:lpstr>
      <vt:lpstr>EP52_5</vt:lpstr>
      <vt:lpstr>EP52_6</vt:lpstr>
      <vt:lpstr>EP52_7</vt:lpstr>
      <vt:lpstr>EP52_8</vt:lpstr>
      <vt:lpstr>EP52_9</vt:lpstr>
      <vt:lpstr>EP53_0</vt:lpstr>
      <vt:lpstr>EP53_1</vt:lpstr>
      <vt:lpstr>EP53_10</vt:lpstr>
      <vt:lpstr>EP53_11</vt:lpstr>
      <vt:lpstr>EP53_12</vt:lpstr>
      <vt:lpstr>EP53_13</vt:lpstr>
      <vt:lpstr>EP53_14</vt:lpstr>
      <vt:lpstr>EP53_15</vt:lpstr>
      <vt:lpstr>EP53_16</vt:lpstr>
      <vt:lpstr>EP53_17</vt:lpstr>
      <vt:lpstr>EP53_18</vt:lpstr>
      <vt:lpstr>EP53_19</vt:lpstr>
      <vt:lpstr>EP53_2</vt:lpstr>
      <vt:lpstr>EP53_20</vt:lpstr>
      <vt:lpstr>EP53_21</vt:lpstr>
      <vt:lpstr>EP53_22</vt:lpstr>
      <vt:lpstr>EP53_23</vt:lpstr>
      <vt:lpstr>EP53_24</vt:lpstr>
      <vt:lpstr>EP53_25</vt:lpstr>
      <vt:lpstr>EP53_26</vt:lpstr>
      <vt:lpstr>EP53_27</vt:lpstr>
      <vt:lpstr>EP53_28</vt:lpstr>
      <vt:lpstr>EP53_29</vt:lpstr>
      <vt:lpstr>EP53_3</vt:lpstr>
      <vt:lpstr>EP53_30</vt:lpstr>
      <vt:lpstr>EP53_31</vt:lpstr>
      <vt:lpstr>EP53_4</vt:lpstr>
      <vt:lpstr>EP53_5</vt:lpstr>
      <vt:lpstr>EP53_6</vt:lpstr>
      <vt:lpstr>EP53_7</vt:lpstr>
      <vt:lpstr>EP53_8</vt:lpstr>
      <vt:lpstr>EP53_9</vt:lpstr>
      <vt:lpstr>EP54_0</vt:lpstr>
      <vt:lpstr>EP54_1</vt:lpstr>
      <vt:lpstr>EP54_10</vt:lpstr>
      <vt:lpstr>EP54_11</vt:lpstr>
      <vt:lpstr>EP54_12</vt:lpstr>
      <vt:lpstr>EP54_13</vt:lpstr>
      <vt:lpstr>EP54_14</vt:lpstr>
      <vt:lpstr>EP54_15</vt:lpstr>
      <vt:lpstr>EP54_16</vt:lpstr>
      <vt:lpstr>EP54_17</vt:lpstr>
      <vt:lpstr>EP54_18</vt:lpstr>
      <vt:lpstr>EP54_19</vt:lpstr>
      <vt:lpstr>EP54_2</vt:lpstr>
      <vt:lpstr>EP54_20</vt:lpstr>
      <vt:lpstr>EP54_21</vt:lpstr>
      <vt:lpstr>EP54_22</vt:lpstr>
      <vt:lpstr>EP54_23</vt:lpstr>
      <vt:lpstr>EP54_24</vt:lpstr>
      <vt:lpstr>EP54_25</vt:lpstr>
      <vt:lpstr>EP54_26</vt:lpstr>
      <vt:lpstr>EP54_27</vt:lpstr>
      <vt:lpstr>EP54_28</vt:lpstr>
      <vt:lpstr>EP54_29</vt:lpstr>
      <vt:lpstr>EP54_3</vt:lpstr>
      <vt:lpstr>EP54_30</vt:lpstr>
      <vt:lpstr>EP54_31</vt:lpstr>
      <vt:lpstr>EP54_4</vt:lpstr>
      <vt:lpstr>EP54_5</vt:lpstr>
      <vt:lpstr>EP54_6</vt:lpstr>
      <vt:lpstr>EP54_7</vt:lpstr>
      <vt:lpstr>EP54_8</vt:lpstr>
      <vt:lpstr>EP54_9</vt:lpstr>
      <vt:lpstr>EP55_0</vt:lpstr>
      <vt:lpstr>EP55_1</vt:lpstr>
      <vt:lpstr>EP55_10</vt:lpstr>
      <vt:lpstr>EP55_11</vt:lpstr>
      <vt:lpstr>EP55_12</vt:lpstr>
      <vt:lpstr>EP55_13</vt:lpstr>
      <vt:lpstr>EP55_14</vt:lpstr>
      <vt:lpstr>EP55_15</vt:lpstr>
      <vt:lpstr>EP55_16</vt:lpstr>
      <vt:lpstr>EP55_17</vt:lpstr>
      <vt:lpstr>EP55_18</vt:lpstr>
      <vt:lpstr>EP55_19</vt:lpstr>
      <vt:lpstr>EP55_2</vt:lpstr>
      <vt:lpstr>EP55_20</vt:lpstr>
      <vt:lpstr>EP55_21</vt:lpstr>
      <vt:lpstr>EP55_22</vt:lpstr>
      <vt:lpstr>EP55_23</vt:lpstr>
      <vt:lpstr>EP55_24</vt:lpstr>
      <vt:lpstr>EP55_25</vt:lpstr>
      <vt:lpstr>EP55_26</vt:lpstr>
      <vt:lpstr>EP55_27</vt:lpstr>
      <vt:lpstr>EP55_28</vt:lpstr>
      <vt:lpstr>EP55_29</vt:lpstr>
      <vt:lpstr>EP55_3</vt:lpstr>
      <vt:lpstr>EP55_30</vt:lpstr>
      <vt:lpstr>EP55_31</vt:lpstr>
      <vt:lpstr>EP55_4</vt:lpstr>
      <vt:lpstr>EP55_5</vt:lpstr>
      <vt:lpstr>EP55_6</vt:lpstr>
      <vt:lpstr>EP55_7</vt:lpstr>
      <vt:lpstr>EP55_8</vt:lpstr>
      <vt:lpstr>EP55_9</vt:lpstr>
      <vt:lpstr>EP56_0</vt:lpstr>
      <vt:lpstr>EP56_1</vt:lpstr>
      <vt:lpstr>EP56_10</vt:lpstr>
      <vt:lpstr>EP56_11</vt:lpstr>
      <vt:lpstr>EP56_12</vt:lpstr>
      <vt:lpstr>EP56_13</vt:lpstr>
      <vt:lpstr>EP56_14</vt:lpstr>
      <vt:lpstr>EP56_15</vt:lpstr>
      <vt:lpstr>EP56_16</vt:lpstr>
      <vt:lpstr>EP56_17</vt:lpstr>
      <vt:lpstr>EP56_18</vt:lpstr>
      <vt:lpstr>EP56_19</vt:lpstr>
      <vt:lpstr>EP56_2</vt:lpstr>
      <vt:lpstr>EP56_20</vt:lpstr>
      <vt:lpstr>EP56_21</vt:lpstr>
      <vt:lpstr>EP56_22</vt:lpstr>
      <vt:lpstr>EP56_23</vt:lpstr>
      <vt:lpstr>EP56_24</vt:lpstr>
      <vt:lpstr>EP56_25</vt:lpstr>
      <vt:lpstr>EP56_26</vt:lpstr>
      <vt:lpstr>EP56_27</vt:lpstr>
      <vt:lpstr>EP56_28</vt:lpstr>
      <vt:lpstr>EP56_29</vt:lpstr>
      <vt:lpstr>EP56_3</vt:lpstr>
      <vt:lpstr>EP56_30</vt:lpstr>
      <vt:lpstr>EP56_31</vt:lpstr>
      <vt:lpstr>EP56_4</vt:lpstr>
      <vt:lpstr>EP56_5</vt:lpstr>
      <vt:lpstr>EP56_6</vt:lpstr>
      <vt:lpstr>EP56_7</vt:lpstr>
      <vt:lpstr>EP56_8</vt:lpstr>
      <vt:lpstr>EP56_9</vt:lpstr>
      <vt:lpstr>EP57_0</vt:lpstr>
      <vt:lpstr>EP57_1</vt:lpstr>
      <vt:lpstr>EP57_10</vt:lpstr>
      <vt:lpstr>EP57_11</vt:lpstr>
      <vt:lpstr>EP57_12</vt:lpstr>
      <vt:lpstr>EP57_13</vt:lpstr>
      <vt:lpstr>EP57_14</vt:lpstr>
      <vt:lpstr>EP57_15</vt:lpstr>
      <vt:lpstr>EP57_16</vt:lpstr>
      <vt:lpstr>EP57_17</vt:lpstr>
      <vt:lpstr>EP57_18</vt:lpstr>
      <vt:lpstr>EP57_19</vt:lpstr>
      <vt:lpstr>EP57_2</vt:lpstr>
      <vt:lpstr>EP57_20</vt:lpstr>
      <vt:lpstr>EP57_21</vt:lpstr>
      <vt:lpstr>EP57_22</vt:lpstr>
      <vt:lpstr>EP57_23</vt:lpstr>
      <vt:lpstr>EP57_24</vt:lpstr>
      <vt:lpstr>EP57_25</vt:lpstr>
      <vt:lpstr>EP57_26</vt:lpstr>
      <vt:lpstr>EP57_27</vt:lpstr>
      <vt:lpstr>EP57_28</vt:lpstr>
      <vt:lpstr>EP57_29</vt:lpstr>
      <vt:lpstr>EP57_3</vt:lpstr>
      <vt:lpstr>EP57_30</vt:lpstr>
      <vt:lpstr>EP57_31</vt:lpstr>
      <vt:lpstr>EP57_4</vt:lpstr>
      <vt:lpstr>EP57_5</vt:lpstr>
      <vt:lpstr>EP57_6</vt:lpstr>
      <vt:lpstr>EP57_7</vt:lpstr>
      <vt:lpstr>EP57_8</vt:lpstr>
      <vt:lpstr>EP57_9</vt:lpstr>
      <vt:lpstr>EP58_0</vt:lpstr>
      <vt:lpstr>EP58_1</vt:lpstr>
      <vt:lpstr>EP58_10</vt:lpstr>
      <vt:lpstr>EP58_11</vt:lpstr>
      <vt:lpstr>EP58_12</vt:lpstr>
      <vt:lpstr>EP58_13</vt:lpstr>
      <vt:lpstr>EP58_14</vt:lpstr>
      <vt:lpstr>EP58_15</vt:lpstr>
      <vt:lpstr>EP58_16</vt:lpstr>
      <vt:lpstr>EP58_17</vt:lpstr>
      <vt:lpstr>EP58_18</vt:lpstr>
      <vt:lpstr>EP58_19</vt:lpstr>
      <vt:lpstr>EP58_2</vt:lpstr>
      <vt:lpstr>EP58_20</vt:lpstr>
      <vt:lpstr>EP58_21</vt:lpstr>
      <vt:lpstr>EP58_22</vt:lpstr>
      <vt:lpstr>EP58_23</vt:lpstr>
      <vt:lpstr>EP58_24</vt:lpstr>
      <vt:lpstr>EP58_25</vt:lpstr>
      <vt:lpstr>EP58_26</vt:lpstr>
      <vt:lpstr>EP58_27</vt:lpstr>
      <vt:lpstr>EP58_28</vt:lpstr>
      <vt:lpstr>EP58_29</vt:lpstr>
      <vt:lpstr>EP58_3</vt:lpstr>
      <vt:lpstr>EP58_30</vt:lpstr>
      <vt:lpstr>EP58_31</vt:lpstr>
      <vt:lpstr>EP58_4</vt:lpstr>
      <vt:lpstr>EP58_5</vt:lpstr>
      <vt:lpstr>EP58_6</vt:lpstr>
      <vt:lpstr>EP58_7</vt:lpstr>
      <vt:lpstr>EP58_8</vt:lpstr>
      <vt:lpstr>EP58_9</vt:lpstr>
      <vt:lpstr>EP59_0</vt:lpstr>
      <vt:lpstr>EP59_1</vt:lpstr>
      <vt:lpstr>EP59_10</vt:lpstr>
      <vt:lpstr>EP59_11</vt:lpstr>
      <vt:lpstr>EP59_12</vt:lpstr>
      <vt:lpstr>EP59_13</vt:lpstr>
      <vt:lpstr>EP59_14</vt:lpstr>
      <vt:lpstr>EP59_15</vt:lpstr>
      <vt:lpstr>EP59_16</vt:lpstr>
      <vt:lpstr>EP59_17</vt:lpstr>
      <vt:lpstr>EP59_18</vt:lpstr>
      <vt:lpstr>EP59_19</vt:lpstr>
      <vt:lpstr>EP59_2</vt:lpstr>
      <vt:lpstr>EP59_20</vt:lpstr>
      <vt:lpstr>EP59_21</vt:lpstr>
      <vt:lpstr>EP59_22</vt:lpstr>
      <vt:lpstr>EP59_23</vt:lpstr>
      <vt:lpstr>EP59_24</vt:lpstr>
      <vt:lpstr>EP59_25</vt:lpstr>
      <vt:lpstr>EP59_26</vt:lpstr>
      <vt:lpstr>EP59_27</vt:lpstr>
      <vt:lpstr>EP59_28</vt:lpstr>
      <vt:lpstr>EP59_29</vt:lpstr>
      <vt:lpstr>EP59_3</vt:lpstr>
      <vt:lpstr>EP59_30</vt:lpstr>
      <vt:lpstr>EP59_31</vt:lpstr>
      <vt:lpstr>EP59_4</vt:lpstr>
      <vt:lpstr>EP59_5</vt:lpstr>
      <vt:lpstr>EP59_6</vt:lpstr>
      <vt:lpstr>EP59_7</vt:lpstr>
      <vt:lpstr>EP59_8</vt:lpstr>
      <vt:lpstr>EP59_9</vt:lpstr>
      <vt:lpstr>EP6_25</vt:lpstr>
      <vt:lpstr>EP6_26</vt:lpstr>
      <vt:lpstr>EP6_27</vt:lpstr>
      <vt:lpstr>EP6_28</vt:lpstr>
      <vt:lpstr>EP6_29</vt:lpstr>
      <vt:lpstr>EP6_30</vt:lpstr>
      <vt:lpstr>EP6_31</vt:lpstr>
      <vt:lpstr>EP60_0</vt:lpstr>
      <vt:lpstr>EP60_1</vt:lpstr>
      <vt:lpstr>EP60_10</vt:lpstr>
      <vt:lpstr>EP60_11</vt:lpstr>
      <vt:lpstr>EP60_12</vt:lpstr>
      <vt:lpstr>EP60_13</vt:lpstr>
      <vt:lpstr>EP60_14</vt:lpstr>
      <vt:lpstr>EP60_15</vt:lpstr>
      <vt:lpstr>EP60_16</vt:lpstr>
      <vt:lpstr>EP60_17</vt:lpstr>
      <vt:lpstr>EP60_18</vt:lpstr>
      <vt:lpstr>EP60_19</vt:lpstr>
      <vt:lpstr>EP60_2</vt:lpstr>
      <vt:lpstr>EP60_20</vt:lpstr>
      <vt:lpstr>EP60_21</vt:lpstr>
      <vt:lpstr>EP60_22</vt:lpstr>
      <vt:lpstr>EP60_23</vt:lpstr>
      <vt:lpstr>EP60_24</vt:lpstr>
      <vt:lpstr>EP60_25</vt:lpstr>
      <vt:lpstr>EP60_26</vt:lpstr>
      <vt:lpstr>EP60_27</vt:lpstr>
      <vt:lpstr>EP60_28</vt:lpstr>
      <vt:lpstr>EP60_29</vt:lpstr>
      <vt:lpstr>EP60_3</vt:lpstr>
      <vt:lpstr>EP60_30</vt:lpstr>
      <vt:lpstr>EP60_31</vt:lpstr>
      <vt:lpstr>EP60_4</vt:lpstr>
      <vt:lpstr>EP60_5</vt:lpstr>
      <vt:lpstr>EP60_6</vt:lpstr>
      <vt:lpstr>EP60_7</vt:lpstr>
      <vt:lpstr>EP60_8</vt:lpstr>
      <vt:lpstr>EP60_9</vt:lpstr>
      <vt:lpstr>EP61_0</vt:lpstr>
      <vt:lpstr>EP61_1</vt:lpstr>
      <vt:lpstr>EP61_10</vt:lpstr>
      <vt:lpstr>EP61_11</vt:lpstr>
      <vt:lpstr>EP61_12</vt:lpstr>
      <vt:lpstr>EP61_13</vt:lpstr>
      <vt:lpstr>EP61_14</vt:lpstr>
      <vt:lpstr>EP61_15</vt:lpstr>
      <vt:lpstr>EP61_16</vt:lpstr>
      <vt:lpstr>EP61_17</vt:lpstr>
      <vt:lpstr>EP61_18</vt:lpstr>
      <vt:lpstr>EP61_19</vt:lpstr>
      <vt:lpstr>EP61_2</vt:lpstr>
      <vt:lpstr>EP61_20</vt:lpstr>
      <vt:lpstr>EP61_21</vt:lpstr>
      <vt:lpstr>EP61_22</vt:lpstr>
      <vt:lpstr>EP61_23</vt:lpstr>
      <vt:lpstr>EP61_24</vt:lpstr>
      <vt:lpstr>EP61_25</vt:lpstr>
      <vt:lpstr>EP61_26</vt:lpstr>
      <vt:lpstr>EP61_27</vt:lpstr>
      <vt:lpstr>EP61_28</vt:lpstr>
      <vt:lpstr>EP61_29</vt:lpstr>
      <vt:lpstr>EP61_3</vt:lpstr>
      <vt:lpstr>EP61_30</vt:lpstr>
      <vt:lpstr>EP61_31</vt:lpstr>
      <vt:lpstr>EP61_4</vt:lpstr>
      <vt:lpstr>EP61_5</vt:lpstr>
      <vt:lpstr>EP61_6</vt:lpstr>
      <vt:lpstr>EP61_7</vt:lpstr>
      <vt:lpstr>EP61_8</vt:lpstr>
      <vt:lpstr>EP61_9</vt:lpstr>
      <vt:lpstr>EP62_0</vt:lpstr>
      <vt:lpstr>EP62_1</vt:lpstr>
      <vt:lpstr>EP62_10</vt:lpstr>
      <vt:lpstr>EP62_11</vt:lpstr>
      <vt:lpstr>EP62_12</vt:lpstr>
      <vt:lpstr>EP62_13</vt:lpstr>
      <vt:lpstr>EP62_14</vt:lpstr>
      <vt:lpstr>EP62_15</vt:lpstr>
      <vt:lpstr>EP62_16</vt:lpstr>
      <vt:lpstr>EP62_17</vt:lpstr>
      <vt:lpstr>EP62_18</vt:lpstr>
      <vt:lpstr>EP62_19</vt:lpstr>
      <vt:lpstr>EP62_2</vt:lpstr>
      <vt:lpstr>EP62_20</vt:lpstr>
      <vt:lpstr>EP62_21</vt:lpstr>
      <vt:lpstr>EP62_22</vt:lpstr>
      <vt:lpstr>EP62_23</vt:lpstr>
      <vt:lpstr>EP62_24</vt:lpstr>
      <vt:lpstr>EP62_25</vt:lpstr>
      <vt:lpstr>EP62_26</vt:lpstr>
      <vt:lpstr>EP62_27</vt:lpstr>
      <vt:lpstr>EP62_28</vt:lpstr>
      <vt:lpstr>EP62_29</vt:lpstr>
      <vt:lpstr>EP62_3</vt:lpstr>
      <vt:lpstr>EP62_30</vt:lpstr>
      <vt:lpstr>EP62_31</vt:lpstr>
      <vt:lpstr>EP62_4</vt:lpstr>
      <vt:lpstr>EP62_5</vt:lpstr>
      <vt:lpstr>EP62_6</vt:lpstr>
      <vt:lpstr>EP62_7</vt:lpstr>
      <vt:lpstr>EP62_8</vt:lpstr>
      <vt:lpstr>EP62_9</vt:lpstr>
      <vt:lpstr>EP63_0</vt:lpstr>
      <vt:lpstr>EP63_1</vt:lpstr>
      <vt:lpstr>EP63_10</vt:lpstr>
      <vt:lpstr>EP63_11</vt:lpstr>
      <vt:lpstr>EP63_12</vt:lpstr>
      <vt:lpstr>EP63_13</vt:lpstr>
      <vt:lpstr>EP63_14</vt:lpstr>
      <vt:lpstr>EP63_15</vt:lpstr>
      <vt:lpstr>EP63_16</vt:lpstr>
      <vt:lpstr>EP63_17</vt:lpstr>
      <vt:lpstr>EP63_18</vt:lpstr>
      <vt:lpstr>EP63_19</vt:lpstr>
      <vt:lpstr>EP63_2</vt:lpstr>
      <vt:lpstr>EP63_20</vt:lpstr>
      <vt:lpstr>EP63_21</vt:lpstr>
      <vt:lpstr>EP63_22</vt:lpstr>
      <vt:lpstr>EP63_23</vt:lpstr>
      <vt:lpstr>EP63_24</vt:lpstr>
      <vt:lpstr>EP63_25</vt:lpstr>
      <vt:lpstr>EP63_26</vt:lpstr>
      <vt:lpstr>EP63_27</vt:lpstr>
      <vt:lpstr>EP63_28</vt:lpstr>
      <vt:lpstr>EP63_29</vt:lpstr>
      <vt:lpstr>EP63_3</vt:lpstr>
      <vt:lpstr>EP63_30</vt:lpstr>
      <vt:lpstr>EP63_31</vt:lpstr>
      <vt:lpstr>EP63_4</vt:lpstr>
      <vt:lpstr>EP63_5</vt:lpstr>
      <vt:lpstr>EP63_6</vt:lpstr>
      <vt:lpstr>EP63_7</vt:lpstr>
      <vt:lpstr>EP63_8</vt:lpstr>
      <vt:lpstr>EP63_9</vt:lpstr>
      <vt:lpstr>EP7_24</vt:lpstr>
      <vt:lpstr>EP7_25</vt:lpstr>
      <vt:lpstr>EP7_26</vt:lpstr>
      <vt:lpstr>EP7_27</vt:lpstr>
      <vt:lpstr>EP7_28</vt:lpstr>
      <vt:lpstr>EP7_29</vt:lpstr>
      <vt:lpstr>EP7_30</vt:lpstr>
      <vt:lpstr>EP7_31</vt:lpstr>
      <vt:lpstr>EP8_23</vt:lpstr>
      <vt:lpstr>EP8_24</vt:lpstr>
      <vt:lpstr>EP8_25</vt:lpstr>
      <vt:lpstr>EP8_26</vt:lpstr>
      <vt:lpstr>EP8_27</vt:lpstr>
      <vt:lpstr>EP8_28</vt:lpstr>
      <vt:lpstr>EP8_29</vt:lpstr>
      <vt:lpstr>EP8_30</vt:lpstr>
      <vt:lpstr>EP8_31</vt:lpstr>
      <vt:lpstr>EP9_22</vt:lpstr>
      <vt:lpstr>EP9_23</vt:lpstr>
      <vt:lpstr>EP9_24</vt:lpstr>
      <vt:lpstr>EP9_25</vt:lpstr>
      <vt:lpstr>EP9_26</vt:lpstr>
      <vt:lpstr>EP9_27</vt:lpstr>
      <vt:lpstr>EP9_28</vt:lpstr>
      <vt:lpstr>EP9_29</vt:lpstr>
      <vt:lpstr>EP9_30</vt:lpstr>
      <vt:lpstr>EP9_31</vt:lpstr>
      <vt:lpstr>F0_4</vt:lpstr>
      <vt:lpstr>F0_5</vt:lpstr>
      <vt:lpstr>F0_6</vt:lpstr>
      <vt:lpstr>F0_7</vt:lpstr>
      <vt:lpstr>F1_4</vt:lpstr>
      <vt:lpstr>F1_5</vt:lpstr>
      <vt:lpstr>F1_6</vt:lpstr>
      <vt:lpstr>F1_7</vt:lpstr>
      <vt:lpstr>F2_4</vt:lpstr>
      <vt:lpstr>F2_5</vt:lpstr>
      <vt:lpstr>F2_6</vt:lpstr>
      <vt:lpstr>F2_7</vt:lpstr>
      <vt:lpstr>F3_4</vt:lpstr>
      <vt:lpstr>F3_5</vt:lpstr>
      <vt:lpstr>F3_6</vt:lpstr>
      <vt:lpstr>F3_7</vt:lpstr>
      <vt:lpstr>F4_4</vt:lpstr>
      <vt:lpstr>F4_5</vt:lpstr>
      <vt:lpstr>F4_6</vt:lpstr>
      <vt:lpstr>F4_7</vt:lpstr>
      <vt:lpstr>F5_4</vt:lpstr>
      <vt:lpstr>F5_5</vt:lpstr>
      <vt:lpstr>F5_6</vt:lpstr>
      <vt:lpstr>F5_7</vt:lpstr>
      <vt:lpstr>F6_4</vt:lpstr>
      <vt:lpstr>F6_5</vt:lpstr>
      <vt:lpstr>F6_6</vt:lpstr>
      <vt:lpstr>F6_7</vt:lpstr>
      <vt:lpstr>F7_4</vt:lpstr>
      <vt:lpstr>F7_5</vt:lpstr>
      <vt:lpstr>F7_6</vt:lpstr>
      <vt:lpstr>F7_7</vt:lpstr>
      <vt:lpstr>FlexCAN_Jump_Values_Extended</vt:lpstr>
      <vt:lpstr>FlexCAN_Jump_Values_FD</vt:lpstr>
      <vt:lpstr>FlexCAN_Jump_Values_Normal</vt:lpstr>
      <vt:lpstr>FlexCAN_Prop_Jump_Values_Extended</vt:lpstr>
      <vt:lpstr>FlexCAN_Prop_Jump_Values_FD</vt:lpstr>
      <vt:lpstr>'Power Mode Control'!HSRUN_Enabled</vt:lpstr>
      <vt:lpstr>J0_0</vt:lpstr>
      <vt:lpstr>J0_1</vt:lpstr>
      <vt:lpstr>J0_2</vt:lpstr>
      <vt:lpstr>J0_3</vt:lpstr>
      <vt:lpstr>J1_0</vt:lpstr>
      <vt:lpstr>J1_1</vt:lpstr>
      <vt:lpstr>J1_2</vt:lpstr>
      <vt:lpstr>J1_3</vt:lpstr>
      <vt:lpstr>J2_0</vt:lpstr>
      <vt:lpstr>J2_1</vt:lpstr>
      <vt:lpstr>J2_2</vt:lpstr>
      <vt:lpstr>J2_3</vt:lpstr>
      <vt:lpstr>J3_0</vt:lpstr>
      <vt:lpstr>J3_1</vt:lpstr>
      <vt:lpstr>J3_2</vt:lpstr>
      <vt:lpstr>J3_3</vt:lpstr>
      <vt:lpstr>J4_0</vt:lpstr>
      <vt:lpstr>J4_1</vt:lpstr>
      <vt:lpstr>J4_2</vt:lpstr>
      <vt:lpstr>J4_3</vt:lpstr>
      <vt:lpstr>J5_0</vt:lpstr>
      <vt:lpstr>J5_1</vt:lpstr>
      <vt:lpstr>J5_2</vt:lpstr>
      <vt:lpstr>J5_3</vt:lpstr>
      <vt:lpstr>J6_0</vt:lpstr>
      <vt:lpstr>J6_1</vt:lpstr>
      <vt:lpstr>J6_2</vt:lpstr>
      <vt:lpstr>J6_3</vt:lpstr>
      <vt:lpstr>J7_0</vt:lpstr>
      <vt:lpstr>J7_1</vt:lpstr>
      <vt:lpstr>J7_2</vt:lpstr>
      <vt:lpstr>J7_3</vt:lpstr>
      <vt:lpstr>LP_Enabled</vt:lpstr>
      <vt:lpstr>Tree!LP_Mode</vt:lpstr>
      <vt:lpstr>QSPI_AHB</vt:lpstr>
      <vt:lpstr>QSPI_AHB_2</vt:lpstr>
      <vt:lpstr>Tree!RUN_HSRUN</vt:lpstr>
      <vt:lpstr>'Power Mode Control'!Run_Only</vt:lpstr>
      <vt:lpstr>Tree!Run_S32K11x</vt:lpstr>
      <vt:lpstr>Tree!SCG_CLKOUT_S32K11x</vt:lpstr>
      <vt:lpstr>Tree!SCG_CLKOUT_S32K14x</vt:lpstr>
      <vt:lpstr>Selected_Device</vt:lpstr>
      <vt:lpstr>Tree!SIRC_Disabled</vt:lpstr>
      <vt:lpstr>Tree!SIRC_Enabled</vt:lpstr>
      <vt:lpstr>'Oscillator Source Control'!SPLL_Disabled</vt:lpstr>
      <vt:lpstr>'Oscillator Source Control'!SPLL_Enabled</vt:lpstr>
    </vt:vector>
  </TitlesOfParts>
  <Company>Freescale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Reipold</dc:creator>
  <cp:lastModifiedBy>xueshawu</cp:lastModifiedBy>
  <cp:lastPrinted>2016-11-17T16:42:11Z</cp:lastPrinted>
  <dcterms:created xsi:type="dcterms:W3CDTF">2012-06-29T20:41:31Z</dcterms:created>
  <dcterms:modified xsi:type="dcterms:W3CDTF">2020-04-18T03:17:48Z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0x010100DD41D382EB71FE41B2A4ED54EE7A7A78</vt:lpwstr>
  </property>
  <property fmtid="{D5CDD505-2E9C-101B-9397-08002B2CF9AE}" pid="3" name="_dlc_DocIdItemGuid">
    <vt:lpwstr>e1914a55-8dbe-42da-a8c3-cd4f921e7fd0</vt:lpwstr>
  </property>
</Properties>
</file>